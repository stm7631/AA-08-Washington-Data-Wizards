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7.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2624"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Adi\Documents\UW Year 4\Capstone\AA-08-Washington-Data-Wizards\Data\"/>
    </mc:Choice>
  </mc:AlternateContent>
  <xr:revisionPtr revIDLastSave="0" documentId="8_{9EBFA7C2-3C9F-4480-A843-D8CA7C1469F0}" xr6:coauthVersionLast="45" xr6:coauthVersionMax="45" xr10:uidLastSave="{00000000-0000-0000-0000-000000000000}"/>
  <workbookProtection workbookPassword="CDCA" lockStructure="1"/>
  <bookViews>
    <workbookView xWindow="-96" yWindow="-96" windowWidth="23232" windowHeight="12696" activeTab="4"/>
  </bookViews>
  <sheets>
    <sheet name="INTRO" sheetId="8" r:id="rId1"/>
    <sheet name="COUNTRY_INFO" sheetId="1" r:id="rId2"/>
    <sheet name="DEC" sheetId="6" r:id="rId3"/>
    <sheet name="ALB_MBD" sheetId="10" r:id="rId4"/>
    <sheet name="PZQ" sheetId="5" r:id="rId5"/>
    <sheet name="IVM" sheetId="2" r:id="rId6"/>
    <sheet name="SUMMARY" sheetId="7" r:id="rId7"/>
    <sheet name="SHIPMENT" sheetId="9" r:id="rId8"/>
  </sheets>
  <definedNames>
    <definedName name="_xlnm.Print_Area" localSheetId="0">INTRO!$A$1:$F$52</definedName>
    <definedName name="_xlnm.Print_Area" localSheetId="7">SHIPMENT!$A$1:$I$58</definedName>
    <definedName name="_xlnm.Print_Area" localSheetId="6">SUMMARY!$A$1:$I$94</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83" i="2" l="1"/>
  <c r="H83" i="2"/>
  <c r="J83" i="2"/>
  <c r="E83" i="2"/>
  <c r="C83" i="2"/>
  <c r="B83" i="2"/>
  <c r="G83" i="5"/>
  <c r="E83" i="5"/>
  <c r="C83" i="5"/>
  <c r="B83" i="5"/>
  <c r="P83" i="10"/>
  <c r="AA83" i="10"/>
  <c r="O83" i="10"/>
  <c r="H83" i="10"/>
  <c r="G83" i="10"/>
  <c r="C83" i="10"/>
  <c r="B83" i="10"/>
  <c r="H83" i="6"/>
  <c r="I83" i="6"/>
  <c r="J83" i="6"/>
  <c r="F83" i="6"/>
  <c r="G83" i="6"/>
  <c r="E83" i="6"/>
  <c r="D83" i="6"/>
  <c r="C83" i="6"/>
  <c r="B83" i="6"/>
  <c r="A83" i="6"/>
  <c r="M83" i="1"/>
  <c r="L83" i="1"/>
  <c r="G83" i="1"/>
  <c r="F83" i="1"/>
  <c r="E83" i="10"/>
  <c r="E83" i="1"/>
  <c r="D83" i="10"/>
  <c r="A83" i="1"/>
  <c r="A83" i="10"/>
  <c r="F82" i="2"/>
  <c r="E82" i="2"/>
  <c r="C82" i="2"/>
  <c r="B82" i="2"/>
  <c r="A82" i="2"/>
  <c r="G82" i="5"/>
  <c r="K82" i="5"/>
  <c r="N82" i="5"/>
  <c r="E82" i="5"/>
  <c r="C82" i="5"/>
  <c r="B82" i="5"/>
  <c r="P82" i="10"/>
  <c r="O82" i="10"/>
  <c r="H82" i="10"/>
  <c r="G82" i="10"/>
  <c r="C82" i="10"/>
  <c r="B82" i="10"/>
  <c r="H82" i="6"/>
  <c r="I82" i="6"/>
  <c r="J82" i="6"/>
  <c r="F82" i="6"/>
  <c r="G82" i="6"/>
  <c r="E82" i="6"/>
  <c r="D82" i="6"/>
  <c r="C82" i="6"/>
  <c r="B82" i="6"/>
  <c r="A82" i="6"/>
  <c r="M82" i="1"/>
  <c r="L82" i="1"/>
  <c r="G82" i="1"/>
  <c r="F82" i="1"/>
  <c r="E82" i="10"/>
  <c r="E82" i="1"/>
  <c r="D82" i="10"/>
  <c r="A82" i="1"/>
  <c r="H81" i="2"/>
  <c r="J81" i="2"/>
  <c r="F81" i="2"/>
  <c r="E81" i="2"/>
  <c r="C81" i="2"/>
  <c r="B81" i="2"/>
  <c r="G81" i="5"/>
  <c r="E81" i="5"/>
  <c r="D81" i="5"/>
  <c r="C81" i="5"/>
  <c r="B81" i="5"/>
  <c r="P81" i="10"/>
  <c r="AA81" i="10"/>
  <c r="O81" i="10"/>
  <c r="H81" i="10"/>
  <c r="G81" i="10"/>
  <c r="E81" i="10"/>
  <c r="C81" i="10"/>
  <c r="B81" i="10"/>
  <c r="H81" i="6"/>
  <c r="I81" i="6"/>
  <c r="J81" i="6"/>
  <c r="F81" i="6"/>
  <c r="E81" i="6"/>
  <c r="D81" i="6"/>
  <c r="C81" i="6"/>
  <c r="B81" i="6"/>
  <c r="A81" i="6"/>
  <c r="M81" i="1"/>
  <c r="L81" i="1"/>
  <c r="G81" i="1"/>
  <c r="D81" i="2"/>
  <c r="F81" i="1"/>
  <c r="O81" i="1"/>
  <c r="E81" i="1"/>
  <c r="D81" i="10"/>
  <c r="A81" i="1"/>
  <c r="F80" i="2"/>
  <c r="H80" i="2"/>
  <c r="J80" i="2"/>
  <c r="E80" i="2"/>
  <c r="C80" i="2"/>
  <c r="B80" i="2"/>
  <c r="G80" i="5"/>
  <c r="K80" i="5"/>
  <c r="N80" i="5"/>
  <c r="E80" i="5"/>
  <c r="C80" i="5"/>
  <c r="B80" i="5"/>
  <c r="P80" i="10"/>
  <c r="AA80" i="10"/>
  <c r="O80" i="10"/>
  <c r="H80" i="10"/>
  <c r="G80" i="10"/>
  <c r="D80" i="10"/>
  <c r="C80" i="10"/>
  <c r="B80" i="10"/>
  <c r="H80" i="6"/>
  <c r="I80" i="6"/>
  <c r="J80" i="6"/>
  <c r="F80" i="6"/>
  <c r="E80" i="6"/>
  <c r="D80" i="6"/>
  <c r="C80" i="6"/>
  <c r="B80" i="6"/>
  <c r="A80" i="6"/>
  <c r="M80" i="1"/>
  <c r="L80" i="1"/>
  <c r="G80" i="1"/>
  <c r="F80" i="1"/>
  <c r="E80" i="1"/>
  <c r="A80" i="1"/>
  <c r="F79" i="2"/>
  <c r="H79" i="2"/>
  <c r="J79" i="2"/>
  <c r="E79" i="2"/>
  <c r="C79" i="2"/>
  <c r="B79" i="2"/>
  <c r="G79" i="5"/>
  <c r="E79" i="5"/>
  <c r="D79" i="5"/>
  <c r="C79" i="5"/>
  <c r="B79" i="5"/>
  <c r="A79" i="5"/>
  <c r="P79" i="10"/>
  <c r="AA79" i="10"/>
  <c r="O79" i="10"/>
  <c r="H79" i="10"/>
  <c r="G79" i="10"/>
  <c r="C79" i="10"/>
  <c r="B79" i="10"/>
  <c r="H79" i="6"/>
  <c r="I79" i="6"/>
  <c r="J79" i="6"/>
  <c r="F79" i="6"/>
  <c r="E79" i="6"/>
  <c r="D79" i="6"/>
  <c r="C79" i="6"/>
  <c r="B79" i="6"/>
  <c r="A79" i="6"/>
  <c r="M79" i="1"/>
  <c r="L79" i="1"/>
  <c r="G79" i="1"/>
  <c r="D79" i="2"/>
  <c r="F79" i="1"/>
  <c r="O79" i="1"/>
  <c r="E79" i="1"/>
  <c r="D79" i="10"/>
  <c r="K79" i="10"/>
  <c r="A79" i="1"/>
  <c r="A79" i="10"/>
  <c r="F78" i="2"/>
  <c r="H78" i="2"/>
  <c r="J78" i="2"/>
  <c r="E78" i="2"/>
  <c r="C78" i="2"/>
  <c r="B78" i="2"/>
  <c r="G78" i="5"/>
  <c r="E78" i="5"/>
  <c r="K78" i="5"/>
  <c r="N78" i="5"/>
  <c r="C78" i="5"/>
  <c r="B78" i="5"/>
  <c r="P78" i="10"/>
  <c r="AA78" i="10"/>
  <c r="O78" i="10"/>
  <c r="H78" i="10"/>
  <c r="G78" i="10"/>
  <c r="C78" i="10"/>
  <c r="B78" i="10"/>
  <c r="H78" i="6"/>
  <c r="I78" i="6"/>
  <c r="J78" i="6"/>
  <c r="F78" i="6"/>
  <c r="E78" i="6"/>
  <c r="D78" i="6"/>
  <c r="G78" i="6"/>
  <c r="C78" i="6"/>
  <c r="B78" i="6"/>
  <c r="A78" i="6"/>
  <c r="M78" i="1"/>
  <c r="L78" i="1"/>
  <c r="G78" i="1"/>
  <c r="F78" i="1"/>
  <c r="E78" i="1"/>
  <c r="D78" i="10"/>
  <c r="K78" i="10"/>
  <c r="A78" i="1"/>
  <c r="A78" i="5"/>
  <c r="F77" i="2"/>
  <c r="H77" i="2"/>
  <c r="J77" i="2"/>
  <c r="E77" i="2"/>
  <c r="D77" i="2"/>
  <c r="G77" i="2"/>
  <c r="C77" i="2"/>
  <c r="B77" i="2"/>
  <c r="G77" i="5"/>
  <c r="E77" i="5"/>
  <c r="C77" i="5"/>
  <c r="B77" i="5"/>
  <c r="P77" i="10"/>
  <c r="AA77" i="10"/>
  <c r="O77" i="10"/>
  <c r="H77" i="10"/>
  <c r="G77" i="10"/>
  <c r="E77" i="10"/>
  <c r="F77" i="10"/>
  <c r="C77" i="10"/>
  <c r="B77" i="10"/>
  <c r="H77" i="6"/>
  <c r="I77" i="6"/>
  <c r="J77" i="6"/>
  <c r="L77" i="6"/>
  <c r="F77" i="6"/>
  <c r="E77" i="6"/>
  <c r="D77" i="6"/>
  <c r="C77" i="6"/>
  <c r="B77" i="6"/>
  <c r="A77" i="6"/>
  <c r="M77" i="1"/>
  <c r="L77" i="1"/>
  <c r="G77" i="1"/>
  <c r="F77" i="1"/>
  <c r="O77" i="1"/>
  <c r="E77" i="1"/>
  <c r="D77" i="10"/>
  <c r="K77" i="10"/>
  <c r="A77" i="1"/>
  <c r="F76" i="2"/>
  <c r="H76" i="2"/>
  <c r="J76" i="2"/>
  <c r="E76" i="2"/>
  <c r="C76" i="2"/>
  <c r="B76" i="2"/>
  <c r="G76" i="5"/>
  <c r="K76" i="5"/>
  <c r="N76" i="5"/>
  <c r="E76" i="5"/>
  <c r="D76" i="5"/>
  <c r="C76" i="5"/>
  <c r="B76" i="5"/>
  <c r="P76" i="10"/>
  <c r="AA76" i="10"/>
  <c r="O76" i="10"/>
  <c r="H76" i="10"/>
  <c r="G76" i="10"/>
  <c r="C76" i="10"/>
  <c r="B76" i="10"/>
  <c r="H76" i="6"/>
  <c r="I76" i="6"/>
  <c r="J76" i="6"/>
  <c r="F76" i="6"/>
  <c r="E76" i="6"/>
  <c r="D76" i="6"/>
  <c r="C76" i="6"/>
  <c r="B76" i="6"/>
  <c r="A76" i="6"/>
  <c r="M76" i="1"/>
  <c r="L76" i="1"/>
  <c r="G76" i="1"/>
  <c r="F76" i="1"/>
  <c r="O76" i="1"/>
  <c r="E76" i="1"/>
  <c r="D76" i="10"/>
  <c r="A76" i="1"/>
  <c r="A76" i="2"/>
  <c r="F75" i="2"/>
  <c r="H75" i="2"/>
  <c r="J75" i="2"/>
  <c r="E75" i="2"/>
  <c r="C75" i="2"/>
  <c r="B75" i="2"/>
  <c r="G75" i="5"/>
  <c r="K75" i="5"/>
  <c r="N75" i="5"/>
  <c r="E75" i="5"/>
  <c r="C75" i="5"/>
  <c r="B75" i="5"/>
  <c r="P75" i="10"/>
  <c r="AA75" i="10"/>
  <c r="O75" i="10"/>
  <c r="H75" i="10"/>
  <c r="G75" i="10"/>
  <c r="D75" i="10"/>
  <c r="K75" i="10"/>
  <c r="C75" i="10"/>
  <c r="B75" i="10"/>
  <c r="H75" i="6"/>
  <c r="I75" i="6"/>
  <c r="J75" i="6"/>
  <c r="F75" i="6"/>
  <c r="E75" i="6"/>
  <c r="D75" i="6"/>
  <c r="C75" i="6"/>
  <c r="B75" i="6"/>
  <c r="A75" i="6"/>
  <c r="M75" i="1"/>
  <c r="L75" i="1"/>
  <c r="G75" i="1"/>
  <c r="F75" i="1"/>
  <c r="O75" i="1"/>
  <c r="E75" i="1"/>
  <c r="A75" i="1"/>
  <c r="F74" i="2"/>
  <c r="H74" i="2"/>
  <c r="J74" i="2"/>
  <c r="E74" i="2"/>
  <c r="C74" i="2"/>
  <c r="B74" i="2"/>
  <c r="A74" i="2"/>
  <c r="G74" i="5"/>
  <c r="K74" i="5"/>
  <c r="N74" i="5"/>
  <c r="E74" i="5"/>
  <c r="C74" i="5"/>
  <c r="B74" i="5"/>
  <c r="P74" i="10"/>
  <c r="AA74" i="10"/>
  <c r="O74" i="10"/>
  <c r="H74" i="10"/>
  <c r="G74" i="10"/>
  <c r="C74" i="10"/>
  <c r="B74" i="10"/>
  <c r="H74" i="6"/>
  <c r="I74" i="6"/>
  <c r="J74" i="6"/>
  <c r="F74" i="6"/>
  <c r="E74" i="6"/>
  <c r="D74" i="6"/>
  <c r="C74" i="6"/>
  <c r="B74" i="6"/>
  <c r="A74" i="6"/>
  <c r="M74" i="1"/>
  <c r="L74" i="1"/>
  <c r="G74" i="1"/>
  <c r="D74" i="2"/>
  <c r="F74" i="1"/>
  <c r="O74" i="1"/>
  <c r="E74" i="1"/>
  <c r="D74" i="10"/>
  <c r="K74" i="10"/>
  <c r="A74" i="1"/>
  <c r="A74" i="5"/>
  <c r="G73" i="2"/>
  <c r="F73" i="2"/>
  <c r="H73" i="2"/>
  <c r="J73" i="2"/>
  <c r="E73" i="2"/>
  <c r="D73" i="2"/>
  <c r="C73" i="2"/>
  <c r="B73" i="2"/>
  <c r="G73" i="5"/>
  <c r="K73" i="5"/>
  <c r="N73" i="5"/>
  <c r="E73" i="5"/>
  <c r="C73" i="5"/>
  <c r="B73" i="5"/>
  <c r="P73" i="10"/>
  <c r="AA73" i="10"/>
  <c r="O73" i="10"/>
  <c r="R73" i="10"/>
  <c r="H73" i="10"/>
  <c r="L73" i="10"/>
  <c r="X73" i="10"/>
  <c r="G73" i="10"/>
  <c r="I73" i="10"/>
  <c r="U73" i="10"/>
  <c r="E73" i="10"/>
  <c r="D73" i="10"/>
  <c r="K73" i="10"/>
  <c r="C73" i="10"/>
  <c r="B73" i="10"/>
  <c r="H73" i="6"/>
  <c r="I73" i="6"/>
  <c r="J73" i="6"/>
  <c r="F73" i="6"/>
  <c r="E73" i="6"/>
  <c r="D73" i="6"/>
  <c r="C73" i="6"/>
  <c r="B73" i="6"/>
  <c r="A73" i="6"/>
  <c r="M73" i="1"/>
  <c r="L73" i="1"/>
  <c r="G73" i="1"/>
  <c r="F73" i="1"/>
  <c r="D73" i="5"/>
  <c r="F73" i="5"/>
  <c r="E73" i="1"/>
  <c r="A73" i="1"/>
  <c r="G72" i="2"/>
  <c r="F72" i="2"/>
  <c r="H72" i="2"/>
  <c r="J72" i="2"/>
  <c r="E72" i="2"/>
  <c r="D72" i="2"/>
  <c r="C72" i="2"/>
  <c r="B72" i="2"/>
  <c r="G72" i="5"/>
  <c r="E72" i="5"/>
  <c r="C72" i="5"/>
  <c r="B72" i="5"/>
  <c r="P72" i="10"/>
  <c r="AA72" i="10"/>
  <c r="O72" i="10"/>
  <c r="X72" i="10"/>
  <c r="H72" i="10"/>
  <c r="L72" i="10"/>
  <c r="G72" i="10"/>
  <c r="I72" i="10"/>
  <c r="T72" i="10"/>
  <c r="E72" i="10"/>
  <c r="D72" i="10"/>
  <c r="K72" i="10"/>
  <c r="C72" i="10"/>
  <c r="B72" i="10"/>
  <c r="H72" i="6"/>
  <c r="I72" i="6"/>
  <c r="J72" i="6"/>
  <c r="F72" i="6"/>
  <c r="E72" i="6"/>
  <c r="D72" i="6"/>
  <c r="C72" i="6"/>
  <c r="B72" i="6"/>
  <c r="A72" i="6"/>
  <c r="M72" i="1"/>
  <c r="L72" i="1"/>
  <c r="G72" i="1"/>
  <c r="F72" i="1"/>
  <c r="E72" i="1"/>
  <c r="A72" i="1"/>
  <c r="A72" i="10"/>
  <c r="G71" i="2"/>
  <c r="F71" i="2"/>
  <c r="H71" i="2"/>
  <c r="J71" i="2"/>
  <c r="E71" i="2"/>
  <c r="D71" i="2"/>
  <c r="C71" i="2"/>
  <c r="B71" i="2"/>
  <c r="G71" i="5"/>
  <c r="E71" i="5"/>
  <c r="C71" i="5"/>
  <c r="B71" i="5"/>
  <c r="P71" i="10"/>
  <c r="AA71" i="10"/>
  <c r="O71" i="10"/>
  <c r="H71" i="10"/>
  <c r="L71" i="10"/>
  <c r="X71" i="10"/>
  <c r="G71" i="10"/>
  <c r="I71" i="10"/>
  <c r="E71" i="10"/>
  <c r="D71" i="10"/>
  <c r="C71" i="10"/>
  <c r="B71" i="10"/>
  <c r="H71" i="6"/>
  <c r="I71" i="6"/>
  <c r="J71" i="6"/>
  <c r="F71" i="6"/>
  <c r="E71" i="6"/>
  <c r="D71" i="6"/>
  <c r="C71" i="6"/>
  <c r="B71" i="6"/>
  <c r="A71" i="6"/>
  <c r="M71" i="1"/>
  <c r="L71" i="1"/>
  <c r="G71" i="1"/>
  <c r="F71" i="1"/>
  <c r="E71" i="1"/>
  <c r="A71" i="1"/>
  <c r="A71" i="10"/>
  <c r="G70" i="2"/>
  <c r="F70" i="2"/>
  <c r="H70" i="2"/>
  <c r="J70" i="2"/>
  <c r="E70" i="2"/>
  <c r="D70" i="2"/>
  <c r="C70" i="2"/>
  <c r="B70" i="2"/>
  <c r="G70" i="5"/>
  <c r="K70" i="5"/>
  <c r="N70" i="5"/>
  <c r="E70" i="5"/>
  <c r="C70" i="5"/>
  <c r="B70" i="5"/>
  <c r="P70" i="10"/>
  <c r="AA70" i="10"/>
  <c r="O70" i="10"/>
  <c r="L70" i="10"/>
  <c r="X70" i="10"/>
  <c r="H70" i="10"/>
  <c r="G70" i="10"/>
  <c r="I70" i="10"/>
  <c r="E70" i="10"/>
  <c r="D70" i="10"/>
  <c r="K70" i="10"/>
  <c r="C70" i="10"/>
  <c r="B70" i="10"/>
  <c r="H70" i="6"/>
  <c r="I70" i="6"/>
  <c r="J70" i="6"/>
  <c r="F70" i="6"/>
  <c r="E70" i="6"/>
  <c r="D70" i="6"/>
  <c r="C70" i="6"/>
  <c r="B70" i="6"/>
  <c r="A70" i="6"/>
  <c r="M70" i="1"/>
  <c r="L70" i="1"/>
  <c r="G70" i="1"/>
  <c r="F70" i="1"/>
  <c r="D70" i="5"/>
  <c r="E70" i="1"/>
  <c r="A70" i="1"/>
  <c r="G69" i="2"/>
  <c r="F69" i="2"/>
  <c r="H69" i="2"/>
  <c r="J69" i="2"/>
  <c r="E69" i="2"/>
  <c r="D69" i="2"/>
  <c r="C69" i="2"/>
  <c r="B69" i="2"/>
  <c r="G69" i="5"/>
  <c r="K69" i="5"/>
  <c r="N69" i="5"/>
  <c r="E69" i="5"/>
  <c r="C69" i="5"/>
  <c r="B69" i="5"/>
  <c r="A69" i="5"/>
  <c r="P69" i="10"/>
  <c r="AA69" i="10"/>
  <c r="O69" i="10"/>
  <c r="H69" i="10"/>
  <c r="L69" i="10"/>
  <c r="X69" i="10"/>
  <c r="G69" i="10"/>
  <c r="I69" i="10"/>
  <c r="E69" i="10"/>
  <c r="D69" i="10"/>
  <c r="C69" i="10"/>
  <c r="B69" i="10"/>
  <c r="H69" i="6"/>
  <c r="I69" i="6"/>
  <c r="J69" i="6"/>
  <c r="F69" i="6"/>
  <c r="E69" i="6"/>
  <c r="D69" i="6"/>
  <c r="C69" i="6"/>
  <c r="B69" i="6"/>
  <c r="A69" i="6"/>
  <c r="M69" i="1"/>
  <c r="L69" i="1"/>
  <c r="G69" i="1"/>
  <c r="F69" i="1"/>
  <c r="D69" i="5"/>
  <c r="E69" i="1"/>
  <c r="A69" i="1"/>
  <c r="A69" i="10"/>
  <c r="G68" i="2"/>
  <c r="K68" i="2"/>
  <c r="F68" i="2"/>
  <c r="H68" i="2"/>
  <c r="J68" i="2"/>
  <c r="E68" i="2"/>
  <c r="L68" i="2"/>
  <c r="D68" i="2"/>
  <c r="C68" i="2"/>
  <c r="B68" i="2"/>
  <c r="A68" i="2"/>
  <c r="G68" i="5"/>
  <c r="E68" i="5"/>
  <c r="C68" i="5"/>
  <c r="B68" i="5"/>
  <c r="P68" i="10"/>
  <c r="AA68" i="10"/>
  <c r="O68" i="10"/>
  <c r="H68" i="10"/>
  <c r="L68" i="10"/>
  <c r="X68" i="10"/>
  <c r="G68" i="10"/>
  <c r="I68" i="10"/>
  <c r="E68" i="10"/>
  <c r="D68" i="10"/>
  <c r="C68" i="10"/>
  <c r="B68" i="10"/>
  <c r="H68" i="6"/>
  <c r="I68" i="6"/>
  <c r="J68" i="6"/>
  <c r="F68" i="6"/>
  <c r="E68" i="6"/>
  <c r="D68" i="6"/>
  <c r="C68" i="6"/>
  <c r="B68" i="6"/>
  <c r="A68" i="6"/>
  <c r="M68" i="1"/>
  <c r="L68" i="1"/>
  <c r="G68" i="1"/>
  <c r="F68" i="1"/>
  <c r="O68" i="1"/>
  <c r="E68" i="1"/>
  <c r="A68" i="1"/>
  <c r="A68" i="5"/>
  <c r="F67" i="2"/>
  <c r="E67" i="2"/>
  <c r="D67" i="2"/>
  <c r="C67" i="2"/>
  <c r="B67" i="2"/>
  <c r="G67" i="5"/>
  <c r="K67" i="5"/>
  <c r="N67" i="5"/>
  <c r="E67" i="5"/>
  <c r="D67" i="5"/>
  <c r="C67" i="5"/>
  <c r="B67" i="5"/>
  <c r="P67" i="10"/>
  <c r="AA67" i="10"/>
  <c r="O67" i="10"/>
  <c r="H67" i="10"/>
  <c r="G67" i="10"/>
  <c r="E67" i="10"/>
  <c r="C67" i="10"/>
  <c r="B67" i="10"/>
  <c r="H67" i="6"/>
  <c r="I67" i="6"/>
  <c r="J67" i="6"/>
  <c r="F67" i="6"/>
  <c r="E67" i="6"/>
  <c r="D67" i="6"/>
  <c r="C67" i="6"/>
  <c r="B67" i="6"/>
  <c r="A67" i="6"/>
  <c r="O67" i="1"/>
  <c r="M67" i="1"/>
  <c r="L67" i="1"/>
  <c r="G67" i="1"/>
  <c r="F67" i="1"/>
  <c r="E67" i="1"/>
  <c r="D67" i="10"/>
  <c r="A67" i="1"/>
  <c r="F66" i="2"/>
  <c r="H66" i="2"/>
  <c r="J66" i="2"/>
  <c r="E66" i="2"/>
  <c r="C66" i="2"/>
  <c r="B66" i="2"/>
  <c r="G66" i="5"/>
  <c r="K66" i="5"/>
  <c r="N66" i="5"/>
  <c r="E66" i="5"/>
  <c r="D66" i="5"/>
  <c r="C66" i="5"/>
  <c r="B66" i="5"/>
  <c r="P66" i="10"/>
  <c r="AA66" i="10"/>
  <c r="O66" i="10"/>
  <c r="H66" i="10"/>
  <c r="G66" i="10"/>
  <c r="E66" i="10"/>
  <c r="C66" i="10"/>
  <c r="B66" i="10"/>
  <c r="H66" i="6"/>
  <c r="I66" i="6"/>
  <c r="J66" i="6"/>
  <c r="F66" i="6"/>
  <c r="E66" i="6"/>
  <c r="D66" i="6"/>
  <c r="C66" i="6"/>
  <c r="B66" i="6"/>
  <c r="A66" i="6"/>
  <c r="O66" i="1"/>
  <c r="M66" i="1"/>
  <c r="L66" i="1"/>
  <c r="G66" i="1"/>
  <c r="F66" i="1"/>
  <c r="D66" i="2"/>
  <c r="E66" i="1"/>
  <c r="D66" i="10"/>
  <c r="K66" i="10"/>
  <c r="A66" i="1"/>
  <c r="F65" i="2"/>
  <c r="H65" i="2"/>
  <c r="J65" i="2"/>
  <c r="E65" i="2"/>
  <c r="C65" i="2"/>
  <c r="B65" i="2"/>
  <c r="G65" i="5"/>
  <c r="K65" i="5"/>
  <c r="N65" i="5"/>
  <c r="E65" i="5"/>
  <c r="D65" i="5"/>
  <c r="C65" i="5"/>
  <c r="B65" i="5"/>
  <c r="P65" i="10"/>
  <c r="AA65" i="10"/>
  <c r="O65" i="10"/>
  <c r="H65" i="10"/>
  <c r="G65" i="10"/>
  <c r="C65" i="10"/>
  <c r="B65" i="10"/>
  <c r="H65" i="6"/>
  <c r="I65" i="6"/>
  <c r="J65" i="6"/>
  <c r="F65" i="6"/>
  <c r="E65" i="6"/>
  <c r="D65" i="6"/>
  <c r="C65" i="6"/>
  <c r="B65" i="6"/>
  <c r="A65" i="6"/>
  <c r="O65" i="1"/>
  <c r="M65" i="1"/>
  <c r="L65" i="1"/>
  <c r="G65" i="1"/>
  <c r="F65" i="1"/>
  <c r="E65" i="1"/>
  <c r="D65" i="10"/>
  <c r="A65" i="1"/>
  <c r="A65" i="2"/>
  <c r="H64" i="2"/>
  <c r="J64" i="2"/>
  <c r="F64" i="2"/>
  <c r="E64" i="2"/>
  <c r="L64" i="2"/>
  <c r="C64" i="2"/>
  <c r="B64" i="2"/>
  <c r="A64" i="2"/>
  <c r="G64" i="5"/>
  <c r="K64" i="5"/>
  <c r="N64" i="5"/>
  <c r="E64" i="5"/>
  <c r="D64" i="5"/>
  <c r="C64" i="5"/>
  <c r="B64" i="5"/>
  <c r="A64" i="5"/>
  <c r="P64" i="10"/>
  <c r="AA64" i="10"/>
  <c r="O64" i="10"/>
  <c r="H64" i="10"/>
  <c r="G64" i="10"/>
  <c r="C64" i="10"/>
  <c r="B64" i="10"/>
  <c r="A64" i="10"/>
  <c r="H64" i="6"/>
  <c r="I64" i="6"/>
  <c r="J64" i="6"/>
  <c r="F64" i="6"/>
  <c r="E64" i="6"/>
  <c r="D64" i="6"/>
  <c r="C64" i="6"/>
  <c r="B64" i="6"/>
  <c r="A64" i="6"/>
  <c r="O64" i="1"/>
  <c r="M64" i="1"/>
  <c r="L64" i="1"/>
  <c r="G64" i="1"/>
  <c r="F64" i="1"/>
  <c r="E64" i="1"/>
  <c r="D64" i="10"/>
  <c r="A64" i="1"/>
  <c r="F63" i="2"/>
  <c r="H63" i="2"/>
  <c r="J63" i="2"/>
  <c r="E63" i="2"/>
  <c r="C63" i="2"/>
  <c r="B63" i="2"/>
  <c r="G63" i="5"/>
  <c r="K63" i="5"/>
  <c r="N63" i="5"/>
  <c r="E63" i="5"/>
  <c r="C63" i="5"/>
  <c r="B63" i="5"/>
  <c r="P63" i="10"/>
  <c r="AA63" i="10"/>
  <c r="O63" i="10"/>
  <c r="H63" i="10"/>
  <c r="G63" i="10"/>
  <c r="C63" i="10"/>
  <c r="B63" i="10"/>
  <c r="H63" i="6"/>
  <c r="I63" i="6"/>
  <c r="J63" i="6"/>
  <c r="F63" i="6"/>
  <c r="E63" i="6"/>
  <c r="D63" i="6"/>
  <c r="C63" i="6"/>
  <c r="B63" i="6"/>
  <c r="A63" i="6"/>
  <c r="M63" i="1"/>
  <c r="L63" i="1"/>
  <c r="G63" i="1"/>
  <c r="F63" i="1"/>
  <c r="E63" i="1"/>
  <c r="D63" i="10"/>
  <c r="K63" i="10"/>
  <c r="A63" i="1"/>
  <c r="F62" i="2"/>
  <c r="E62" i="2"/>
  <c r="C62" i="2"/>
  <c r="B62" i="2"/>
  <c r="G62" i="5"/>
  <c r="E62" i="5"/>
  <c r="C62" i="5"/>
  <c r="B62" i="5"/>
  <c r="P62" i="10"/>
  <c r="AA62" i="10"/>
  <c r="O62" i="10"/>
  <c r="H62" i="10"/>
  <c r="G62" i="10"/>
  <c r="C62" i="10"/>
  <c r="B62" i="10"/>
  <c r="H62" i="6"/>
  <c r="I62" i="6"/>
  <c r="J62" i="6"/>
  <c r="F62" i="6"/>
  <c r="E62" i="6"/>
  <c r="D62" i="6"/>
  <c r="C62" i="6"/>
  <c r="B62" i="6"/>
  <c r="A62" i="6"/>
  <c r="M62" i="1"/>
  <c r="L62" i="1"/>
  <c r="G62" i="1"/>
  <c r="F62" i="1"/>
  <c r="E62" i="1"/>
  <c r="D62" i="10"/>
  <c r="A62" i="1"/>
  <c r="F61" i="2"/>
  <c r="H61" i="2"/>
  <c r="J61" i="2"/>
  <c r="E61" i="2"/>
  <c r="C61" i="2"/>
  <c r="B61" i="2"/>
  <c r="A61" i="2"/>
  <c r="G61" i="5"/>
  <c r="E61" i="5"/>
  <c r="C61" i="5"/>
  <c r="B61" i="5"/>
  <c r="P61" i="10"/>
  <c r="AA61" i="10"/>
  <c r="O61" i="10"/>
  <c r="H61" i="10"/>
  <c r="G61" i="10"/>
  <c r="C61" i="10"/>
  <c r="B61" i="10"/>
  <c r="H61" i="6"/>
  <c r="I61" i="6"/>
  <c r="J61" i="6"/>
  <c r="F61" i="6"/>
  <c r="E61" i="6"/>
  <c r="D61" i="6"/>
  <c r="C61" i="6"/>
  <c r="B61" i="6"/>
  <c r="A61" i="6"/>
  <c r="M61" i="1"/>
  <c r="L61" i="1"/>
  <c r="G61" i="1"/>
  <c r="F61" i="1"/>
  <c r="E61" i="1"/>
  <c r="D61" i="10"/>
  <c r="A61" i="1"/>
  <c r="A61" i="5"/>
  <c r="F60" i="2"/>
  <c r="H60" i="2"/>
  <c r="J60" i="2"/>
  <c r="E60" i="2"/>
  <c r="C60" i="2"/>
  <c r="B60" i="2"/>
  <c r="G60" i="5"/>
  <c r="E60" i="5"/>
  <c r="C60" i="5"/>
  <c r="B60" i="5"/>
  <c r="P60" i="10"/>
  <c r="AA60" i="10"/>
  <c r="O60" i="10"/>
  <c r="H60" i="10"/>
  <c r="G60" i="10"/>
  <c r="E60" i="10"/>
  <c r="C60" i="10"/>
  <c r="B60" i="10"/>
  <c r="H60" i="6"/>
  <c r="I60" i="6"/>
  <c r="J60" i="6"/>
  <c r="F60" i="6"/>
  <c r="E60" i="6"/>
  <c r="D60" i="6"/>
  <c r="G60" i="6"/>
  <c r="C60" i="6"/>
  <c r="B60" i="6"/>
  <c r="A60" i="6"/>
  <c r="M60" i="1"/>
  <c r="L60" i="1"/>
  <c r="G60" i="1"/>
  <c r="F60" i="1"/>
  <c r="D60" i="2"/>
  <c r="E60" i="1"/>
  <c r="D60" i="10"/>
  <c r="K60" i="10"/>
  <c r="A60" i="1"/>
  <c r="A60" i="10"/>
  <c r="F59" i="2"/>
  <c r="H59" i="2"/>
  <c r="J59" i="2"/>
  <c r="E59" i="2"/>
  <c r="C59" i="2"/>
  <c r="B59" i="2"/>
  <c r="G59" i="5"/>
  <c r="E59" i="5"/>
  <c r="D59" i="5"/>
  <c r="C59" i="5"/>
  <c r="B59" i="5"/>
  <c r="P59" i="10"/>
  <c r="AA59" i="10"/>
  <c r="O59" i="10"/>
  <c r="H59" i="10"/>
  <c r="G59" i="10"/>
  <c r="E59" i="10"/>
  <c r="C59" i="10"/>
  <c r="B59" i="10"/>
  <c r="A59" i="10"/>
  <c r="H59" i="6"/>
  <c r="I59" i="6"/>
  <c r="J59" i="6"/>
  <c r="F59" i="6"/>
  <c r="E59" i="6"/>
  <c r="D59" i="6"/>
  <c r="C59" i="6"/>
  <c r="B59" i="6"/>
  <c r="A59" i="6"/>
  <c r="M59" i="1"/>
  <c r="L59" i="1"/>
  <c r="G59" i="1"/>
  <c r="F59" i="1"/>
  <c r="D59" i="2"/>
  <c r="E59" i="1"/>
  <c r="D59" i="10"/>
  <c r="K59" i="10"/>
  <c r="A59" i="1"/>
  <c r="A59" i="5"/>
  <c r="F58" i="2"/>
  <c r="H58" i="2"/>
  <c r="J58" i="2"/>
  <c r="E58" i="2"/>
  <c r="L58" i="2"/>
  <c r="C58" i="2"/>
  <c r="B58" i="2"/>
  <c r="G58" i="5"/>
  <c r="E58" i="5"/>
  <c r="C58" i="5"/>
  <c r="B58" i="5"/>
  <c r="P58" i="10"/>
  <c r="O58" i="10"/>
  <c r="H58" i="10"/>
  <c r="G58" i="10"/>
  <c r="C58" i="10"/>
  <c r="B58" i="10"/>
  <c r="H58" i="6"/>
  <c r="I58" i="6"/>
  <c r="J58" i="6"/>
  <c r="F58" i="6"/>
  <c r="E58" i="6"/>
  <c r="D58" i="6"/>
  <c r="C58" i="6"/>
  <c r="B58" i="6"/>
  <c r="A58" i="6"/>
  <c r="M58" i="1"/>
  <c r="L58" i="1"/>
  <c r="G58" i="1"/>
  <c r="F58" i="1"/>
  <c r="E58" i="1"/>
  <c r="D58" i="10"/>
  <c r="A58" i="1"/>
  <c r="A58" i="10"/>
  <c r="F57" i="2"/>
  <c r="E57" i="2"/>
  <c r="C57" i="2"/>
  <c r="B57" i="2"/>
  <c r="G57" i="5"/>
  <c r="K57" i="5"/>
  <c r="N57" i="5"/>
  <c r="E57" i="5"/>
  <c r="C57" i="5"/>
  <c r="B57" i="5"/>
  <c r="P57" i="10"/>
  <c r="AA57" i="10"/>
  <c r="O57" i="10"/>
  <c r="H57" i="10"/>
  <c r="G57" i="10"/>
  <c r="C57" i="10"/>
  <c r="B57" i="10"/>
  <c r="A57" i="10"/>
  <c r="H57" i="6"/>
  <c r="I57" i="6"/>
  <c r="J57" i="6"/>
  <c r="F57" i="6"/>
  <c r="E57" i="6"/>
  <c r="G57" i="6"/>
  <c r="D57" i="6"/>
  <c r="C57" i="6"/>
  <c r="B57" i="6"/>
  <c r="A57" i="6"/>
  <c r="M57" i="1"/>
  <c r="L57" i="1"/>
  <c r="G57" i="1"/>
  <c r="F57" i="1"/>
  <c r="E57" i="1"/>
  <c r="D57" i="10"/>
  <c r="K57" i="10"/>
  <c r="A57" i="1"/>
  <c r="F56" i="2"/>
  <c r="H56" i="2"/>
  <c r="J56" i="2"/>
  <c r="E56" i="2"/>
  <c r="C56" i="2"/>
  <c r="B56" i="2"/>
  <c r="G56" i="5"/>
  <c r="E56" i="5"/>
  <c r="C56" i="5"/>
  <c r="B56" i="5"/>
  <c r="P56" i="10"/>
  <c r="AA56" i="10"/>
  <c r="O56" i="10"/>
  <c r="H56" i="10"/>
  <c r="G56" i="10"/>
  <c r="E56" i="10"/>
  <c r="C56" i="10"/>
  <c r="B56" i="10"/>
  <c r="A56" i="10"/>
  <c r="H56" i="6"/>
  <c r="I56" i="6"/>
  <c r="J56" i="6"/>
  <c r="F56" i="6"/>
  <c r="E56" i="6"/>
  <c r="D56" i="6"/>
  <c r="C56" i="6"/>
  <c r="B56" i="6"/>
  <c r="A56" i="6"/>
  <c r="M56" i="1"/>
  <c r="L56" i="1"/>
  <c r="G56" i="1"/>
  <c r="F56" i="1"/>
  <c r="D56" i="2"/>
  <c r="E56" i="1"/>
  <c r="D56" i="10"/>
  <c r="A56" i="1"/>
  <c r="F55" i="2"/>
  <c r="H55" i="2"/>
  <c r="J55" i="2"/>
  <c r="E55" i="2"/>
  <c r="C55" i="2"/>
  <c r="B55" i="2"/>
  <c r="G55" i="5"/>
  <c r="E55" i="5"/>
  <c r="C55" i="5"/>
  <c r="B55" i="5"/>
  <c r="P55" i="10"/>
  <c r="AA55" i="10"/>
  <c r="O55" i="10"/>
  <c r="H55" i="10"/>
  <c r="G55" i="10"/>
  <c r="C55" i="10"/>
  <c r="B55" i="10"/>
  <c r="H55" i="6"/>
  <c r="I55" i="6"/>
  <c r="J55" i="6"/>
  <c r="F55" i="6"/>
  <c r="E55" i="6"/>
  <c r="D55" i="6"/>
  <c r="C55" i="6"/>
  <c r="B55" i="6"/>
  <c r="A55" i="6"/>
  <c r="M55" i="1"/>
  <c r="L55" i="1"/>
  <c r="G55" i="1"/>
  <c r="F55" i="1"/>
  <c r="E55" i="1"/>
  <c r="D55" i="10"/>
  <c r="A55" i="1"/>
  <c r="F54" i="2"/>
  <c r="H54" i="2"/>
  <c r="J54" i="2"/>
  <c r="E54" i="2"/>
  <c r="C54" i="2"/>
  <c r="B54" i="2"/>
  <c r="G54" i="5"/>
  <c r="E54" i="5"/>
  <c r="C54" i="5"/>
  <c r="B54" i="5"/>
  <c r="P54" i="10"/>
  <c r="AA54" i="10"/>
  <c r="O54" i="10"/>
  <c r="H54" i="10"/>
  <c r="G54" i="10"/>
  <c r="C54" i="10"/>
  <c r="B54" i="10"/>
  <c r="H54" i="6"/>
  <c r="I54" i="6"/>
  <c r="J54" i="6"/>
  <c r="F54" i="6"/>
  <c r="E54" i="6"/>
  <c r="D54" i="6"/>
  <c r="C54" i="6"/>
  <c r="B54" i="6"/>
  <c r="A54" i="6"/>
  <c r="M54" i="1"/>
  <c r="L54" i="1"/>
  <c r="G54" i="1"/>
  <c r="F54" i="1"/>
  <c r="E54" i="1"/>
  <c r="D54" i="10"/>
  <c r="A54" i="1"/>
  <c r="F53" i="2"/>
  <c r="H53" i="2"/>
  <c r="J53" i="2"/>
  <c r="E53" i="2"/>
  <c r="C53" i="2"/>
  <c r="B53" i="2"/>
  <c r="G53" i="5"/>
  <c r="E53" i="5"/>
  <c r="C53" i="5"/>
  <c r="B53" i="5"/>
  <c r="P53" i="10"/>
  <c r="AA53" i="10"/>
  <c r="O53" i="10"/>
  <c r="H53" i="10"/>
  <c r="G53" i="10"/>
  <c r="C53" i="10"/>
  <c r="B53" i="10"/>
  <c r="A53" i="10"/>
  <c r="H53" i="6"/>
  <c r="I53" i="6"/>
  <c r="J53" i="6"/>
  <c r="F53" i="6"/>
  <c r="E53" i="6"/>
  <c r="D53" i="6"/>
  <c r="C53" i="6"/>
  <c r="B53" i="6"/>
  <c r="A53" i="6"/>
  <c r="M53" i="1"/>
  <c r="L53" i="1"/>
  <c r="G53" i="1"/>
  <c r="F53" i="1"/>
  <c r="E53" i="1"/>
  <c r="D53" i="10"/>
  <c r="K53" i="10"/>
  <c r="A53" i="1"/>
  <c r="G52" i="2"/>
  <c r="F52" i="2"/>
  <c r="H52" i="2"/>
  <c r="J52" i="2"/>
  <c r="E52" i="2"/>
  <c r="D52" i="2"/>
  <c r="C52" i="2"/>
  <c r="B52" i="2"/>
  <c r="A52" i="2"/>
  <c r="G52" i="5"/>
  <c r="E52" i="5"/>
  <c r="C52" i="5"/>
  <c r="B52" i="5"/>
  <c r="P52" i="10"/>
  <c r="AA52" i="10"/>
  <c r="O52" i="10"/>
  <c r="H52" i="10"/>
  <c r="L52" i="10"/>
  <c r="X52" i="10"/>
  <c r="G52" i="10"/>
  <c r="I52" i="10"/>
  <c r="E52" i="10"/>
  <c r="D52" i="10"/>
  <c r="C52" i="10"/>
  <c r="B52" i="10"/>
  <c r="H52" i="6"/>
  <c r="I52" i="6"/>
  <c r="J52" i="6"/>
  <c r="F52" i="6"/>
  <c r="E52" i="6"/>
  <c r="D52" i="6"/>
  <c r="C52" i="6"/>
  <c r="B52" i="6"/>
  <c r="A52" i="6"/>
  <c r="M52" i="1"/>
  <c r="L52" i="1"/>
  <c r="G52" i="1"/>
  <c r="F52" i="1"/>
  <c r="D52" i="5"/>
  <c r="E52" i="1"/>
  <c r="A52" i="1"/>
  <c r="A52" i="10"/>
  <c r="G51" i="2"/>
  <c r="F51" i="2"/>
  <c r="H51" i="2"/>
  <c r="J51" i="2"/>
  <c r="E51" i="2"/>
  <c r="D51" i="2"/>
  <c r="C51" i="2"/>
  <c r="B51" i="2"/>
  <c r="G51" i="5"/>
  <c r="K51" i="5"/>
  <c r="N51" i="5"/>
  <c r="E51" i="5"/>
  <c r="D51" i="5"/>
  <c r="C51" i="5"/>
  <c r="B51" i="5"/>
  <c r="P51" i="10"/>
  <c r="AA51" i="10"/>
  <c r="O51" i="10"/>
  <c r="H51" i="10"/>
  <c r="G51" i="10"/>
  <c r="I51" i="10"/>
  <c r="C51" i="10"/>
  <c r="B51" i="10"/>
  <c r="H51" i="6"/>
  <c r="I51" i="6"/>
  <c r="J51" i="6"/>
  <c r="F51" i="6"/>
  <c r="E51" i="6"/>
  <c r="D51" i="6"/>
  <c r="C51" i="6"/>
  <c r="B51" i="6"/>
  <c r="A51" i="6"/>
  <c r="O51" i="1"/>
  <c r="M51" i="1"/>
  <c r="L51" i="1"/>
  <c r="G51" i="1"/>
  <c r="F51" i="1"/>
  <c r="E51" i="10"/>
  <c r="E51" i="1"/>
  <c r="D51" i="10"/>
  <c r="A51" i="1"/>
  <c r="H50" i="2"/>
  <c r="J50" i="2"/>
  <c r="F50" i="2"/>
  <c r="E50" i="2"/>
  <c r="C50" i="2"/>
  <c r="B50" i="2"/>
  <c r="A50" i="2"/>
  <c r="G50" i="5"/>
  <c r="E50" i="5"/>
  <c r="C50" i="5"/>
  <c r="B50" i="5"/>
  <c r="P50" i="10"/>
  <c r="AA50" i="10"/>
  <c r="O50" i="10"/>
  <c r="R50" i="10"/>
  <c r="H50" i="10"/>
  <c r="G50" i="10"/>
  <c r="C50" i="10"/>
  <c r="B50" i="10"/>
  <c r="H50" i="6"/>
  <c r="I50" i="6"/>
  <c r="J50" i="6"/>
  <c r="F50" i="6"/>
  <c r="E50" i="6"/>
  <c r="D50" i="6"/>
  <c r="C50" i="6"/>
  <c r="B50" i="6"/>
  <c r="A50" i="6"/>
  <c r="M50" i="1"/>
  <c r="L50" i="1"/>
  <c r="G50" i="1"/>
  <c r="D50" i="2"/>
  <c r="F50" i="1"/>
  <c r="D50" i="5"/>
  <c r="E50" i="1"/>
  <c r="D50" i="10"/>
  <c r="A50" i="1"/>
  <c r="A50" i="5"/>
  <c r="G49" i="2"/>
  <c r="F49" i="2"/>
  <c r="H49" i="2"/>
  <c r="J49" i="2"/>
  <c r="E49" i="2"/>
  <c r="D49" i="2"/>
  <c r="C49" i="2"/>
  <c r="B49" i="2"/>
  <c r="G49" i="5"/>
  <c r="E49" i="5"/>
  <c r="C49" i="5"/>
  <c r="B49" i="5"/>
  <c r="P49" i="10"/>
  <c r="AA49" i="10"/>
  <c r="O49" i="10"/>
  <c r="L49" i="10"/>
  <c r="X49" i="10"/>
  <c r="H49" i="10"/>
  <c r="G49" i="10"/>
  <c r="I49" i="10"/>
  <c r="E49" i="10"/>
  <c r="D49" i="10"/>
  <c r="K49" i="10"/>
  <c r="C49" i="10"/>
  <c r="B49" i="10"/>
  <c r="H49" i="6"/>
  <c r="I49" i="6"/>
  <c r="J49" i="6"/>
  <c r="F49" i="6"/>
  <c r="E49" i="6"/>
  <c r="D49" i="6"/>
  <c r="C49" i="6"/>
  <c r="B49" i="6"/>
  <c r="A49" i="6"/>
  <c r="M49" i="1"/>
  <c r="L49" i="1"/>
  <c r="G49" i="1"/>
  <c r="F49" i="1"/>
  <c r="D49" i="5"/>
  <c r="E49" i="1"/>
  <c r="A49" i="1"/>
  <c r="G48" i="2"/>
  <c r="F48" i="2"/>
  <c r="H48" i="2"/>
  <c r="J48" i="2"/>
  <c r="E48" i="2"/>
  <c r="D48" i="2"/>
  <c r="C48" i="2"/>
  <c r="B48" i="2"/>
  <c r="A48" i="2"/>
  <c r="G48" i="5"/>
  <c r="E48" i="5"/>
  <c r="C48" i="5"/>
  <c r="B48" i="5"/>
  <c r="P48" i="10"/>
  <c r="AA48" i="10"/>
  <c r="O48" i="10"/>
  <c r="R48" i="10"/>
  <c r="H48" i="10"/>
  <c r="G48" i="10"/>
  <c r="I48" i="10"/>
  <c r="C48" i="10"/>
  <c r="B48" i="10"/>
  <c r="H48" i="6"/>
  <c r="I48" i="6"/>
  <c r="J48" i="6"/>
  <c r="F48" i="6"/>
  <c r="E48" i="6"/>
  <c r="D48" i="6"/>
  <c r="C48" i="6"/>
  <c r="B48" i="6"/>
  <c r="A48" i="6"/>
  <c r="M48" i="1"/>
  <c r="L48" i="1"/>
  <c r="G48" i="1"/>
  <c r="F48" i="1"/>
  <c r="E48" i="10"/>
  <c r="E48" i="1"/>
  <c r="D48" i="10"/>
  <c r="A48" i="1"/>
  <c r="A48" i="10"/>
  <c r="G47" i="2"/>
  <c r="F47" i="2"/>
  <c r="E47" i="2"/>
  <c r="D47" i="2"/>
  <c r="C47" i="2"/>
  <c r="B47" i="2"/>
  <c r="G47" i="5"/>
  <c r="E47" i="5"/>
  <c r="C47" i="5"/>
  <c r="B47" i="5"/>
  <c r="P47" i="10"/>
  <c r="AA47" i="10"/>
  <c r="O47" i="10"/>
  <c r="H47" i="10"/>
  <c r="L47" i="10"/>
  <c r="X47" i="10"/>
  <c r="G47" i="10"/>
  <c r="I47" i="10"/>
  <c r="E47" i="10"/>
  <c r="D47" i="10"/>
  <c r="C47" i="10"/>
  <c r="B47" i="10"/>
  <c r="H47" i="6"/>
  <c r="I47" i="6"/>
  <c r="J47" i="6"/>
  <c r="F47" i="6"/>
  <c r="E47" i="6"/>
  <c r="D47" i="6"/>
  <c r="C47" i="6"/>
  <c r="B47" i="6"/>
  <c r="A47" i="6"/>
  <c r="M47" i="1"/>
  <c r="L47" i="1"/>
  <c r="G47" i="1"/>
  <c r="F47" i="1"/>
  <c r="D47" i="5"/>
  <c r="E47" i="1"/>
  <c r="A47" i="1"/>
  <c r="G46" i="2"/>
  <c r="F46" i="2"/>
  <c r="H46" i="2"/>
  <c r="J46" i="2"/>
  <c r="E46" i="2"/>
  <c r="D46" i="2"/>
  <c r="C46" i="2"/>
  <c r="B46" i="2"/>
  <c r="G46" i="5"/>
  <c r="K46" i="5"/>
  <c r="N46" i="5"/>
  <c r="E46" i="5"/>
  <c r="D46" i="5"/>
  <c r="C46" i="5"/>
  <c r="B46" i="5"/>
  <c r="P46" i="10"/>
  <c r="AA46" i="10"/>
  <c r="O46" i="10"/>
  <c r="H46" i="10"/>
  <c r="L46" i="10"/>
  <c r="X46" i="10"/>
  <c r="G46" i="10"/>
  <c r="I46" i="10"/>
  <c r="E46" i="10"/>
  <c r="D46" i="10"/>
  <c r="K46" i="10"/>
  <c r="C46" i="10"/>
  <c r="B46" i="10"/>
  <c r="H46" i="6"/>
  <c r="I46" i="6"/>
  <c r="J46" i="6"/>
  <c r="F46" i="6"/>
  <c r="E46" i="6"/>
  <c r="D46" i="6"/>
  <c r="C46" i="6"/>
  <c r="B46" i="6"/>
  <c r="A46" i="6"/>
  <c r="O46" i="1"/>
  <c r="M46" i="1"/>
  <c r="L46" i="1"/>
  <c r="G46" i="1"/>
  <c r="F46" i="1"/>
  <c r="E46" i="1"/>
  <c r="A46" i="1"/>
  <c r="G45" i="2"/>
  <c r="F45" i="2"/>
  <c r="H45" i="2"/>
  <c r="J45" i="2"/>
  <c r="E45" i="2"/>
  <c r="D45" i="2"/>
  <c r="C45" i="2"/>
  <c r="B45" i="2"/>
  <c r="G45" i="5"/>
  <c r="E45" i="5"/>
  <c r="C45" i="5"/>
  <c r="B45" i="5"/>
  <c r="P45" i="10"/>
  <c r="AA45" i="10"/>
  <c r="O45" i="10"/>
  <c r="H45" i="10"/>
  <c r="G45" i="10"/>
  <c r="I45" i="10"/>
  <c r="U45" i="10"/>
  <c r="E45" i="10"/>
  <c r="D45" i="10"/>
  <c r="C45" i="10"/>
  <c r="B45" i="10"/>
  <c r="H45" i="6"/>
  <c r="I45" i="6"/>
  <c r="J45" i="6"/>
  <c r="F45" i="6"/>
  <c r="E45" i="6"/>
  <c r="D45" i="6"/>
  <c r="C45" i="6"/>
  <c r="B45" i="6"/>
  <c r="A45" i="6"/>
  <c r="M45" i="1"/>
  <c r="L45" i="1"/>
  <c r="G45" i="1"/>
  <c r="F45" i="1"/>
  <c r="O45" i="1"/>
  <c r="E45" i="1"/>
  <c r="A45" i="1"/>
  <c r="A45" i="10"/>
  <c r="G44" i="2"/>
  <c r="F44" i="2"/>
  <c r="H44" i="2"/>
  <c r="J44" i="2"/>
  <c r="E44" i="2"/>
  <c r="D44" i="2"/>
  <c r="C44" i="2"/>
  <c r="B44" i="2"/>
  <c r="G44" i="5"/>
  <c r="K44" i="5"/>
  <c r="N44" i="5"/>
  <c r="E44" i="5"/>
  <c r="C44" i="5"/>
  <c r="B44" i="5"/>
  <c r="P44" i="10"/>
  <c r="AA44" i="10"/>
  <c r="O44" i="10"/>
  <c r="H44" i="10"/>
  <c r="G44" i="10"/>
  <c r="I44" i="10"/>
  <c r="E44" i="10"/>
  <c r="D44" i="10"/>
  <c r="K44" i="10"/>
  <c r="C44" i="10"/>
  <c r="B44" i="10"/>
  <c r="H44" i="6"/>
  <c r="I44" i="6"/>
  <c r="J44" i="6"/>
  <c r="F44" i="6"/>
  <c r="E44" i="6"/>
  <c r="D44" i="6"/>
  <c r="C44" i="6"/>
  <c r="B44" i="6"/>
  <c r="A44" i="6"/>
  <c r="M44" i="1"/>
  <c r="L44" i="1"/>
  <c r="G44" i="1"/>
  <c r="F44" i="1"/>
  <c r="D44" i="5"/>
  <c r="E44" i="1"/>
  <c r="A44" i="1"/>
  <c r="G43" i="2"/>
  <c r="F43" i="2"/>
  <c r="H43" i="2"/>
  <c r="J43" i="2"/>
  <c r="E43" i="2"/>
  <c r="D43" i="2"/>
  <c r="C43" i="2"/>
  <c r="B43" i="2"/>
  <c r="G43" i="5"/>
  <c r="E43" i="5"/>
  <c r="C43" i="5"/>
  <c r="B43" i="5"/>
  <c r="P43" i="10"/>
  <c r="AA43" i="10"/>
  <c r="O43" i="10"/>
  <c r="H43" i="10"/>
  <c r="L43" i="10"/>
  <c r="X43" i="10"/>
  <c r="G43" i="10"/>
  <c r="I43" i="10"/>
  <c r="E43" i="10"/>
  <c r="D43" i="10"/>
  <c r="C43" i="10"/>
  <c r="B43" i="10"/>
  <c r="H43" i="6"/>
  <c r="I43" i="6"/>
  <c r="J43" i="6"/>
  <c r="F43" i="6"/>
  <c r="E43" i="6"/>
  <c r="D43" i="6"/>
  <c r="C43" i="6"/>
  <c r="B43" i="6"/>
  <c r="A43" i="6"/>
  <c r="M43" i="1"/>
  <c r="L43" i="1"/>
  <c r="G43" i="1"/>
  <c r="F43" i="1"/>
  <c r="D43" i="5"/>
  <c r="E43" i="1"/>
  <c r="A43" i="1"/>
  <c r="G42" i="2"/>
  <c r="F42" i="2"/>
  <c r="H42" i="2"/>
  <c r="J42" i="2"/>
  <c r="E42" i="2"/>
  <c r="D42" i="2"/>
  <c r="C42" i="2"/>
  <c r="B42" i="2"/>
  <c r="G42" i="5"/>
  <c r="E42" i="5"/>
  <c r="C42" i="5"/>
  <c r="B42" i="5"/>
  <c r="A42" i="5"/>
  <c r="P42" i="10"/>
  <c r="AA42" i="10"/>
  <c r="O42" i="10"/>
  <c r="H42" i="10"/>
  <c r="L42" i="10"/>
  <c r="X42" i="10"/>
  <c r="G42" i="10"/>
  <c r="I42" i="10"/>
  <c r="T42" i="10"/>
  <c r="E42" i="10"/>
  <c r="D42" i="10"/>
  <c r="C42" i="10"/>
  <c r="B42" i="10"/>
  <c r="H42" i="6"/>
  <c r="I42" i="6"/>
  <c r="J42" i="6"/>
  <c r="F42" i="6"/>
  <c r="E42" i="6"/>
  <c r="D42" i="6"/>
  <c r="C42" i="6"/>
  <c r="B42" i="6"/>
  <c r="A42" i="6"/>
  <c r="M42" i="1"/>
  <c r="L42" i="1"/>
  <c r="G42" i="1"/>
  <c r="F42" i="1"/>
  <c r="O42" i="1"/>
  <c r="E42" i="1"/>
  <c r="A42" i="1"/>
  <c r="A42" i="10"/>
  <c r="G41" i="2"/>
  <c r="F41" i="2"/>
  <c r="H41" i="2"/>
  <c r="J41" i="2"/>
  <c r="E41" i="2"/>
  <c r="D41" i="2"/>
  <c r="C41" i="2"/>
  <c r="B41" i="2"/>
  <c r="G41" i="5"/>
  <c r="E41" i="5"/>
  <c r="C41" i="5"/>
  <c r="B41" i="5"/>
  <c r="P41" i="10"/>
  <c r="AA41" i="10"/>
  <c r="O41" i="10"/>
  <c r="H41" i="10"/>
  <c r="G41" i="10"/>
  <c r="I41" i="10"/>
  <c r="E41" i="10"/>
  <c r="D41" i="10"/>
  <c r="K41" i="10"/>
  <c r="C41" i="10"/>
  <c r="B41" i="10"/>
  <c r="H41" i="6"/>
  <c r="I41" i="6"/>
  <c r="J41" i="6"/>
  <c r="L41" i="6"/>
  <c r="F41" i="6"/>
  <c r="E41" i="6"/>
  <c r="D41" i="6"/>
  <c r="C41" i="6"/>
  <c r="B41" i="6"/>
  <c r="A41" i="6"/>
  <c r="M41" i="1"/>
  <c r="L41" i="1"/>
  <c r="G41" i="1"/>
  <c r="F41" i="1"/>
  <c r="D41" i="5"/>
  <c r="E41" i="1"/>
  <c r="A41" i="1"/>
  <c r="G40" i="2"/>
  <c r="F40" i="2"/>
  <c r="E40" i="2"/>
  <c r="D40" i="2"/>
  <c r="C40" i="2"/>
  <c r="B40" i="2"/>
  <c r="G40" i="5"/>
  <c r="E40" i="5"/>
  <c r="C40" i="5"/>
  <c r="B40" i="5"/>
  <c r="P40" i="10"/>
  <c r="AA40" i="10"/>
  <c r="O40" i="10"/>
  <c r="R40" i="10"/>
  <c r="H40" i="10"/>
  <c r="G40" i="10"/>
  <c r="I40" i="10"/>
  <c r="C40" i="10"/>
  <c r="B40" i="10"/>
  <c r="H40" i="6"/>
  <c r="I40" i="6"/>
  <c r="J40" i="6"/>
  <c r="F40" i="6"/>
  <c r="E40" i="6"/>
  <c r="D40" i="6"/>
  <c r="C40" i="6"/>
  <c r="B40" i="6"/>
  <c r="A40" i="6"/>
  <c r="M40" i="1"/>
  <c r="L40" i="1"/>
  <c r="G40" i="1"/>
  <c r="F40" i="1"/>
  <c r="E40" i="10"/>
  <c r="E40" i="1"/>
  <c r="D40" i="10"/>
  <c r="A40" i="1"/>
  <c r="G39" i="2"/>
  <c r="F39" i="2"/>
  <c r="E39" i="2"/>
  <c r="D39" i="2"/>
  <c r="C39" i="2"/>
  <c r="B39" i="2"/>
  <c r="G39" i="5"/>
  <c r="K39" i="5"/>
  <c r="N39" i="5"/>
  <c r="E39" i="5"/>
  <c r="C39" i="5"/>
  <c r="B39" i="5"/>
  <c r="P39" i="10"/>
  <c r="AA39" i="10"/>
  <c r="O39" i="10"/>
  <c r="H39" i="10"/>
  <c r="L39" i="10"/>
  <c r="X39" i="10"/>
  <c r="G39" i="10"/>
  <c r="I39" i="10"/>
  <c r="E39" i="10"/>
  <c r="D39" i="10"/>
  <c r="C39" i="10"/>
  <c r="B39" i="10"/>
  <c r="H39" i="6"/>
  <c r="I39" i="6"/>
  <c r="J39" i="6"/>
  <c r="F39" i="6"/>
  <c r="E39" i="6"/>
  <c r="D39" i="6"/>
  <c r="C39" i="6"/>
  <c r="B39" i="6"/>
  <c r="A39" i="6"/>
  <c r="M39" i="1"/>
  <c r="L39" i="1"/>
  <c r="G39" i="1"/>
  <c r="F39" i="1"/>
  <c r="D39" i="5"/>
  <c r="F39" i="5"/>
  <c r="E39" i="1"/>
  <c r="A39" i="1"/>
  <c r="G38" i="2"/>
  <c r="F38" i="2"/>
  <c r="H38" i="2"/>
  <c r="J38" i="2"/>
  <c r="E38" i="2"/>
  <c r="D38" i="2"/>
  <c r="C38" i="2"/>
  <c r="B38" i="2"/>
  <c r="G38" i="5"/>
  <c r="K38" i="5"/>
  <c r="N38" i="5"/>
  <c r="E38" i="5"/>
  <c r="D38" i="5"/>
  <c r="C38" i="5"/>
  <c r="B38" i="5"/>
  <c r="P38" i="10"/>
  <c r="AA38" i="10"/>
  <c r="O38" i="10"/>
  <c r="H38" i="10"/>
  <c r="G38" i="10"/>
  <c r="I38" i="10"/>
  <c r="C38" i="10"/>
  <c r="B38" i="10"/>
  <c r="H38" i="6"/>
  <c r="I38" i="6"/>
  <c r="J38" i="6"/>
  <c r="F38" i="6"/>
  <c r="E38" i="6"/>
  <c r="D38" i="6"/>
  <c r="C38" i="6"/>
  <c r="B38" i="6"/>
  <c r="A38" i="6"/>
  <c r="O38" i="1"/>
  <c r="M38" i="1"/>
  <c r="L38" i="1"/>
  <c r="G38" i="1"/>
  <c r="F38" i="1"/>
  <c r="E38" i="10"/>
  <c r="E38" i="1"/>
  <c r="D38" i="10"/>
  <c r="A38" i="1"/>
  <c r="A38" i="2"/>
  <c r="G37" i="2"/>
  <c r="F37" i="2"/>
  <c r="H37" i="2"/>
  <c r="J37" i="2"/>
  <c r="E37" i="2"/>
  <c r="D37" i="2"/>
  <c r="C37" i="2"/>
  <c r="B37" i="2"/>
  <c r="G37" i="5"/>
  <c r="K37" i="5"/>
  <c r="N37" i="5"/>
  <c r="E37" i="5"/>
  <c r="D37" i="5"/>
  <c r="F37" i="5"/>
  <c r="C37" i="5"/>
  <c r="B37" i="5"/>
  <c r="P37" i="10"/>
  <c r="AA37" i="10"/>
  <c r="O37" i="10"/>
  <c r="H37" i="10"/>
  <c r="L37" i="10"/>
  <c r="X37" i="10"/>
  <c r="G37" i="10"/>
  <c r="I37" i="10"/>
  <c r="E37" i="10"/>
  <c r="D37" i="10"/>
  <c r="C37" i="10"/>
  <c r="B37" i="10"/>
  <c r="H37" i="6"/>
  <c r="I37" i="6"/>
  <c r="J37" i="6"/>
  <c r="F37" i="6"/>
  <c r="E37" i="6"/>
  <c r="D37" i="6"/>
  <c r="C37" i="6"/>
  <c r="B37" i="6"/>
  <c r="A37" i="6"/>
  <c r="O37" i="1"/>
  <c r="M37" i="1"/>
  <c r="L37" i="1"/>
  <c r="G37" i="1"/>
  <c r="F37" i="1"/>
  <c r="E37" i="1"/>
  <c r="A37" i="1"/>
  <c r="G36" i="2"/>
  <c r="F36" i="2"/>
  <c r="E36" i="2"/>
  <c r="C36" i="2"/>
  <c r="B36" i="2"/>
  <c r="G36" i="5"/>
  <c r="E36" i="5"/>
  <c r="C36" i="5"/>
  <c r="B36" i="5"/>
  <c r="P36" i="10"/>
  <c r="AA36" i="10"/>
  <c r="O36" i="10"/>
  <c r="H36" i="10"/>
  <c r="L36" i="10"/>
  <c r="X36" i="10"/>
  <c r="G36" i="10"/>
  <c r="I36" i="10"/>
  <c r="E36" i="10"/>
  <c r="D36" i="10"/>
  <c r="C36" i="10"/>
  <c r="B36" i="10"/>
  <c r="A36" i="10"/>
  <c r="H36" i="6"/>
  <c r="I36" i="6"/>
  <c r="J36" i="6"/>
  <c r="F36" i="6"/>
  <c r="E36" i="6"/>
  <c r="G36" i="6"/>
  <c r="D36" i="6"/>
  <c r="C36" i="6"/>
  <c r="B36" i="6"/>
  <c r="A36" i="6"/>
  <c r="M36" i="1"/>
  <c r="L36" i="1"/>
  <c r="G36" i="1"/>
  <c r="F36" i="1"/>
  <c r="E36" i="1"/>
  <c r="A36" i="1"/>
  <c r="A36" i="5"/>
  <c r="G35" i="2"/>
  <c r="F35" i="2"/>
  <c r="E35" i="2"/>
  <c r="C35" i="2"/>
  <c r="B35" i="2"/>
  <c r="A35" i="2"/>
  <c r="G35" i="5"/>
  <c r="E35" i="5"/>
  <c r="C35" i="5"/>
  <c r="B35" i="5"/>
  <c r="P35" i="10"/>
  <c r="AA35" i="10"/>
  <c r="O35" i="10"/>
  <c r="H35" i="10"/>
  <c r="L35" i="10"/>
  <c r="X35" i="10"/>
  <c r="G35" i="10"/>
  <c r="I35" i="10"/>
  <c r="T35" i="10"/>
  <c r="E35" i="10"/>
  <c r="D35" i="10"/>
  <c r="C35" i="10"/>
  <c r="B35" i="10"/>
  <c r="H35" i="6"/>
  <c r="I35" i="6"/>
  <c r="J35" i="6"/>
  <c r="L35" i="6"/>
  <c r="F35" i="6"/>
  <c r="E35" i="6"/>
  <c r="D35" i="6"/>
  <c r="C35" i="6"/>
  <c r="B35" i="6"/>
  <c r="A35" i="6"/>
  <c r="M35" i="1"/>
  <c r="L35" i="1"/>
  <c r="G35" i="1"/>
  <c r="F35" i="1"/>
  <c r="E35" i="1"/>
  <c r="A35" i="1"/>
  <c r="A35" i="5"/>
  <c r="G34" i="2"/>
  <c r="F34" i="2"/>
  <c r="H34" i="2"/>
  <c r="J34" i="2"/>
  <c r="E34" i="2"/>
  <c r="C34" i="2"/>
  <c r="B34" i="2"/>
  <c r="G34" i="5"/>
  <c r="K34" i="5"/>
  <c r="N34" i="5"/>
  <c r="E34" i="5"/>
  <c r="C34" i="5"/>
  <c r="B34" i="5"/>
  <c r="P34" i="10"/>
  <c r="AA34" i="10"/>
  <c r="O34" i="10"/>
  <c r="H34" i="10"/>
  <c r="G34" i="10"/>
  <c r="I34" i="10"/>
  <c r="E34" i="10"/>
  <c r="D34" i="10"/>
  <c r="C34" i="10"/>
  <c r="B34" i="10"/>
  <c r="H34" i="6"/>
  <c r="I34" i="6"/>
  <c r="J34" i="6"/>
  <c r="F34" i="6"/>
  <c r="E34" i="6"/>
  <c r="D34" i="6"/>
  <c r="C34" i="6"/>
  <c r="B34" i="6"/>
  <c r="A34" i="6"/>
  <c r="O34" i="1"/>
  <c r="M34" i="1"/>
  <c r="L34" i="1"/>
  <c r="G34" i="1"/>
  <c r="F34" i="1"/>
  <c r="D34" i="5"/>
  <c r="E34" i="1"/>
  <c r="A34" i="1"/>
  <c r="A34" i="2"/>
  <c r="G33" i="2"/>
  <c r="K33" i="2"/>
  <c r="F33" i="2"/>
  <c r="H33" i="2"/>
  <c r="J33" i="2"/>
  <c r="E33" i="2"/>
  <c r="D33" i="2"/>
  <c r="C33" i="2"/>
  <c r="B33" i="2"/>
  <c r="G33" i="5"/>
  <c r="K33" i="5"/>
  <c r="N33" i="5"/>
  <c r="E33" i="5"/>
  <c r="D33" i="5"/>
  <c r="C33" i="5"/>
  <c r="B33" i="5"/>
  <c r="P33" i="10"/>
  <c r="O33" i="10"/>
  <c r="H33" i="10"/>
  <c r="G33" i="10"/>
  <c r="I33" i="10"/>
  <c r="C33" i="10"/>
  <c r="B33" i="10"/>
  <c r="A33" i="10"/>
  <c r="H33" i="6"/>
  <c r="I33" i="6"/>
  <c r="J33" i="6"/>
  <c r="F33" i="6"/>
  <c r="E33" i="6"/>
  <c r="D33" i="6"/>
  <c r="G33" i="6"/>
  <c r="C33" i="6"/>
  <c r="B33" i="6"/>
  <c r="A33" i="6"/>
  <c r="O33" i="1"/>
  <c r="M33" i="1"/>
  <c r="L33" i="1"/>
  <c r="G33" i="1"/>
  <c r="F33" i="1"/>
  <c r="E33" i="10"/>
  <c r="F33" i="10"/>
  <c r="E33" i="1"/>
  <c r="D33" i="10"/>
  <c r="K33" i="10"/>
  <c r="A33" i="1"/>
  <c r="G32" i="2"/>
  <c r="F32" i="2"/>
  <c r="E32" i="2"/>
  <c r="C32" i="2"/>
  <c r="B32" i="2"/>
  <c r="G32" i="5"/>
  <c r="K32" i="5"/>
  <c r="N32" i="5"/>
  <c r="E32" i="5"/>
  <c r="D32" i="5"/>
  <c r="C32" i="5"/>
  <c r="B32" i="5"/>
  <c r="P32" i="10"/>
  <c r="AA32" i="10"/>
  <c r="O32" i="10"/>
  <c r="H32" i="10"/>
  <c r="L32" i="10"/>
  <c r="G32" i="10"/>
  <c r="I32" i="10"/>
  <c r="E32" i="10"/>
  <c r="D32" i="10"/>
  <c r="C32" i="10"/>
  <c r="B32" i="10"/>
  <c r="H32" i="6"/>
  <c r="I32" i="6"/>
  <c r="J32" i="6"/>
  <c r="F32" i="6"/>
  <c r="G32" i="6"/>
  <c r="E32" i="6"/>
  <c r="D32" i="6"/>
  <c r="C32" i="6"/>
  <c r="B32" i="6"/>
  <c r="A32" i="6"/>
  <c r="O32" i="1"/>
  <c r="M32" i="1"/>
  <c r="L32" i="1"/>
  <c r="G32" i="1"/>
  <c r="F32" i="1"/>
  <c r="E32" i="1"/>
  <c r="A32" i="1"/>
  <c r="G31" i="2"/>
  <c r="F31" i="2"/>
  <c r="E31" i="2"/>
  <c r="C31" i="2"/>
  <c r="B31" i="2"/>
  <c r="G31" i="5"/>
  <c r="K31" i="5"/>
  <c r="N31" i="5"/>
  <c r="E31" i="5"/>
  <c r="D31" i="5"/>
  <c r="C31" i="5"/>
  <c r="B31" i="5"/>
  <c r="P31" i="10"/>
  <c r="AA31" i="10"/>
  <c r="O31" i="10"/>
  <c r="L31" i="10"/>
  <c r="X31" i="10"/>
  <c r="H31" i="10"/>
  <c r="G31" i="10"/>
  <c r="I31" i="10"/>
  <c r="T31" i="10"/>
  <c r="E31" i="10"/>
  <c r="F31" i="10"/>
  <c r="D31" i="10"/>
  <c r="K31" i="10"/>
  <c r="C31" i="10"/>
  <c r="B31" i="10"/>
  <c r="H31" i="6"/>
  <c r="I31" i="6"/>
  <c r="J31" i="6"/>
  <c r="F31" i="6"/>
  <c r="E31" i="6"/>
  <c r="D31" i="6"/>
  <c r="C31" i="6"/>
  <c r="B31" i="6"/>
  <c r="A31" i="6"/>
  <c r="O31" i="1"/>
  <c r="M31" i="1"/>
  <c r="L31" i="1"/>
  <c r="G31" i="1"/>
  <c r="F31" i="1"/>
  <c r="E31" i="1"/>
  <c r="A31" i="1"/>
  <c r="G30" i="2"/>
  <c r="F30" i="2"/>
  <c r="H30" i="2"/>
  <c r="J30" i="2"/>
  <c r="E30" i="2"/>
  <c r="L30" i="2"/>
  <c r="D30" i="2"/>
  <c r="C30" i="2"/>
  <c r="B30" i="2"/>
  <c r="A30" i="2"/>
  <c r="G30" i="5"/>
  <c r="K30" i="5"/>
  <c r="N30" i="5"/>
  <c r="E30" i="5"/>
  <c r="C30" i="5"/>
  <c r="B30" i="5"/>
  <c r="P30" i="10"/>
  <c r="AA30" i="10"/>
  <c r="O30" i="10"/>
  <c r="H30" i="10"/>
  <c r="L30" i="10"/>
  <c r="X30" i="10"/>
  <c r="G30" i="10"/>
  <c r="I30" i="10"/>
  <c r="U30" i="10"/>
  <c r="E30" i="10"/>
  <c r="D30" i="10"/>
  <c r="C30" i="10"/>
  <c r="B30" i="10"/>
  <c r="H30" i="6"/>
  <c r="I30" i="6"/>
  <c r="J30" i="6"/>
  <c r="F30" i="6"/>
  <c r="E30" i="6"/>
  <c r="D30" i="6"/>
  <c r="C30" i="6"/>
  <c r="B30" i="6"/>
  <c r="A30" i="6"/>
  <c r="M30" i="1"/>
  <c r="L30" i="1"/>
  <c r="G30" i="1"/>
  <c r="F30" i="1"/>
  <c r="D30" i="5"/>
  <c r="E30" i="1"/>
  <c r="A30" i="1"/>
  <c r="A30" i="10"/>
  <c r="G29" i="2"/>
  <c r="F29" i="2"/>
  <c r="E29" i="2"/>
  <c r="D29" i="2"/>
  <c r="C29" i="2"/>
  <c r="B29" i="2"/>
  <c r="G29" i="5"/>
  <c r="K29" i="5"/>
  <c r="N29" i="5"/>
  <c r="E29" i="5"/>
  <c r="C29" i="5"/>
  <c r="B29" i="5"/>
  <c r="P29" i="10"/>
  <c r="AA29" i="10"/>
  <c r="O29" i="10"/>
  <c r="H29" i="10"/>
  <c r="L29" i="10"/>
  <c r="X29" i="10"/>
  <c r="G29" i="10"/>
  <c r="I29" i="10"/>
  <c r="E29" i="10"/>
  <c r="D29" i="10"/>
  <c r="C29" i="10"/>
  <c r="B29" i="10"/>
  <c r="H29" i="6"/>
  <c r="I29" i="6"/>
  <c r="J29" i="6"/>
  <c r="F29" i="6"/>
  <c r="E29" i="6"/>
  <c r="D29" i="6"/>
  <c r="C29" i="6"/>
  <c r="B29" i="6"/>
  <c r="A29" i="6"/>
  <c r="M29" i="1"/>
  <c r="L29" i="1"/>
  <c r="G29" i="1"/>
  <c r="F29" i="1"/>
  <c r="D29" i="5"/>
  <c r="E29" i="1"/>
  <c r="A29" i="1"/>
  <c r="G28" i="2"/>
  <c r="F28" i="2"/>
  <c r="E28" i="2"/>
  <c r="C28" i="2"/>
  <c r="B28" i="2"/>
  <c r="A28" i="2"/>
  <c r="G28" i="5"/>
  <c r="E28" i="5"/>
  <c r="C28" i="5"/>
  <c r="B28" i="5"/>
  <c r="P28" i="10"/>
  <c r="AA28" i="10"/>
  <c r="O28" i="10"/>
  <c r="H28" i="10"/>
  <c r="L28" i="10"/>
  <c r="X28" i="10"/>
  <c r="G28" i="10"/>
  <c r="I28" i="10"/>
  <c r="E28" i="10"/>
  <c r="D28" i="10"/>
  <c r="C28" i="10"/>
  <c r="B28" i="10"/>
  <c r="H28" i="6"/>
  <c r="I28" i="6"/>
  <c r="J28" i="6"/>
  <c r="F28" i="6"/>
  <c r="E28" i="6"/>
  <c r="D28" i="6"/>
  <c r="C28" i="6"/>
  <c r="B28" i="6"/>
  <c r="A28" i="6"/>
  <c r="M28" i="1"/>
  <c r="D28" i="2"/>
  <c r="L28" i="1"/>
  <c r="G28" i="1"/>
  <c r="F28" i="1"/>
  <c r="D28" i="5"/>
  <c r="E28" i="1"/>
  <c r="A28" i="1"/>
  <c r="A28" i="5"/>
  <c r="G27" i="2"/>
  <c r="F27" i="2"/>
  <c r="H27" i="2"/>
  <c r="J27" i="2"/>
  <c r="E27" i="2"/>
  <c r="L27" i="2"/>
  <c r="D27" i="2"/>
  <c r="C27" i="2"/>
  <c r="B27" i="2"/>
  <c r="G27" i="5"/>
  <c r="E27" i="5"/>
  <c r="D27" i="5"/>
  <c r="C27" i="5"/>
  <c r="B27" i="5"/>
  <c r="P27" i="10"/>
  <c r="O27" i="10"/>
  <c r="H27" i="10"/>
  <c r="L27" i="10"/>
  <c r="X27" i="10"/>
  <c r="G27" i="10"/>
  <c r="I27" i="10"/>
  <c r="E27" i="10"/>
  <c r="D27" i="10"/>
  <c r="C27" i="10"/>
  <c r="B27" i="10"/>
  <c r="H27" i="6"/>
  <c r="I27" i="6"/>
  <c r="J27" i="6"/>
  <c r="M27" i="6"/>
  <c r="F27" i="6"/>
  <c r="E27" i="6"/>
  <c r="D27" i="6"/>
  <c r="C27" i="6"/>
  <c r="B27" i="6"/>
  <c r="A27" i="6"/>
  <c r="M27" i="1"/>
  <c r="L27" i="1"/>
  <c r="G27" i="1"/>
  <c r="F27" i="1"/>
  <c r="O27" i="1"/>
  <c r="E27" i="1"/>
  <c r="A27" i="1"/>
  <c r="G26" i="2"/>
  <c r="F26" i="2"/>
  <c r="E26" i="2"/>
  <c r="C26" i="2"/>
  <c r="B26" i="2"/>
  <c r="G26" i="5"/>
  <c r="E26" i="5"/>
  <c r="C26" i="5"/>
  <c r="B26" i="5"/>
  <c r="P26" i="10"/>
  <c r="AA26" i="10"/>
  <c r="O26" i="10"/>
  <c r="H26" i="10"/>
  <c r="L26" i="10"/>
  <c r="X26" i="10"/>
  <c r="G26" i="10"/>
  <c r="I26" i="10"/>
  <c r="T26" i="10"/>
  <c r="E26" i="10"/>
  <c r="D26" i="10"/>
  <c r="C26" i="10"/>
  <c r="B26" i="10"/>
  <c r="H26" i="6"/>
  <c r="I26" i="6"/>
  <c r="J26" i="6"/>
  <c r="F26" i="6"/>
  <c r="E26" i="6"/>
  <c r="D26" i="6"/>
  <c r="G26" i="6"/>
  <c r="C26" i="6"/>
  <c r="B26" i="6"/>
  <c r="A26" i="6"/>
  <c r="M26" i="1"/>
  <c r="L26" i="1"/>
  <c r="G26" i="1"/>
  <c r="F26" i="1"/>
  <c r="E26" i="1"/>
  <c r="A26" i="1"/>
  <c r="A26" i="10"/>
  <c r="G25" i="2"/>
  <c r="F25" i="2"/>
  <c r="E25" i="2"/>
  <c r="C25" i="2"/>
  <c r="B25" i="2"/>
  <c r="A25" i="2"/>
  <c r="G25" i="5"/>
  <c r="E25" i="5"/>
  <c r="C25" i="5"/>
  <c r="B25" i="5"/>
  <c r="P25" i="10"/>
  <c r="AA25" i="10"/>
  <c r="O25" i="10"/>
  <c r="H25" i="10"/>
  <c r="G25" i="10"/>
  <c r="I25" i="10"/>
  <c r="C25" i="10"/>
  <c r="B25" i="10"/>
  <c r="H25" i="6"/>
  <c r="I25" i="6"/>
  <c r="J25" i="6"/>
  <c r="F25" i="6"/>
  <c r="E25" i="6"/>
  <c r="D25" i="6"/>
  <c r="C25" i="6"/>
  <c r="B25" i="6"/>
  <c r="A25" i="6"/>
  <c r="M25" i="1"/>
  <c r="L25" i="1"/>
  <c r="G25" i="1"/>
  <c r="F25" i="1"/>
  <c r="E25" i="10"/>
  <c r="E25" i="1"/>
  <c r="D25" i="10"/>
  <c r="A25" i="1"/>
  <c r="A25" i="10"/>
  <c r="G24" i="2"/>
  <c r="F24" i="2"/>
  <c r="E24" i="2"/>
  <c r="C24" i="2"/>
  <c r="B24" i="2"/>
  <c r="G24" i="5"/>
  <c r="E24" i="5"/>
  <c r="C24" i="5"/>
  <c r="B24" i="5"/>
  <c r="P24" i="10"/>
  <c r="AA24" i="10"/>
  <c r="O24" i="10"/>
  <c r="H24" i="10"/>
  <c r="G24" i="10"/>
  <c r="I24" i="10"/>
  <c r="C24" i="10"/>
  <c r="B24" i="10"/>
  <c r="H24" i="6"/>
  <c r="I24" i="6"/>
  <c r="J24" i="6"/>
  <c r="M24" i="6"/>
  <c r="F24" i="6"/>
  <c r="E24" i="6"/>
  <c r="D24" i="6"/>
  <c r="G24" i="6"/>
  <c r="C24" i="6"/>
  <c r="B24" i="6"/>
  <c r="A24" i="6"/>
  <c r="M24" i="1"/>
  <c r="L24" i="1"/>
  <c r="G24" i="1"/>
  <c r="F24" i="1"/>
  <c r="E24" i="10"/>
  <c r="E24" i="1"/>
  <c r="D24" i="10"/>
  <c r="K24" i="10"/>
  <c r="A24" i="1"/>
  <c r="A24" i="2"/>
  <c r="G23" i="2"/>
  <c r="F23" i="2"/>
  <c r="E23" i="2"/>
  <c r="M23" i="2"/>
  <c r="C23" i="2"/>
  <c r="B23" i="2"/>
  <c r="G23" i="5"/>
  <c r="E23" i="5"/>
  <c r="C23" i="5"/>
  <c r="B23" i="5"/>
  <c r="P23" i="10"/>
  <c r="AA23" i="10"/>
  <c r="O23" i="10"/>
  <c r="H23" i="10"/>
  <c r="L23" i="10"/>
  <c r="X23" i="10"/>
  <c r="G23" i="10"/>
  <c r="I23" i="10"/>
  <c r="E23" i="10"/>
  <c r="D23" i="10"/>
  <c r="K23" i="10"/>
  <c r="C23" i="10"/>
  <c r="B23" i="10"/>
  <c r="H23" i="6"/>
  <c r="I23" i="6"/>
  <c r="J23" i="6"/>
  <c r="F23" i="6"/>
  <c r="E23" i="6"/>
  <c r="D23" i="6"/>
  <c r="C23" i="6"/>
  <c r="B23" i="6"/>
  <c r="A23" i="6"/>
  <c r="M23" i="1"/>
  <c r="L23" i="1"/>
  <c r="G23" i="1"/>
  <c r="F23" i="1"/>
  <c r="O23" i="1"/>
  <c r="E23" i="1"/>
  <c r="A23" i="1"/>
  <c r="A23" i="10"/>
  <c r="G22" i="2"/>
  <c r="F22" i="2"/>
  <c r="E22" i="2"/>
  <c r="C22" i="2"/>
  <c r="B22" i="2"/>
  <c r="G22" i="5"/>
  <c r="K22" i="5"/>
  <c r="N22" i="5"/>
  <c r="E22" i="5"/>
  <c r="C22" i="5"/>
  <c r="B22" i="5"/>
  <c r="P22" i="10"/>
  <c r="AA22" i="10"/>
  <c r="O22" i="10"/>
  <c r="H22" i="10"/>
  <c r="L22" i="10"/>
  <c r="X22" i="10"/>
  <c r="G22" i="10"/>
  <c r="I22" i="10"/>
  <c r="U22" i="10"/>
  <c r="E22" i="10"/>
  <c r="D22" i="10"/>
  <c r="K22" i="10"/>
  <c r="N22" i="10"/>
  <c r="C22" i="10"/>
  <c r="B22" i="10"/>
  <c r="A22" i="10"/>
  <c r="H22" i="6"/>
  <c r="I22" i="6"/>
  <c r="J22" i="6"/>
  <c r="F22" i="6"/>
  <c r="E22" i="6"/>
  <c r="G22" i="6"/>
  <c r="D22" i="6"/>
  <c r="C22" i="6"/>
  <c r="B22" i="6"/>
  <c r="A22" i="6"/>
  <c r="M22" i="1"/>
  <c r="L22" i="1"/>
  <c r="G22" i="1"/>
  <c r="F22" i="1"/>
  <c r="O22" i="1"/>
  <c r="E22" i="1"/>
  <c r="A22" i="1"/>
  <c r="G21" i="2"/>
  <c r="F21" i="2"/>
  <c r="E21" i="2"/>
  <c r="C21" i="2"/>
  <c r="B21" i="2"/>
  <c r="A21" i="2"/>
  <c r="G21" i="5"/>
  <c r="E21" i="5"/>
  <c r="C21" i="5"/>
  <c r="B21" i="5"/>
  <c r="A21" i="5"/>
  <c r="P21" i="10"/>
  <c r="AA21" i="10"/>
  <c r="O21" i="10"/>
  <c r="H21" i="10"/>
  <c r="L21" i="10"/>
  <c r="X21" i="10"/>
  <c r="G21" i="10"/>
  <c r="I21" i="10"/>
  <c r="U21" i="10"/>
  <c r="E21" i="10"/>
  <c r="D21" i="10"/>
  <c r="C21" i="10"/>
  <c r="B21" i="10"/>
  <c r="H21" i="6"/>
  <c r="I21" i="6"/>
  <c r="J21" i="6"/>
  <c r="F21" i="6"/>
  <c r="E21" i="6"/>
  <c r="G21" i="6"/>
  <c r="D21" i="6"/>
  <c r="C21" i="6"/>
  <c r="B21" i="6"/>
  <c r="A21" i="6"/>
  <c r="M21" i="1"/>
  <c r="L21" i="1"/>
  <c r="G21" i="1"/>
  <c r="F21" i="1"/>
  <c r="D21" i="5"/>
  <c r="F21" i="5"/>
  <c r="E21" i="1"/>
  <c r="A21" i="1"/>
  <c r="A21" i="10"/>
  <c r="G20" i="2"/>
  <c r="F20" i="2"/>
  <c r="M20" i="2"/>
  <c r="E20" i="2"/>
  <c r="C20" i="2"/>
  <c r="B20" i="2"/>
  <c r="A20" i="2"/>
  <c r="G20" i="5"/>
  <c r="K20" i="5"/>
  <c r="N20" i="5"/>
  <c r="E20" i="5"/>
  <c r="D20" i="5"/>
  <c r="I20" i="5"/>
  <c r="M20" i="5"/>
  <c r="O20" i="5"/>
  <c r="C20" i="5"/>
  <c r="B20" i="5"/>
  <c r="P20" i="10"/>
  <c r="AA20" i="10"/>
  <c r="O20" i="10"/>
  <c r="H20" i="10"/>
  <c r="G20" i="10"/>
  <c r="I20" i="10"/>
  <c r="L20" i="10"/>
  <c r="C20" i="10"/>
  <c r="B20" i="10"/>
  <c r="H20" i="6"/>
  <c r="I20" i="6"/>
  <c r="J20" i="6"/>
  <c r="F20" i="6"/>
  <c r="E20" i="6"/>
  <c r="D20" i="6"/>
  <c r="C20" i="6"/>
  <c r="B20" i="6"/>
  <c r="A20" i="6"/>
  <c r="O20" i="1"/>
  <c r="M20" i="1"/>
  <c r="L20" i="1"/>
  <c r="G20" i="1"/>
  <c r="F20" i="1"/>
  <c r="E20" i="10"/>
  <c r="E20" i="1"/>
  <c r="D20" i="10"/>
  <c r="A20" i="1"/>
  <c r="A20" i="10"/>
  <c r="G19" i="2"/>
  <c r="F19" i="2"/>
  <c r="H19" i="2"/>
  <c r="J19" i="2"/>
  <c r="E19" i="2"/>
  <c r="D19" i="2"/>
  <c r="C19" i="2"/>
  <c r="B19" i="2"/>
  <c r="A19" i="2"/>
  <c r="G19" i="5"/>
  <c r="E19" i="5"/>
  <c r="C19" i="5"/>
  <c r="B19" i="5"/>
  <c r="A19" i="5"/>
  <c r="P19" i="10"/>
  <c r="AA19" i="10"/>
  <c r="O19" i="10"/>
  <c r="H19" i="10"/>
  <c r="L19" i="10"/>
  <c r="G19" i="10"/>
  <c r="I19" i="10"/>
  <c r="E19" i="10"/>
  <c r="D19" i="10"/>
  <c r="C19" i="10"/>
  <c r="B19" i="10"/>
  <c r="H19" i="6"/>
  <c r="I19" i="6"/>
  <c r="J19" i="6"/>
  <c r="L19" i="6"/>
  <c r="F19" i="6"/>
  <c r="E19" i="6"/>
  <c r="D19" i="6"/>
  <c r="G19" i="6"/>
  <c r="C19" i="6"/>
  <c r="B19" i="6"/>
  <c r="A19" i="6"/>
  <c r="M19" i="1"/>
  <c r="L19" i="1"/>
  <c r="G19" i="1"/>
  <c r="F19" i="1"/>
  <c r="D19" i="5"/>
  <c r="E19" i="1"/>
  <c r="A19" i="1"/>
  <c r="A19" i="10"/>
  <c r="G18" i="2"/>
  <c r="F18" i="2"/>
  <c r="H18" i="2"/>
  <c r="J18" i="2"/>
  <c r="E18" i="2"/>
  <c r="L18" i="2"/>
  <c r="D18" i="2"/>
  <c r="C18" i="2"/>
  <c r="B18" i="2"/>
  <c r="G18" i="5"/>
  <c r="K18" i="5"/>
  <c r="N18" i="5"/>
  <c r="E18" i="5"/>
  <c r="D18" i="5"/>
  <c r="C18" i="5"/>
  <c r="B18" i="5"/>
  <c r="P18" i="10"/>
  <c r="AA18" i="10"/>
  <c r="O18" i="10"/>
  <c r="H18" i="10"/>
  <c r="L18" i="10"/>
  <c r="X18" i="10"/>
  <c r="G18" i="10"/>
  <c r="I18" i="10"/>
  <c r="U18" i="10"/>
  <c r="E18" i="10"/>
  <c r="D18" i="10"/>
  <c r="C18" i="10"/>
  <c r="B18" i="10"/>
  <c r="H18" i="6"/>
  <c r="I18" i="6"/>
  <c r="J18" i="6"/>
  <c r="F18" i="6"/>
  <c r="E18" i="6"/>
  <c r="D18" i="6"/>
  <c r="G18" i="6"/>
  <c r="C18" i="6"/>
  <c r="B18" i="6"/>
  <c r="A18" i="6"/>
  <c r="O18" i="1"/>
  <c r="M18" i="1"/>
  <c r="L18" i="1"/>
  <c r="G18" i="1"/>
  <c r="F18" i="1"/>
  <c r="E18" i="1"/>
  <c r="A18" i="1"/>
  <c r="A18" i="10"/>
  <c r="G17" i="2"/>
  <c r="F17" i="2"/>
  <c r="H17" i="2"/>
  <c r="J17" i="2"/>
  <c r="E17" i="2"/>
  <c r="D17" i="2"/>
  <c r="C17" i="2"/>
  <c r="B17" i="2"/>
  <c r="G17" i="5"/>
  <c r="E17" i="5"/>
  <c r="C17" i="5"/>
  <c r="B17" i="5"/>
  <c r="P17" i="10"/>
  <c r="O17" i="10"/>
  <c r="H17" i="10"/>
  <c r="L17" i="10"/>
  <c r="X17" i="10"/>
  <c r="G17" i="10"/>
  <c r="I17" i="10"/>
  <c r="T17" i="10"/>
  <c r="E17" i="10"/>
  <c r="D17" i="10"/>
  <c r="F17" i="10"/>
  <c r="C17" i="10"/>
  <c r="B17" i="10"/>
  <c r="H17" i="6"/>
  <c r="I17" i="6"/>
  <c r="J17" i="6"/>
  <c r="M17" i="6"/>
  <c r="F17" i="6"/>
  <c r="E17" i="6"/>
  <c r="D17" i="6"/>
  <c r="C17" i="6"/>
  <c r="B17" i="6"/>
  <c r="A17" i="6"/>
  <c r="M17" i="1"/>
  <c r="L17" i="1"/>
  <c r="G17" i="1"/>
  <c r="F17" i="1"/>
  <c r="D17" i="5"/>
  <c r="F17" i="5"/>
  <c r="E17" i="1"/>
  <c r="A17" i="1"/>
  <c r="A17" i="2"/>
  <c r="G16" i="2"/>
  <c r="F16" i="2"/>
  <c r="E16" i="2"/>
  <c r="C16" i="2"/>
  <c r="B16" i="2"/>
  <c r="G16" i="5"/>
  <c r="K16" i="5"/>
  <c r="N16" i="5"/>
  <c r="E16" i="5"/>
  <c r="D16" i="5"/>
  <c r="C16" i="5"/>
  <c r="B16" i="5"/>
  <c r="P16" i="10"/>
  <c r="AA16" i="10"/>
  <c r="O16" i="10"/>
  <c r="H16" i="10"/>
  <c r="L16" i="10"/>
  <c r="G16" i="10"/>
  <c r="I16" i="10"/>
  <c r="E16" i="10"/>
  <c r="D16" i="10"/>
  <c r="C16" i="10"/>
  <c r="B16" i="10"/>
  <c r="H16" i="6"/>
  <c r="I16" i="6"/>
  <c r="J16" i="6"/>
  <c r="F16" i="6"/>
  <c r="E16" i="6"/>
  <c r="D16" i="6"/>
  <c r="C16" i="6"/>
  <c r="B16" i="6"/>
  <c r="A16" i="6"/>
  <c r="O16" i="1"/>
  <c r="M16" i="1"/>
  <c r="L16" i="1"/>
  <c r="G16" i="1"/>
  <c r="F16" i="1"/>
  <c r="E16" i="1"/>
  <c r="A16" i="1"/>
  <c r="A16" i="2"/>
  <c r="G15" i="2"/>
  <c r="F15" i="2"/>
  <c r="E15" i="2"/>
  <c r="C15" i="2"/>
  <c r="B15" i="2"/>
  <c r="G15" i="5"/>
  <c r="K15" i="5"/>
  <c r="N15" i="5"/>
  <c r="E15" i="5"/>
  <c r="D15" i="5"/>
  <c r="C15" i="5"/>
  <c r="B15" i="5"/>
  <c r="P15" i="10"/>
  <c r="AA15" i="10"/>
  <c r="O15" i="10"/>
  <c r="H15" i="10"/>
  <c r="L15" i="10"/>
  <c r="X15" i="10"/>
  <c r="G15" i="10"/>
  <c r="I15" i="10"/>
  <c r="E15" i="10"/>
  <c r="F15" i="10"/>
  <c r="D15" i="10"/>
  <c r="C15" i="10"/>
  <c r="B15" i="10"/>
  <c r="H15" i="6"/>
  <c r="I15" i="6"/>
  <c r="J15" i="6"/>
  <c r="F15" i="6"/>
  <c r="E15" i="6"/>
  <c r="D15" i="6"/>
  <c r="C15" i="6"/>
  <c r="B15" i="6"/>
  <c r="A15" i="6"/>
  <c r="O15" i="1"/>
  <c r="M15" i="1"/>
  <c r="D15" i="2"/>
  <c r="L15" i="1"/>
  <c r="G15" i="1"/>
  <c r="F15" i="1"/>
  <c r="E15" i="1"/>
  <c r="A15" i="1"/>
  <c r="A15" i="10"/>
  <c r="G14" i="2"/>
  <c r="F14" i="2"/>
  <c r="E14" i="2"/>
  <c r="M14" i="2"/>
  <c r="C14" i="2"/>
  <c r="B14" i="2"/>
  <c r="G14" i="5"/>
  <c r="K14" i="5"/>
  <c r="N14" i="5"/>
  <c r="E14" i="5"/>
  <c r="F14" i="5"/>
  <c r="D14" i="5"/>
  <c r="C14" i="5"/>
  <c r="B14" i="5"/>
  <c r="P14" i="10"/>
  <c r="AA14" i="10"/>
  <c r="O14" i="10"/>
  <c r="L14" i="10"/>
  <c r="X14" i="10"/>
  <c r="H14" i="10"/>
  <c r="G14" i="10"/>
  <c r="I14" i="10"/>
  <c r="E14" i="10"/>
  <c r="D14" i="10"/>
  <c r="K14" i="10"/>
  <c r="C14" i="10"/>
  <c r="B14" i="10"/>
  <c r="H14" i="6"/>
  <c r="I14" i="6"/>
  <c r="J14" i="6"/>
  <c r="M14" i="6"/>
  <c r="F14" i="6"/>
  <c r="E14" i="6"/>
  <c r="D14" i="6"/>
  <c r="C14" i="6"/>
  <c r="B14" i="6"/>
  <c r="A14" i="6"/>
  <c r="O14" i="1"/>
  <c r="M14" i="1"/>
  <c r="H14" i="2"/>
  <c r="J14" i="2"/>
  <c r="L14" i="1"/>
  <c r="G14" i="1"/>
  <c r="F14" i="1"/>
  <c r="E14" i="1"/>
  <c r="A14" i="1"/>
  <c r="A14" i="10"/>
  <c r="G13" i="2"/>
  <c r="F13" i="2"/>
  <c r="E13" i="2"/>
  <c r="C13" i="2"/>
  <c r="B13" i="2"/>
  <c r="G13" i="5"/>
  <c r="K13" i="5"/>
  <c r="N13" i="5"/>
  <c r="E13" i="5"/>
  <c r="C13" i="5"/>
  <c r="B13" i="5"/>
  <c r="P13" i="10"/>
  <c r="AA13" i="10"/>
  <c r="O13" i="10"/>
  <c r="H13" i="10"/>
  <c r="L13" i="10"/>
  <c r="X13" i="10"/>
  <c r="G13" i="10"/>
  <c r="I13" i="10"/>
  <c r="E13" i="10"/>
  <c r="D13" i="10"/>
  <c r="C13" i="10"/>
  <c r="B13" i="10"/>
  <c r="H13" i="6"/>
  <c r="I13" i="6"/>
  <c r="J13" i="6"/>
  <c r="M13" i="6"/>
  <c r="F13" i="6"/>
  <c r="E13" i="6"/>
  <c r="G13" i="6"/>
  <c r="D13" i="6"/>
  <c r="C13" i="6"/>
  <c r="B13" i="6"/>
  <c r="A13" i="6"/>
  <c r="M13" i="1"/>
  <c r="L13" i="1"/>
  <c r="G13" i="1"/>
  <c r="F13" i="1"/>
  <c r="E13" i="1"/>
  <c r="A13" i="1"/>
  <c r="A13" i="10"/>
  <c r="G12" i="2"/>
  <c r="F12" i="2"/>
  <c r="E12" i="2"/>
  <c r="C12" i="2"/>
  <c r="B12" i="2"/>
  <c r="G12" i="5"/>
  <c r="K12" i="5"/>
  <c r="N12" i="5"/>
  <c r="E12" i="5"/>
  <c r="C12" i="5"/>
  <c r="B12" i="5"/>
  <c r="P12" i="10"/>
  <c r="AA12" i="10"/>
  <c r="O12" i="10"/>
  <c r="H12" i="10"/>
  <c r="L12" i="10"/>
  <c r="X12" i="10"/>
  <c r="G12" i="10"/>
  <c r="I12" i="10"/>
  <c r="U12" i="10"/>
  <c r="E12" i="10"/>
  <c r="D12" i="10"/>
  <c r="C12" i="10"/>
  <c r="B12" i="10"/>
  <c r="H12" i="6"/>
  <c r="I12" i="6"/>
  <c r="J12" i="6"/>
  <c r="F12" i="6"/>
  <c r="E12" i="6"/>
  <c r="D12" i="6"/>
  <c r="C12" i="6"/>
  <c r="B12" i="6"/>
  <c r="A12" i="6"/>
  <c r="M12" i="1"/>
  <c r="L12" i="1"/>
  <c r="G12" i="1"/>
  <c r="F12" i="1"/>
  <c r="D12" i="5"/>
  <c r="F12" i="5"/>
  <c r="E12" i="1"/>
  <c r="A12" i="1"/>
  <c r="A12" i="10"/>
  <c r="G11" i="2"/>
  <c r="F11" i="2"/>
  <c r="H11" i="2"/>
  <c r="J11" i="2"/>
  <c r="E11" i="2"/>
  <c r="D11" i="2"/>
  <c r="C11" i="2"/>
  <c r="B11" i="2"/>
  <c r="A11" i="2"/>
  <c r="G11" i="5"/>
  <c r="E11" i="5"/>
  <c r="C11" i="5"/>
  <c r="B11" i="5"/>
  <c r="P11" i="10"/>
  <c r="AA11" i="10"/>
  <c r="O11" i="10"/>
  <c r="H11" i="10"/>
  <c r="L11" i="10"/>
  <c r="G11" i="10"/>
  <c r="I11" i="10"/>
  <c r="E11" i="10"/>
  <c r="D11" i="10"/>
  <c r="C11" i="10"/>
  <c r="B11" i="10"/>
  <c r="H11" i="6"/>
  <c r="I11" i="6"/>
  <c r="J11" i="6"/>
  <c r="L11" i="6"/>
  <c r="F11" i="6"/>
  <c r="E11" i="6"/>
  <c r="D11" i="6"/>
  <c r="C11" i="6"/>
  <c r="B11" i="6"/>
  <c r="A11" i="6"/>
  <c r="M11" i="1"/>
  <c r="L11" i="1"/>
  <c r="G11" i="1"/>
  <c r="F11" i="1"/>
  <c r="O11" i="1"/>
  <c r="E11" i="1"/>
  <c r="A11" i="1"/>
  <c r="A11" i="5"/>
  <c r="G10" i="2"/>
  <c r="F10" i="2"/>
  <c r="M10" i="2"/>
  <c r="E10" i="2"/>
  <c r="C10" i="2"/>
  <c r="B10" i="2"/>
  <c r="G10" i="5"/>
  <c r="K10" i="5"/>
  <c r="N10" i="5"/>
  <c r="E10" i="5"/>
  <c r="C10" i="5"/>
  <c r="B10" i="5"/>
  <c r="P10" i="10"/>
  <c r="AA10" i="10"/>
  <c r="O10" i="10"/>
  <c r="H10" i="10"/>
  <c r="L10" i="10"/>
  <c r="X10" i="10"/>
  <c r="G10" i="10"/>
  <c r="I10" i="10"/>
  <c r="T10" i="10"/>
  <c r="E10" i="10"/>
  <c r="D10" i="10"/>
  <c r="C10" i="10"/>
  <c r="B10" i="10"/>
  <c r="H10" i="6"/>
  <c r="I10" i="6"/>
  <c r="J10" i="6"/>
  <c r="F10" i="6"/>
  <c r="G10" i="6"/>
  <c r="E10" i="6"/>
  <c r="D10" i="6"/>
  <c r="C10" i="6"/>
  <c r="B10" i="6"/>
  <c r="A10" i="6"/>
  <c r="M10" i="1"/>
  <c r="D10" i="2"/>
  <c r="L10" i="1"/>
  <c r="G10" i="1"/>
  <c r="F10" i="1"/>
  <c r="E10" i="1"/>
  <c r="A10" i="1"/>
  <c r="A10" i="2"/>
  <c r="G17" i="7"/>
  <c r="E9" i="2"/>
  <c r="H9" i="6"/>
  <c r="I9" i="6"/>
  <c r="J9" i="6"/>
  <c r="M9" i="6"/>
  <c r="F9" i="2"/>
  <c r="G9" i="5"/>
  <c r="L9" i="1"/>
  <c r="L4" i="1"/>
  <c r="H9" i="10"/>
  <c r="K9" i="10"/>
  <c r="P9" i="10"/>
  <c r="G9" i="10"/>
  <c r="I9" i="10"/>
  <c r="U9" i="10"/>
  <c r="F9" i="6"/>
  <c r="G9" i="6"/>
  <c r="E9" i="6"/>
  <c r="D9" i="6"/>
  <c r="C9" i="2"/>
  <c r="B9" i="2"/>
  <c r="C9" i="5"/>
  <c r="B9" i="5"/>
  <c r="C9" i="10"/>
  <c r="B9" i="10"/>
  <c r="C9" i="6"/>
  <c r="B9" i="6"/>
  <c r="A9" i="6"/>
  <c r="M9" i="1"/>
  <c r="G9" i="1"/>
  <c r="E9" i="5"/>
  <c r="F9" i="1"/>
  <c r="E9" i="1"/>
  <c r="D9" i="10"/>
  <c r="C4" i="9"/>
  <c r="H4" i="9"/>
  <c r="C6" i="7"/>
  <c r="H6" i="7"/>
  <c r="F12" i="7"/>
  <c r="F13" i="7"/>
  <c r="F14" i="7"/>
  <c r="F15" i="7"/>
  <c r="F16" i="7"/>
  <c r="H16" i="7"/>
  <c r="F17" i="7"/>
  <c r="H17" i="7"/>
  <c r="I4" i="2"/>
  <c r="O4" i="2"/>
  <c r="J4" i="5"/>
  <c r="P4" i="5"/>
  <c r="M4" i="10"/>
  <c r="Q4" i="10"/>
  <c r="S4" i="10"/>
  <c r="V4" i="10"/>
  <c r="Y4" i="10"/>
  <c r="K4" i="6"/>
  <c r="D4" i="1"/>
  <c r="A9" i="1"/>
  <c r="A9" i="2"/>
  <c r="O9" i="10"/>
  <c r="G4" i="1"/>
  <c r="E9" i="10"/>
  <c r="M9" i="2"/>
  <c r="G9" i="2"/>
  <c r="G16" i="7"/>
  <c r="L42" i="2"/>
  <c r="L51" i="2"/>
  <c r="L55" i="2"/>
  <c r="I74" i="10"/>
  <c r="U74" i="10"/>
  <c r="L83" i="2"/>
  <c r="L37" i="2"/>
  <c r="I59" i="5"/>
  <c r="L59" i="2"/>
  <c r="L63" i="2"/>
  <c r="I73" i="5"/>
  <c r="M73" i="5"/>
  <c r="O73" i="5"/>
  <c r="R73" i="5"/>
  <c r="L44" i="2"/>
  <c r="L45" i="2"/>
  <c r="L66" i="2"/>
  <c r="G74" i="2"/>
  <c r="L48" i="2"/>
  <c r="G50" i="2"/>
  <c r="L52" i="2"/>
  <c r="N52" i="2"/>
  <c r="Q52" i="2"/>
  <c r="L65" i="2"/>
  <c r="L69" i="2"/>
  <c r="L70" i="2"/>
  <c r="L75" i="2"/>
  <c r="L79" i="2"/>
  <c r="G81" i="2"/>
  <c r="G66" i="6"/>
  <c r="G67" i="6"/>
  <c r="F76" i="5"/>
  <c r="F81" i="5"/>
  <c r="G23" i="6"/>
  <c r="R51" i="10"/>
  <c r="G61" i="6"/>
  <c r="R62" i="10"/>
  <c r="R66" i="10"/>
  <c r="G34" i="6"/>
  <c r="G35" i="6"/>
  <c r="G37" i="6"/>
  <c r="G38" i="6"/>
  <c r="G39" i="6"/>
  <c r="G40" i="6"/>
  <c r="F41" i="5"/>
  <c r="K43" i="2"/>
  <c r="F47" i="5"/>
  <c r="F49" i="5"/>
  <c r="F51" i="5"/>
  <c r="F52" i="5"/>
  <c r="N4" i="1"/>
  <c r="R10" i="10"/>
  <c r="R38" i="10"/>
  <c r="G42" i="6"/>
  <c r="G43" i="6"/>
  <c r="F67" i="10"/>
  <c r="F69" i="10"/>
  <c r="K69" i="2"/>
  <c r="F70" i="10"/>
  <c r="N70" i="10"/>
  <c r="F14" i="10"/>
  <c r="F16" i="5"/>
  <c r="F20" i="5"/>
  <c r="R25" i="10"/>
  <c r="R29" i="10"/>
  <c r="R31" i="10"/>
  <c r="R32" i="10"/>
  <c r="R35" i="10"/>
  <c r="R37" i="10"/>
  <c r="G45" i="6"/>
  <c r="K45" i="2"/>
  <c r="F46" i="10"/>
  <c r="K46" i="2"/>
  <c r="F47" i="10"/>
  <c r="F48" i="10"/>
  <c r="K48" i="2"/>
  <c r="F49" i="10"/>
  <c r="K49" i="2"/>
  <c r="F51" i="10"/>
  <c r="K51" i="2"/>
  <c r="F52" i="10"/>
  <c r="K52" i="2"/>
  <c r="G68" i="6"/>
  <c r="G69" i="6"/>
  <c r="G70" i="6"/>
  <c r="K70" i="2"/>
  <c r="N70" i="2"/>
  <c r="P70" i="2"/>
  <c r="F71" i="10"/>
  <c r="K71" i="2"/>
  <c r="F72" i="10"/>
  <c r="K72" i="2"/>
  <c r="F73" i="10"/>
  <c r="N73" i="10"/>
  <c r="R74" i="10"/>
  <c r="G79" i="6"/>
  <c r="F79" i="5"/>
  <c r="F81" i="10"/>
  <c r="F82" i="10"/>
  <c r="G15" i="6"/>
  <c r="K17" i="2"/>
  <c r="F18" i="10"/>
  <c r="K19" i="2"/>
  <c r="F21" i="10"/>
  <c r="F22" i="10"/>
  <c r="F23" i="10"/>
  <c r="F24" i="10"/>
  <c r="F28" i="5"/>
  <c r="F29" i="5"/>
  <c r="F30" i="5"/>
  <c r="F31" i="5"/>
  <c r="F32" i="5"/>
  <c r="F34" i="5"/>
  <c r="G54" i="6"/>
  <c r="F56" i="10"/>
  <c r="F59" i="10"/>
  <c r="F64" i="5"/>
  <c r="F65" i="5"/>
  <c r="G71" i="6"/>
  <c r="G72" i="6"/>
  <c r="G73" i="6"/>
  <c r="F25" i="10"/>
  <c r="F26" i="10"/>
  <c r="F27" i="10"/>
  <c r="F28" i="10"/>
  <c r="F29" i="10"/>
  <c r="F30" i="10"/>
  <c r="K30" i="2"/>
  <c r="F32" i="10"/>
  <c r="F34" i="10"/>
  <c r="F35" i="10"/>
  <c r="F36" i="10"/>
  <c r="F37" i="10"/>
  <c r="K37" i="2"/>
  <c r="N37" i="2"/>
  <c r="Q37" i="2"/>
  <c r="F38" i="10"/>
  <c r="K38" i="2"/>
  <c r="F40" i="10"/>
  <c r="F41" i="10"/>
  <c r="F43" i="5"/>
  <c r="F44" i="5"/>
  <c r="R49" i="10"/>
  <c r="G58" i="6"/>
  <c r="G59" i="6"/>
  <c r="G63" i="6"/>
  <c r="F66" i="10"/>
  <c r="F67" i="5"/>
  <c r="F69" i="5"/>
  <c r="F70" i="5"/>
  <c r="K73" i="2"/>
  <c r="K74" i="2"/>
  <c r="F83" i="10"/>
  <c r="F11" i="10"/>
  <c r="F13" i="10"/>
  <c r="G41" i="6"/>
  <c r="F42" i="10"/>
  <c r="K42" i="2"/>
  <c r="F43" i="10"/>
  <c r="F44" i="10"/>
  <c r="K44" i="2"/>
  <c r="F45" i="10"/>
  <c r="F46" i="5"/>
  <c r="M83" i="2"/>
  <c r="R83" i="10"/>
  <c r="Z83" i="10"/>
  <c r="M83" i="6"/>
  <c r="L83" i="6"/>
  <c r="Z82" i="10"/>
  <c r="M82" i="6"/>
  <c r="L82" i="6"/>
  <c r="M81" i="2"/>
  <c r="I81" i="5"/>
  <c r="R81" i="10"/>
  <c r="Z81" i="10"/>
  <c r="M81" i="6"/>
  <c r="L81" i="6"/>
  <c r="M80" i="2"/>
  <c r="R80" i="10"/>
  <c r="Z80" i="10"/>
  <c r="M80" i="6"/>
  <c r="L80" i="6"/>
  <c r="M79" i="2"/>
  <c r="R79" i="10"/>
  <c r="Z79" i="10"/>
  <c r="M79" i="6"/>
  <c r="L79" i="6"/>
  <c r="M78" i="2"/>
  <c r="R78" i="10"/>
  <c r="Z78" i="10"/>
  <c r="M78" i="6"/>
  <c r="L78" i="6"/>
  <c r="M77" i="2"/>
  <c r="R77" i="10"/>
  <c r="Z77" i="10"/>
  <c r="M77" i="6"/>
  <c r="M76" i="2"/>
  <c r="I76" i="5"/>
  <c r="M76" i="5"/>
  <c r="O76" i="5"/>
  <c r="R76" i="10"/>
  <c r="Z76" i="10"/>
  <c r="M76" i="6"/>
  <c r="L76" i="6"/>
  <c r="M75" i="2"/>
  <c r="R75" i="10"/>
  <c r="Z75" i="10"/>
  <c r="M75" i="6"/>
  <c r="L75" i="6"/>
  <c r="M74" i="2"/>
  <c r="Z74" i="10"/>
  <c r="M74" i="6"/>
  <c r="L74" i="6"/>
  <c r="M73" i="2"/>
  <c r="L73" i="5"/>
  <c r="T73" i="10"/>
  <c r="W73" i="10"/>
  <c r="Z73" i="10"/>
  <c r="M73" i="6"/>
  <c r="L73" i="6"/>
  <c r="M72" i="2"/>
  <c r="N72" i="10"/>
  <c r="U72" i="10"/>
  <c r="W72" i="10"/>
  <c r="M72" i="6"/>
  <c r="L72" i="6"/>
  <c r="M71" i="2"/>
  <c r="R71" i="10"/>
  <c r="U71" i="10"/>
  <c r="T71" i="10"/>
  <c r="W71" i="10"/>
  <c r="Z71" i="10"/>
  <c r="M71" i="6"/>
  <c r="L71" i="6"/>
  <c r="M70" i="2"/>
  <c r="I70" i="5"/>
  <c r="M70" i="5"/>
  <c r="O70" i="5"/>
  <c r="U70" i="10"/>
  <c r="T70" i="10"/>
  <c r="W70" i="10"/>
  <c r="R70" i="10"/>
  <c r="Z70" i="10"/>
  <c r="M70" i="6"/>
  <c r="L70" i="6"/>
  <c r="M69" i="2"/>
  <c r="I69" i="5"/>
  <c r="L69" i="5"/>
  <c r="U69" i="10"/>
  <c r="T69" i="10"/>
  <c r="W69" i="10"/>
  <c r="R69" i="10"/>
  <c r="Z69" i="10"/>
  <c r="M69" i="6"/>
  <c r="L69" i="6"/>
  <c r="M68" i="2"/>
  <c r="U68" i="10"/>
  <c r="T68" i="10"/>
  <c r="W68" i="10"/>
  <c r="R68" i="10"/>
  <c r="Z68" i="10"/>
  <c r="M68" i="6"/>
  <c r="L68" i="6"/>
  <c r="M67" i="2"/>
  <c r="I67" i="5"/>
  <c r="R67" i="10"/>
  <c r="Z67" i="10"/>
  <c r="M67" i="6"/>
  <c r="L67" i="6"/>
  <c r="M66" i="2"/>
  <c r="I66" i="5"/>
  <c r="L66" i="5"/>
  <c r="Z66" i="10"/>
  <c r="M66" i="6"/>
  <c r="L66" i="6"/>
  <c r="M65" i="2"/>
  <c r="I65" i="5"/>
  <c r="R65" i="10"/>
  <c r="Z65" i="10"/>
  <c r="M65" i="6"/>
  <c r="L65" i="6"/>
  <c r="M64" i="2"/>
  <c r="I64" i="5"/>
  <c r="L64" i="5"/>
  <c r="R64" i="10"/>
  <c r="Z64" i="10"/>
  <c r="M64" i="6"/>
  <c r="L64" i="6"/>
  <c r="M63" i="2"/>
  <c r="R63" i="10"/>
  <c r="Z63" i="10"/>
  <c r="M63" i="6"/>
  <c r="L63" i="6"/>
  <c r="M62" i="2"/>
  <c r="Z62" i="10"/>
  <c r="M62" i="6"/>
  <c r="L62" i="6"/>
  <c r="R61" i="10"/>
  <c r="M61" i="2"/>
  <c r="Z61" i="10"/>
  <c r="M61" i="6"/>
  <c r="L61" i="6"/>
  <c r="M60" i="2"/>
  <c r="R60" i="10"/>
  <c r="Z60" i="10"/>
  <c r="M60" i="6"/>
  <c r="L60" i="6"/>
  <c r="M59" i="2"/>
  <c r="R59" i="10"/>
  <c r="Z59" i="10"/>
  <c r="M59" i="6"/>
  <c r="L59" i="6"/>
  <c r="M58" i="2"/>
  <c r="Z58" i="10"/>
  <c r="M58" i="6"/>
  <c r="L58" i="6"/>
  <c r="M57" i="2"/>
  <c r="R57" i="10"/>
  <c r="Z57" i="10"/>
  <c r="M57" i="6"/>
  <c r="L57" i="6"/>
  <c r="M56" i="2"/>
  <c r="R56" i="10"/>
  <c r="Z56" i="10"/>
  <c r="M56" i="6"/>
  <c r="L56" i="6"/>
  <c r="M55" i="2"/>
  <c r="R55" i="10"/>
  <c r="Z55" i="10"/>
  <c r="M55" i="6"/>
  <c r="L55" i="6"/>
  <c r="R54" i="10"/>
  <c r="M54" i="2"/>
  <c r="Z54" i="10"/>
  <c r="M54" i="6"/>
  <c r="L54" i="6"/>
  <c r="M53" i="2"/>
  <c r="R53" i="10"/>
  <c r="Z53" i="10"/>
  <c r="M53" i="6"/>
  <c r="L53" i="6"/>
  <c r="M52" i="2"/>
  <c r="I52" i="5"/>
  <c r="M52" i="5"/>
  <c r="O52" i="5"/>
  <c r="U52" i="10"/>
  <c r="T52" i="10"/>
  <c r="W52" i="10"/>
  <c r="R52" i="10"/>
  <c r="Z52" i="10"/>
  <c r="M52" i="6"/>
  <c r="L52" i="6"/>
  <c r="M51" i="2"/>
  <c r="I51" i="5"/>
  <c r="U51" i="10"/>
  <c r="T51" i="10"/>
  <c r="Z51" i="10"/>
  <c r="M51" i="6"/>
  <c r="L51" i="6"/>
  <c r="M50" i="2"/>
  <c r="I50" i="5"/>
  <c r="M50" i="5"/>
  <c r="O50" i="5"/>
  <c r="Z50" i="10"/>
  <c r="M50" i="6"/>
  <c r="L50" i="6"/>
  <c r="M49" i="2"/>
  <c r="N49" i="10"/>
  <c r="I49" i="5"/>
  <c r="M49" i="5"/>
  <c r="O49" i="5"/>
  <c r="U49" i="10"/>
  <c r="T49" i="10"/>
  <c r="W49" i="10"/>
  <c r="Z49" i="10"/>
  <c r="M49" i="6"/>
  <c r="L49" i="6"/>
  <c r="M48" i="2"/>
  <c r="U48" i="10"/>
  <c r="T48" i="10"/>
  <c r="Z48" i="10"/>
  <c r="M48" i="6"/>
  <c r="L48" i="6"/>
  <c r="M47" i="2"/>
  <c r="I47" i="5"/>
  <c r="U47" i="10"/>
  <c r="T47" i="10"/>
  <c r="W47" i="10"/>
  <c r="R47" i="10"/>
  <c r="Z47" i="10"/>
  <c r="M47" i="6"/>
  <c r="L47" i="6"/>
  <c r="M46" i="2"/>
  <c r="N46" i="10"/>
  <c r="I46" i="5"/>
  <c r="M46" i="5"/>
  <c r="O46" i="5"/>
  <c r="W46" i="10"/>
  <c r="R46" i="10"/>
  <c r="Z46" i="10"/>
  <c r="M46" i="6"/>
  <c r="L46" i="6"/>
  <c r="M45" i="2"/>
  <c r="T45" i="10"/>
  <c r="R45" i="10"/>
  <c r="Z45" i="10"/>
  <c r="M45" i="6"/>
  <c r="L45" i="6"/>
  <c r="M44" i="2"/>
  <c r="R44" i="10"/>
  <c r="I44" i="5"/>
  <c r="U44" i="10"/>
  <c r="T44" i="10"/>
  <c r="Z44" i="10"/>
  <c r="M44" i="6"/>
  <c r="L44" i="6"/>
  <c r="M43" i="2"/>
  <c r="U43" i="10"/>
  <c r="T43" i="10"/>
  <c r="W43" i="10"/>
  <c r="R43" i="10"/>
  <c r="Z43" i="10"/>
  <c r="M43" i="6"/>
  <c r="L43" i="6"/>
  <c r="M42" i="2"/>
  <c r="U42" i="10"/>
  <c r="W42" i="10"/>
  <c r="R42" i="10"/>
  <c r="Z42" i="10"/>
  <c r="M42" i="6"/>
  <c r="L42" i="6"/>
  <c r="R41" i="10"/>
  <c r="M41" i="2"/>
  <c r="U41" i="10"/>
  <c r="T41" i="10"/>
  <c r="Z41" i="10"/>
  <c r="M41" i="6"/>
  <c r="M40" i="2"/>
  <c r="U40" i="10"/>
  <c r="T40" i="10"/>
  <c r="Z40" i="10"/>
  <c r="M40" i="6"/>
  <c r="L40" i="6"/>
  <c r="M39" i="2"/>
  <c r="I39" i="5"/>
  <c r="M39" i="5"/>
  <c r="O39" i="5"/>
  <c r="U39" i="10"/>
  <c r="T39" i="10"/>
  <c r="W39" i="10"/>
  <c r="Z39" i="10"/>
  <c r="M39" i="6"/>
  <c r="L39" i="6"/>
  <c r="M38" i="2"/>
  <c r="I38" i="5"/>
  <c r="L38" i="5"/>
  <c r="U38" i="10"/>
  <c r="T38" i="10"/>
  <c r="Z38" i="10"/>
  <c r="M37" i="2"/>
  <c r="I37" i="5"/>
  <c r="L37" i="5"/>
  <c r="U37" i="10"/>
  <c r="T37" i="10"/>
  <c r="Z37" i="10"/>
  <c r="M37" i="6"/>
  <c r="L37" i="6"/>
  <c r="M36" i="2"/>
  <c r="U36" i="10"/>
  <c r="T36" i="10"/>
  <c r="W36" i="10"/>
  <c r="R36" i="10"/>
  <c r="Z36" i="10"/>
  <c r="M36" i="6"/>
  <c r="L36" i="6"/>
  <c r="M35" i="2"/>
  <c r="U35" i="10"/>
  <c r="W35" i="10"/>
  <c r="Z35" i="10"/>
  <c r="M35" i="6"/>
  <c r="M34" i="2"/>
  <c r="I34" i="5"/>
  <c r="M34" i="5"/>
  <c r="U34" i="10"/>
  <c r="T34" i="10"/>
  <c r="R34" i="10"/>
  <c r="Z34" i="10"/>
  <c r="M34" i="6"/>
  <c r="L34" i="6"/>
  <c r="M33" i="2"/>
  <c r="I33" i="5"/>
  <c r="U33" i="10"/>
  <c r="T33" i="10"/>
  <c r="M33" i="6"/>
  <c r="L33" i="6"/>
  <c r="M32" i="2"/>
  <c r="I32" i="5"/>
  <c r="U32" i="10"/>
  <c r="T32" i="10"/>
  <c r="Z32" i="10"/>
  <c r="M32" i="6"/>
  <c r="L32" i="6"/>
  <c r="M31" i="2"/>
  <c r="N31" i="10"/>
  <c r="I31" i="5"/>
  <c r="M31" i="5"/>
  <c r="O31" i="5"/>
  <c r="U31" i="10"/>
  <c r="Z31" i="10"/>
  <c r="M31" i="6"/>
  <c r="L31" i="6"/>
  <c r="M30" i="2"/>
  <c r="I30" i="5"/>
  <c r="M30" i="5"/>
  <c r="O30" i="5"/>
  <c r="T30" i="10"/>
  <c r="W30" i="10"/>
  <c r="R30" i="10"/>
  <c r="Z30" i="10"/>
  <c r="M30" i="6"/>
  <c r="L30" i="6"/>
  <c r="M29" i="2"/>
  <c r="I29" i="5"/>
  <c r="U29" i="10"/>
  <c r="T29" i="10"/>
  <c r="W29" i="10"/>
  <c r="Z29" i="10"/>
  <c r="M29" i="6"/>
  <c r="L29" i="6"/>
  <c r="M28" i="2"/>
  <c r="I28" i="5"/>
  <c r="M28" i="5"/>
  <c r="O28" i="5"/>
  <c r="R28" i="5"/>
  <c r="U28" i="10"/>
  <c r="T28" i="10"/>
  <c r="W28" i="10"/>
  <c r="R28" i="10"/>
  <c r="Z28" i="10"/>
  <c r="M28" i="6"/>
  <c r="L28" i="6"/>
  <c r="M27" i="2"/>
  <c r="I27" i="5"/>
  <c r="U27" i="10"/>
  <c r="T27" i="10"/>
  <c r="W27" i="10"/>
  <c r="L27" i="6"/>
  <c r="M26" i="2"/>
  <c r="U26" i="10"/>
  <c r="W26" i="10"/>
  <c r="R26" i="10"/>
  <c r="Z26" i="10"/>
  <c r="M26" i="6"/>
  <c r="L26" i="6"/>
  <c r="M25" i="2"/>
  <c r="U25" i="10"/>
  <c r="T25" i="10"/>
  <c r="Z25" i="10"/>
  <c r="M25" i="6"/>
  <c r="L25" i="6"/>
  <c r="M24" i="2"/>
  <c r="U24" i="10"/>
  <c r="T24" i="10"/>
  <c r="R24" i="10"/>
  <c r="Z24" i="10"/>
  <c r="L24" i="6"/>
  <c r="N23" i="10"/>
  <c r="U23" i="10"/>
  <c r="T23" i="10"/>
  <c r="W23" i="10"/>
  <c r="R23" i="10"/>
  <c r="M23" i="6"/>
  <c r="L23" i="6"/>
  <c r="M22" i="2"/>
  <c r="R22" i="10"/>
  <c r="W22" i="10"/>
  <c r="Z22" i="10"/>
  <c r="M22" i="6"/>
  <c r="L22" i="6"/>
  <c r="M21" i="2"/>
  <c r="R21" i="10"/>
  <c r="Z21" i="10"/>
  <c r="M21" i="6"/>
  <c r="L21" i="6"/>
  <c r="T20" i="10"/>
  <c r="R20" i="10"/>
  <c r="M19" i="2"/>
  <c r="U19" i="10"/>
  <c r="T19" i="10"/>
  <c r="R19" i="10"/>
  <c r="Z19" i="10"/>
  <c r="M19" i="6"/>
  <c r="M18" i="2"/>
  <c r="I18" i="5"/>
  <c r="L18" i="5"/>
  <c r="T18" i="10"/>
  <c r="W18" i="10"/>
  <c r="R18" i="10"/>
  <c r="Z18" i="10"/>
  <c r="M18" i="6"/>
  <c r="L18" i="6"/>
  <c r="M17" i="2"/>
  <c r="U17" i="10"/>
  <c r="W17" i="10"/>
  <c r="Z17" i="10"/>
  <c r="L17" i="6"/>
  <c r="I16" i="5"/>
  <c r="M16" i="5"/>
  <c r="O16" i="5"/>
  <c r="R16" i="5"/>
  <c r="U16" i="10"/>
  <c r="T16" i="10"/>
  <c r="R16" i="10"/>
  <c r="Z16" i="10"/>
  <c r="M15" i="2"/>
  <c r="I15" i="5"/>
  <c r="L15" i="5"/>
  <c r="U15" i="10"/>
  <c r="T15" i="10"/>
  <c r="W15" i="10"/>
  <c r="Z15" i="10"/>
  <c r="M15" i="6"/>
  <c r="L15" i="6"/>
  <c r="N14" i="10"/>
  <c r="I14" i="5"/>
  <c r="M14" i="5"/>
  <c r="O14" i="5"/>
  <c r="W14" i="10"/>
  <c r="R14" i="10"/>
  <c r="Z14" i="10"/>
  <c r="L14" i="6"/>
  <c r="M13" i="2"/>
  <c r="W13" i="10"/>
  <c r="R13" i="10"/>
  <c r="Z13" i="10"/>
  <c r="L13" i="6"/>
  <c r="M12" i="2"/>
  <c r="I12" i="5"/>
  <c r="M12" i="5"/>
  <c r="O12" i="5"/>
  <c r="T12" i="10"/>
  <c r="R12" i="10"/>
  <c r="Z12" i="10"/>
  <c r="U11" i="10"/>
  <c r="T11" i="10"/>
  <c r="R11" i="10"/>
  <c r="Z11" i="10"/>
  <c r="M11" i="6"/>
  <c r="U10" i="10"/>
  <c r="W10" i="10"/>
  <c r="Z10" i="10"/>
  <c r="M10" i="6"/>
  <c r="L10" i="6"/>
  <c r="AA9" i="10"/>
  <c r="Z9" i="10"/>
  <c r="R9" i="10"/>
  <c r="T9" i="10"/>
  <c r="L9" i="6"/>
  <c r="F9" i="10"/>
  <c r="M81" i="5"/>
  <c r="O81" i="5"/>
  <c r="L76" i="5"/>
  <c r="Q73" i="5"/>
  <c r="M69" i="5"/>
  <c r="O69" i="5"/>
  <c r="R69" i="5"/>
  <c r="M67" i="5"/>
  <c r="O67" i="5"/>
  <c r="L67" i="5"/>
  <c r="M65" i="5"/>
  <c r="O65" i="5"/>
  <c r="L65" i="5"/>
  <c r="M64" i="5"/>
  <c r="O64" i="5"/>
  <c r="M51" i="5"/>
  <c r="O51" i="5"/>
  <c r="L51" i="5"/>
  <c r="M47" i="5"/>
  <c r="O47" i="5"/>
  <c r="M44" i="5"/>
  <c r="O44" i="5"/>
  <c r="L44" i="5"/>
  <c r="M38" i="5"/>
  <c r="O38" i="5"/>
  <c r="R38" i="5"/>
  <c r="M37" i="5"/>
  <c r="O37" i="5"/>
  <c r="O34" i="5"/>
  <c r="L34" i="5"/>
  <c r="M33" i="5"/>
  <c r="O33" i="5"/>
  <c r="L33" i="5"/>
  <c r="L31" i="5"/>
  <c r="M27" i="5"/>
  <c r="O27" i="5"/>
  <c r="L20" i="5"/>
  <c r="L16" i="5"/>
  <c r="M15" i="5"/>
  <c r="O15" i="5"/>
  <c r="L12" i="5"/>
  <c r="Q38" i="5"/>
  <c r="Q16" i="5"/>
  <c r="Q49" i="5"/>
  <c r="R49" i="5"/>
  <c r="D22" i="5"/>
  <c r="H82" i="2"/>
  <c r="J82" i="2"/>
  <c r="K82" i="2"/>
  <c r="N82" i="2"/>
  <c r="M82" i="2"/>
  <c r="M66" i="5"/>
  <c r="O66" i="5"/>
  <c r="T22" i="10"/>
  <c r="Z72" i="10"/>
  <c r="N30" i="2"/>
  <c r="L82" i="2"/>
  <c r="M4" i="1"/>
  <c r="E4" i="1"/>
  <c r="O13" i="1"/>
  <c r="D13" i="5"/>
  <c r="AA17" i="10"/>
  <c r="R17" i="10"/>
  <c r="X32" i="10"/>
  <c r="W32" i="10"/>
  <c r="A41" i="10"/>
  <c r="A41" i="2"/>
  <c r="A41" i="5"/>
  <c r="K43" i="5"/>
  <c r="N43" i="5"/>
  <c r="I43" i="5"/>
  <c r="U46" i="10"/>
  <c r="T46" i="10"/>
  <c r="O57" i="1"/>
  <c r="E57" i="10"/>
  <c r="F57" i="10"/>
  <c r="D57" i="5"/>
  <c r="AA58" i="10"/>
  <c r="R58" i="10"/>
  <c r="Q70" i="2"/>
  <c r="R72" i="10"/>
  <c r="D10" i="5"/>
  <c r="O10" i="1"/>
  <c r="X11" i="10"/>
  <c r="W11" i="10"/>
  <c r="L11" i="2"/>
  <c r="M11" i="2"/>
  <c r="A14" i="5"/>
  <c r="A27" i="10"/>
  <c r="A27" i="5"/>
  <c r="A27" i="2"/>
  <c r="AA27" i="10"/>
  <c r="Z27" i="10"/>
  <c r="R27" i="10"/>
  <c r="W21" i="10"/>
  <c r="L14" i="5"/>
  <c r="M18" i="5"/>
  <c r="O18" i="5"/>
  <c r="L30" i="5"/>
  <c r="L46" i="5"/>
  <c r="I21" i="5"/>
  <c r="Z23" i="10"/>
  <c r="W37" i="10"/>
  <c r="A9" i="10"/>
  <c r="A9" i="5"/>
  <c r="D4" i="10"/>
  <c r="K9" i="5"/>
  <c r="N9" i="5"/>
  <c r="D11" i="5"/>
  <c r="I11" i="5"/>
  <c r="M11" i="5"/>
  <c r="O11" i="5"/>
  <c r="K11" i="2"/>
  <c r="F23" i="5"/>
  <c r="AA33" i="10"/>
  <c r="R33" i="10"/>
  <c r="Z33" i="10"/>
  <c r="K32" i="10"/>
  <c r="N32" i="10"/>
  <c r="O62" i="1"/>
  <c r="E62" i="10"/>
  <c r="F62" i="10"/>
  <c r="D62" i="5"/>
  <c r="O72" i="1"/>
  <c r="D72" i="5"/>
  <c r="L32" i="5"/>
  <c r="N48" i="2"/>
  <c r="K12" i="10"/>
  <c r="A13" i="2"/>
  <c r="K14" i="2"/>
  <c r="A20" i="5"/>
  <c r="H24" i="2"/>
  <c r="J24" i="2"/>
  <c r="L24" i="2"/>
  <c r="K42" i="10"/>
  <c r="N42" i="10"/>
  <c r="K45" i="10"/>
  <c r="A63" i="10"/>
  <c r="A63" i="2"/>
  <c r="A63" i="5"/>
  <c r="O71" i="1"/>
  <c r="D71" i="5"/>
  <c r="A77" i="2"/>
  <c r="A77" i="10"/>
  <c r="N42" i="2"/>
  <c r="N45" i="2"/>
  <c r="A10" i="10"/>
  <c r="J4" i="6"/>
  <c r="F12" i="10"/>
  <c r="D13" i="2"/>
  <c r="A13" i="5"/>
  <c r="K15" i="10"/>
  <c r="N15" i="10"/>
  <c r="R15" i="10"/>
  <c r="D23" i="5"/>
  <c r="I23" i="5"/>
  <c r="M23" i="5"/>
  <c r="O23" i="5"/>
  <c r="A24" i="10"/>
  <c r="A24" i="5"/>
  <c r="D26" i="2"/>
  <c r="A31" i="10"/>
  <c r="A31" i="5"/>
  <c r="A31" i="2"/>
  <c r="F33" i="5"/>
  <c r="D36" i="2"/>
  <c r="H36" i="2"/>
  <c r="J36" i="2"/>
  <c r="K37" i="10"/>
  <c r="N37" i="10"/>
  <c r="A43" i="2"/>
  <c r="A43" i="5"/>
  <c r="A43" i="10"/>
  <c r="A73" i="2"/>
  <c r="A73" i="5"/>
  <c r="A81" i="2"/>
  <c r="A81" i="5"/>
  <c r="A81" i="10"/>
  <c r="D16" i="2"/>
  <c r="A17" i="5"/>
  <c r="K18" i="10"/>
  <c r="N18" i="10"/>
  <c r="F18" i="5"/>
  <c r="K19" i="10"/>
  <c r="F20" i="10"/>
  <c r="K21" i="10"/>
  <c r="N21" i="10"/>
  <c r="D24" i="5"/>
  <c r="I24" i="5"/>
  <c r="M24" i="5"/>
  <c r="O24" i="5"/>
  <c r="Q24" i="5"/>
  <c r="G25" i="6"/>
  <c r="A26" i="5"/>
  <c r="G27" i="6"/>
  <c r="F27" i="5"/>
  <c r="K27" i="2"/>
  <c r="N27" i="2"/>
  <c r="Q27" i="2"/>
  <c r="G30" i="6"/>
  <c r="K30" i="10"/>
  <c r="N30" i="10"/>
  <c r="G31" i="6"/>
  <c r="D34" i="2"/>
  <c r="K34" i="10"/>
  <c r="K40" i="5"/>
  <c r="N40" i="5"/>
  <c r="A42" i="2"/>
  <c r="G44" i="6"/>
  <c r="E50" i="10"/>
  <c r="F50" i="10"/>
  <c r="F50" i="5"/>
  <c r="G52" i="6"/>
  <c r="K54" i="10"/>
  <c r="L54" i="2"/>
  <c r="K55" i="10"/>
  <c r="D57" i="2"/>
  <c r="G57" i="2"/>
  <c r="I57" i="10"/>
  <c r="A58" i="5"/>
  <c r="K59" i="5"/>
  <c r="N59" i="5"/>
  <c r="A60" i="2"/>
  <c r="D62" i="2"/>
  <c r="G62" i="2"/>
  <c r="I62" i="10"/>
  <c r="T62" i="10"/>
  <c r="G62" i="6"/>
  <c r="G64" i="6"/>
  <c r="G65" i="6"/>
  <c r="A69" i="2"/>
  <c r="K72" i="5"/>
  <c r="N72" i="5"/>
  <c r="E74" i="10"/>
  <c r="F74" i="10"/>
  <c r="D74" i="5"/>
  <c r="E76" i="10"/>
  <c r="F76" i="10"/>
  <c r="D76" i="2"/>
  <c r="L77" i="2"/>
  <c r="H15" i="2"/>
  <c r="J15" i="2"/>
  <c r="K15" i="2"/>
  <c r="A17" i="10"/>
  <c r="L17" i="2"/>
  <c r="N17" i="2"/>
  <c r="D21" i="2"/>
  <c r="K21" i="5"/>
  <c r="N21" i="5"/>
  <c r="H23" i="2"/>
  <c r="J23" i="2"/>
  <c r="L24" i="10"/>
  <c r="N24" i="10"/>
  <c r="L25" i="10"/>
  <c r="A25" i="5"/>
  <c r="K25" i="5"/>
  <c r="N25" i="5"/>
  <c r="A26" i="2"/>
  <c r="D35" i="2"/>
  <c r="A35" i="10"/>
  <c r="K35" i="5"/>
  <c r="N35" i="5"/>
  <c r="A38" i="5"/>
  <c r="R39" i="10"/>
  <c r="D42" i="5"/>
  <c r="D45" i="5"/>
  <c r="G48" i="6"/>
  <c r="A48" i="5"/>
  <c r="K50" i="10"/>
  <c r="A50" i="10"/>
  <c r="L50" i="2"/>
  <c r="K52" i="5"/>
  <c r="N52" i="5"/>
  <c r="G53" i="6"/>
  <c r="K54" i="5"/>
  <c r="N54" i="5"/>
  <c r="G55" i="6"/>
  <c r="A58" i="2"/>
  <c r="K61" i="5"/>
  <c r="N61" i="5"/>
  <c r="L73" i="2"/>
  <c r="N73" i="2"/>
  <c r="P73" i="2"/>
  <c r="G74" i="6"/>
  <c r="A74" i="10"/>
  <c r="A76" i="10"/>
  <c r="L76" i="2"/>
  <c r="A78" i="2"/>
  <c r="K79" i="5"/>
  <c r="N79" i="5"/>
  <c r="D80" i="2"/>
  <c r="L81" i="2"/>
  <c r="K83" i="10"/>
  <c r="L51" i="10"/>
  <c r="F60" i="10"/>
  <c r="K60" i="5"/>
  <c r="N60" i="5"/>
  <c r="L61" i="2"/>
  <c r="K62" i="5"/>
  <c r="N62" i="5"/>
  <c r="F68" i="10"/>
  <c r="D68" i="5"/>
  <c r="K71" i="5"/>
  <c r="N71" i="5"/>
  <c r="L71" i="2"/>
  <c r="D77" i="5"/>
  <c r="A79" i="2"/>
  <c r="D82" i="2"/>
  <c r="G82" i="2"/>
  <c r="I82" i="10"/>
  <c r="L82" i="10"/>
  <c r="D83" i="2"/>
  <c r="Q20" i="5"/>
  <c r="R20" i="5"/>
  <c r="R51" i="5"/>
  <c r="Q51" i="5"/>
  <c r="H16" i="2"/>
  <c r="J16" i="2"/>
  <c r="M16" i="2"/>
  <c r="M4" i="2"/>
  <c r="P37" i="2"/>
  <c r="R67" i="5"/>
  <c r="Q67" i="5"/>
  <c r="L70" i="5"/>
  <c r="I17" i="5"/>
  <c r="M29" i="5"/>
  <c r="O29" i="5"/>
  <c r="Q29" i="5"/>
  <c r="L29" i="5"/>
  <c r="R18" i="5"/>
  <c r="Q18" i="5"/>
  <c r="Q69" i="5"/>
  <c r="K50" i="2"/>
  <c r="N50" i="2"/>
  <c r="I50" i="10"/>
  <c r="U50" i="10"/>
  <c r="L59" i="5"/>
  <c r="M59" i="5"/>
  <c r="O59" i="5"/>
  <c r="R14" i="5"/>
  <c r="Q14" i="5"/>
  <c r="Q28" i="5"/>
  <c r="P27" i="2"/>
  <c r="R30" i="5"/>
  <c r="Q30" i="5"/>
  <c r="M32" i="5"/>
  <c r="O32" i="5"/>
  <c r="R34" i="5"/>
  <c r="Q34" i="5"/>
  <c r="I4" i="6"/>
  <c r="K77" i="2"/>
  <c r="N77" i="2"/>
  <c r="P77" i="2"/>
  <c r="I77" i="10"/>
  <c r="R23" i="5"/>
  <c r="Q23" i="5"/>
  <c r="R47" i="5"/>
  <c r="Q47" i="5"/>
  <c r="L12" i="6"/>
  <c r="M12" i="6"/>
  <c r="L39" i="5"/>
  <c r="P52" i="2"/>
  <c r="N11" i="2"/>
  <c r="P11" i="2"/>
  <c r="U20" i="10"/>
  <c r="T21" i="10"/>
  <c r="W31" i="10"/>
  <c r="T74" i="10"/>
  <c r="N44" i="2"/>
  <c r="K62" i="10"/>
  <c r="Z20" i="10"/>
  <c r="Z4" i="10"/>
  <c r="N68" i="2"/>
  <c r="N71" i="2"/>
  <c r="O4" i="10"/>
  <c r="P4" i="10"/>
  <c r="K39" i="10"/>
  <c r="N39" i="10"/>
  <c r="F39" i="10"/>
  <c r="L41" i="2"/>
  <c r="K41" i="2"/>
  <c r="K68" i="10"/>
  <c r="N68" i="10"/>
  <c r="G12" i="6"/>
  <c r="K16" i="10"/>
  <c r="N16" i="10"/>
  <c r="F16" i="10"/>
  <c r="L19" i="2"/>
  <c r="N19" i="2"/>
  <c r="N51" i="2"/>
  <c r="L9" i="10"/>
  <c r="W9" i="10"/>
  <c r="D4" i="6"/>
  <c r="G11" i="6"/>
  <c r="F11" i="5"/>
  <c r="E4" i="5"/>
  <c r="G14" i="6"/>
  <c r="G17" i="6"/>
  <c r="K18" i="2"/>
  <c r="N18" i="2"/>
  <c r="K20" i="10"/>
  <c r="N20" i="10"/>
  <c r="H20" i="2"/>
  <c r="J20" i="2"/>
  <c r="K20" i="2"/>
  <c r="H21" i="2"/>
  <c r="J21" i="2"/>
  <c r="K24" i="5"/>
  <c r="N24" i="5"/>
  <c r="K27" i="10"/>
  <c r="N27" i="10"/>
  <c r="K27" i="5"/>
  <c r="K36" i="10"/>
  <c r="N36" i="10"/>
  <c r="K36" i="5"/>
  <c r="N36" i="5"/>
  <c r="G50" i="6"/>
  <c r="K56" i="5"/>
  <c r="N56" i="5"/>
  <c r="G59" i="2"/>
  <c r="F66" i="5"/>
  <c r="G67" i="2"/>
  <c r="I67" i="10"/>
  <c r="G75" i="6"/>
  <c r="L78" i="2"/>
  <c r="K53" i="5"/>
  <c r="N53" i="5"/>
  <c r="AA82" i="10"/>
  <c r="AA4" i="10"/>
  <c r="R82" i="10"/>
  <c r="R4" i="10"/>
  <c r="F4" i="6"/>
  <c r="K11" i="10"/>
  <c r="N11" i="10"/>
  <c r="K13" i="10"/>
  <c r="N13" i="10"/>
  <c r="L14" i="2"/>
  <c r="N14" i="2"/>
  <c r="F15" i="5"/>
  <c r="K17" i="5"/>
  <c r="N17" i="5"/>
  <c r="G20" i="6"/>
  <c r="K23" i="5"/>
  <c r="N23" i="5"/>
  <c r="K26" i="10"/>
  <c r="N26" i="10"/>
  <c r="K28" i="5"/>
  <c r="N28" i="5"/>
  <c r="L34" i="10"/>
  <c r="K35" i="10"/>
  <c r="N35" i="10"/>
  <c r="K41" i="5"/>
  <c r="N41" i="5"/>
  <c r="K43" i="10"/>
  <c r="N43" i="10"/>
  <c r="G51" i="6"/>
  <c r="F59" i="5"/>
  <c r="K64" i="10"/>
  <c r="K71" i="10"/>
  <c r="N71" i="10"/>
  <c r="K77" i="5"/>
  <c r="K81" i="5"/>
  <c r="N81" i="5"/>
  <c r="K82" i="10"/>
  <c r="K24" i="2"/>
  <c r="K25" i="10"/>
  <c r="K29" i="10"/>
  <c r="N29" i="10"/>
  <c r="L40" i="2"/>
  <c r="I41" i="5"/>
  <c r="L45" i="10"/>
  <c r="K45" i="5"/>
  <c r="G46" i="6"/>
  <c r="G49" i="6"/>
  <c r="K52" i="10"/>
  <c r="N52" i="10"/>
  <c r="K55" i="5"/>
  <c r="N55" i="5"/>
  <c r="K56" i="10"/>
  <c r="K58" i="10"/>
  <c r="K58" i="5"/>
  <c r="N58" i="5"/>
  <c r="K65" i="10"/>
  <c r="K67" i="10"/>
  <c r="K68" i="5"/>
  <c r="I79" i="5"/>
  <c r="G80" i="6"/>
  <c r="G28" i="6"/>
  <c r="L33" i="10"/>
  <c r="N33" i="10"/>
  <c r="K38" i="10"/>
  <c r="L38" i="10"/>
  <c r="F38" i="5"/>
  <c r="L43" i="2"/>
  <c r="N43" i="2"/>
  <c r="L46" i="2"/>
  <c r="N46" i="2"/>
  <c r="G47" i="6"/>
  <c r="K47" i="5"/>
  <c r="L49" i="2"/>
  <c r="N49" i="2"/>
  <c r="G56" i="6"/>
  <c r="L72" i="2"/>
  <c r="N72" i="2"/>
  <c r="L74" i="2"/>
  <c r="N74" i="2"/>
  <c r="K76" i="10"/>
  <c r="G76" i="6"/>
  <c r="G76" i="2"/>
  <c r="K80" i="10"/>
  <c r="K81" i="10"/>
  <c r="G81" i="6"/>
  <c r="K83" i="5"/>
  <c r="N83" i="5"/>
  <c r="R31" i="5"/>
  <c r="Q31" i="5"/>
  <c r="R46" i="5"/>
  <c r="Q46" i="5"/>
  <c r="R70" i="5"/>
  <c r="Q70" i="5"/>
  <c r="R15" i="5"/>
  <c r="Q15" i="5"/>
  <c r="R33" i="5"/>
  <c r="Q33" i="5"/>
  <c r="R39" i="5"/>
  <c r="Q39" i="5"/>
  <c r="R64" i="5"/>
  <c r="Q64" i="5"/>
  <c r="R59" i="5"/>
  <c r="Q59" i="5"/>
  <c r="P68" i="2"/>
  <c r="Q68" i="2"/>
  <c r="R12" i="5"/>
  <c r="Q12" i="5"/>
  <c r="Q76" i="5"/>
  <c r="R76" i="5"/>
  <c r="R11" i="5"/>
  <c r="Q11" i="5"/>
  <c r="R27" i="5"/>
  <c r="Q27" i="5"/>
  <c r="R37" i="5"/>
  <c r="Q37" i="5"/>
  <c r="R50" i="5"/>
  <c r="Q50" i="5"/>
  <c r="R81" i="5"/>
  <c r="Q81" i="5"/>
  <c r="Q11" i="2"/>
  <c r="R44" i="5"/>
  <c r="Q44" i="5"/>
  <c r="R52" i="5"/>
  <c r="Q52" i="5"/>
  <c r="Q65" i="5"/>
  <c r="R65" i="5"/>
  <c r="K81" i="2"/>
  <c r="I81" i="10"/>
  <c r="L81" i="10"/>
  <c r="H10" i="2"/>
  <c r="J10" i="2"/>
  <c r="K10" i="2"/>
  <c r="U14" i="10"/>
  <c r="T14" i="10"/>
  <c r="X20" i="10"/>
  <c r="W20" i="10"/>
  <c r="O9" i="1"/>
  <c r="F4" i="1"/>
  <c r="H9" i="2"/>
  <c r="D9" i="5"/>
  <c r="U13" i="10"/>
  <c r="T13" i="10"/>
  <c r="M16" i="6"/>
  <c r="L16" i="6"/>
  <c r="K16" i="2"/>
  <c r="L16" i="2"/>
  <c r="F19" i="5"/>
  <c r="I19" i="5"/>
  <c r="L20" i="2"/>
  <c r="M20" i="6"/>
  <c r="L20" i="6"/>
  <c r="K36" i="2"/>
  <c r="L36" i="2"/>
  <c r="D9" i="2"/>
  <c r="L50" i="10"/>
  <c r="T50" i="10"/>
  <c r="L62" i="10"/>
  <c r="X9" i="10"/>
  <c r="N24" i="2"/>
  <c r="K34" i="2"/>
  <c r="L34" i="2"/>
  <c r="Q77" i="2"/>
  <c r="N69" i="2"/>
  <c r="F10" i="10"/>
  <c r="K10" i="10"/>
  <c r="X16" i="10"/>
  <c r="W16" i="10"/>
  <c r="N19" i="10"/>
  <c r="W19" i="10"/>
  <c r="X19" i="10"/>
  <c r="N25" i="10"/>
  <c r="W25" i="10"/>
  <c r="X25" i="10"/>
  <c r="M38" i="6"/>
  <c r="L38" i="6"/>
  <c r="L15" i="2"/>
  <c r="N15" i="2"/>
  <c r="K17" i="10"/>
  <c r="N17" i="10"/>
  <c r="O19" i="1"/>
  <c r="H22" i="2"/>
  <c r="J22" i="2"/>
  <c r="O25" i="1"/>
  <c r="D25" i="5"/>
  <c r="H25" i="2"/>
  <c r="J25" i="2"/>
  <c r="K25" i="2"/>
  <c r="O26" i="1"/>
  <c r="A29" i="5"/>
  <c r="A29" i="10"/>
  <c r="A29" i="2"/>
  <c r="A32" i="10"/>
  <c r="A32" i="5"/>
  <c r="A32" i="2"/>
  <c r="D35" i="5"/>
  <c r="O35" i="1"/>
  <c r="H39" i="2"/>
  <c r="J39" i="2"/>
  <c r="K39" i="2"/>
  <c r="L39" i="2"/>
  <c r="L40" i="10"/>
  <c r="H47" i="2"/>
  <c r="J47" i="2"/>
  <c r="K47" i="2"/>
  <c r="L47" i="2"/>
  <c r="O48" i="1"/>
  <c r="L48" i="10"/>
  <c r="A51" i="10"/>
  <c r="A51" i="5"/>
  <c r="A51" i="2"/>
  <c r="D54" i="2"/>
  <c r="G54" i="2"/>
  <c r="E54" i="10"/>
  <c r="F54" i="10"/>
  <c r="D54" i="5"/>
  <c r="O54" i="1"/>
  <c r="H62" i="2"/>
  <c r="J62" i="2"/>
  <c r="L62" i="2"/>
  <c r="A11" i="10"/>
  <c r="D12" i="2"/>
  <c r="A18" i="2"/>
  <c r="D20" i="2"/>
  <c r="O21" i="1"/>
  <c r="A22" i="2"/>
  <c r="A22" i="5"/>
  <c r="D26" i="5"/>
  <c r="H26" i="2"/>
  <c r="J26" i="2"/>
  <c r="K26" i="2"/>
  <c r="O28" i="1"/>
  <c r="K28" i="10"/>
  <c r="N28" i="10"/>
  <c r="H29" i="2"/>
  <c r="J29" i="2"/>
  <c r="K29" i="2"/>
  <c r="N29" i="2"/>
  <c r="L29" i="2"/>
  <c r="O30" i="1"/>
  <c r="D32" i="2"/>
  <c r="H32" i="2"/>
  <c r="J32" i="2"/>
  <c r="A34" i="5"/>
  <c r="A36" i="2"/>
  <c r="A37" i="2"/>
  <c r="A37" i="5"/>
  <c r="A37" i="10"/>
  <c r="H40" i="2"/>
  <c r="J40" i="2"/>
  <c r="K40" i="2"/>
  <c r="N40" i="2"/>
  <c r="L41" i="10"/>
  <c r="L44" i="10"/>
  <c r="A47" i="5"/>
  <c r="A47" i="10"/>
  <c r="A47" i="2"/>
  <c r="K47" i="10"/>
  <c r="N47" i="10"/>
  <c r="A49" i="10"/>
  <c r="A49" i="2"/>
  <c r="A49" i="5"/>
  <c r="O52" i="1"/>
  <c r="G60" i="2"/>
  <c r="K60" i="2"/>
  <c r="L60" i="2"/>
  <c r="K61" i="10"/>
  <c r="A66" i="2"/>
  <c r="A66" i="5"/>
  <c r="A66" i="10"/>
  <c r="W12" i="10"/>
  <c r="N12" i="10"/>
  <c r="F19" i="10"/>
  <c r="E4" i="6"/>
  <c r="O12" i="1"/>
  <c r="H12" i="2"/>
  <c r="J12" i="2"/>
  <c r="D14" i="2"/>
  <c r="A15" i="2"/>
  <c r="A15" i="5"/>
  <c r="G16" i="6"/>
  <c r="A18" i="5"/>
  <c r="D22" i="2"/>
  <c r="A23" i="2"/>
  <c r="A23" i="5"/>
  <c r="O24" i="1"/>
  <c r="D24" i="2"/>
  <c r="D25" i="2"/>
  <c r="H31" i="2"/>
  <c r="J31" i="2"/>
  <c r="A34" i="10"/>
  <c r="A39" i="5"/>
  <c r="A39" i="2"/>
  <c r="A39" i="10"/>
  <c r="A40" i="5"/>
  <c r="A40" i="10"/>
  <c r="A40" i="2"/>
  <c r="K40" i="10"/>
  <c r="O41" i="1"/>
  <c r="A44" i="5"/>
  <c r="A44" i="10"/>
  <c r="A44" i="2"/>
  <c r="D48" i="5"/>
  <c r="A55" i="2"/>
  <c r="A55" i="5"/>
  <c r="A55" i="10"/>
  <c r="A10" i="5"/>
  <c r="K11" i="5"/>
  <c r="A12" i="5"/>
  <c r="A12" i="2"/>
  <c r="H13" i="2"/>
  <c r="J13" i="2"/>
  <c r="L13" i="2"/>
  <c r="A14" i="2"/>
  <c r="A16" i="10"/>
  <c r="A16" i="5"/>
  <c r="K19" i="5"/>
  <c r="N19" i="5"/>
  <c r="D23" i="2"/>
  <c r="K26" i="5"/>
  <c r="N26" i="5"/>
  <c r="H28" i="2"/>
  <c r="J28" i="2"/>
  <c r="L33" i="2"/>
  <c r="N33" i="2"/>
  <c r="L38" i="2"/>
  <c r="N38" i="2"/>
  <c r="D53" i="5"/>
  <c r="D53" i="2"/>
  <c r="G53" i="2"/>
  <c r="E53" i="10"/>
  <c r="F53" i="10"/>
  <c r="O53" i="1"/>
  <c r="H57" i="2"/>
  <c r="J57" i="2"/>
  <c r="L57" i="2"/>
  <c r="E63" i="10"/>
  <c r="F63" i="10"/>
  <c r="D63" i="5"/>
  <c r="D63" i="2"/>
  <c r="O63" i="1"/>
  <c r="A46" i="2"/>
  <c r="A46" i="5"/>
  <c r="A46" i="10"/>
  <c r="K48" i="10"/>
  <c r="N48" i="10"/>
  <c r="A62" i="2"/>
  <c r="A62" i="5"/>
  <c r="A62" i="10"/>
  <c r="H67" i="2"/>
  <c r="J67" i="2"/>
  <c r="K67" i="2"/>
  <c r="L67" i="2"/>
  <c r="A70" i="2"/>
  <c r="A70" i="10"/>
  <c r="A70" i="5"/>
  <c r="G29" i="6"/>
  <c r="A33" i="2"/>
  <c r="A33" i="5"/>
  <c r="H35" i="2"/>
  <c r="J35" i="2"/>
  <c r="O40" i="1"/>
  <c r="D40" i="5"/>
  <c r="O44" i="1"/>
  <c r="O49" i="1"/>
  <c r="K49" i="5"/>
  <c r="K50" i="5"/>
  <c r="A52" i="5"/>
  <c r="A53" i="2"/>
  <c r="A53" i="5"/>
  <c r="A54" i="2"/>
  <c r="A54" i="10"/>
  <c r="D55" i="5"/>
  <c r="D55" i="2"/>
  <c r="G55" i="2"/>
  <c r="O55" i="1"/>
  <c r="E55" i="10"/>
  <c r="F55" i="10"/>
  <c r="I60" i="10"/>
  <c r="O69" i="1"/>
  <c r="K69" i="10"/>
  <c r="N69" i="10"/>
  <c r="L77" i="10"/>
  <c r="O17" i="1"/>
  <c r="A28" i="10"/>
  <c r="A30" i="5"/>
  <c r="D31" i="2"/>
  <c r="D36" i="5"/>
  <c r="O36" i="1"/>
  <c r="A38" i="10"/>
  <c r="K42" i="5"/>
  <c r="O43" i="1"/>
  <c r="A45" i="2"/>
  <c r="A45" i="5"/>
  <c r="K48" i="5"/>
  <c r="N48" i="5"/>
  <c r="O50" i="1"/>
  <c r="K51" i="10"/>
  <c r="N51" i="10"/>
  <c r="L53" i="2"/>
  <c r="A54" i="5"/>
  <c r="D58" i="2"/>
  <c r="G58" i="2"/>
  <c r="D58" i="5"/>
  <c r="E58" i="10"/>
  <c r="F58" i="10"/>
  <c r="O58" i="1"/>
  <c r="D64" i="2"/>
  <c r="G64" i="2"/>
  <c r="E64" i="10"/>
  <c r="F64" i="10"/>
  <c r="L80" i="2"/>
  <c r="G80" i="2"/>
  <c r="A57" i="2"/>
  <c r="A57" i="5"/>
  <c r="D65" i="2"/>
  <c r="G65" i="2"/>
  <c r="E65" i="10"/>
  <c r="F65" i="10"/>
  <c r="A68" i="10"/>
  <c r="G83" i="2"/>
  <c r="K83" i="2"/>
  <c r="N83" i="2"/>
  <c r="O29" i="1"/>
  <c r="O39" i="1"/>
  <c r="O47" i="1"/>
  <c r="A56" i="2"/>
  <c r="A56" i="5"/>
  <c r="L56" i="2"/>
  <c r="G56" i="2"/>
  <c r="A59" i="2"/>
  <c r="A60" i="5"/>
  <c r="D61" i="2"/>
  <c r="G61" i="2"/>
  <c r="D61" i="5"/>
  <c r="E61" i="10"/>
  <c r="F61" i="10"/>
  <c r="O61" i="1"/>
  <c r="G63" i="2"/>
  <c r="K63" i="2"/>
  <c r="N63" i="2"/>
  <c r="G66" i="2"/>
  <c r="A67" i="2"/>
  <c r="A67" i="5"/>
  <c r="A67" i="10"/>
  <c r="A82" i="5"/>
  <c r="A82" i="10"/>
  <c r="O56" i="1"/>
  <c r="D56" i="5"/>
  <c r="A61" i="10"/>
  <c r="A65" i="10"/>
  <c r="D78" i="2"/>
  <c r="G78" i="2"/>
  <c r="D78" i="5"/>
  <c r="E78" i="10"/>
  <c r="F78" i="10"/>
  <c r="O78" i="1"/>
  <c r="A80" i="2"/>
  <c r="A80" i="5"/>
  <c r="A80" i="10"/>
  <c r="A83" i="2"/>
  <c r="A83" i="5"/>
  <c r="O59" i="1"/>
  <c r="O60" i="1"/>
  <c r="D60" i="5"/>
  <c r="A65" i="5"/>
  <c r="O70" i="1"/>
  <c r="L74" i="10"/>
  <c r="A75" i="2"/>
  <c r="A75" i="5"/>
  <c r="A75" i="10"/>
  <c r="G77" i="6"/>
  <c r="G79" i="2"/>
  <c r="A71" i="5"/>
  <c r="A71" i="2"/>
  <c r="A72" i="5"/>
  <c r="A72" i="2"/>
  <c r="O73" i="1"/>
  <c r="E75" i="10"/>
  <c r="F75" i="10"/>
  <c r="D75" i="5"/>
  <c r="D75" i="2"/>
  <c r="G75" i="2"/>
  <c r="A76" i="5"/>
  <c r="A77" i="5"/>
  <c r="E79" i="10"/>
  <c r="F79" i="10"/>
  <c r="E80" i="10"/>
  <c r="F80" i="10"/>
  <c r="A78" i="10"/>
  <c r="O80" i="1"/>
  <c r="D80" i="5"/>
  <c r="O82" i="1"/>
  <c r="D82" i="5"/>
  <c r="O83" i="1"/>
  <c r="D83" i="5"/>
  <c r="A73" i="10"/>
  <c r="Q17" i="2"/>
  <c r="P17" i="2"/>
  <c r="I68" i="5"/>
  <c r="M68" i="5"/>
  <c r="O68" i="5"/>
  <c r="F68" i="5"/>
  <c r="I45" i="5"/>
  <c r="M45" i="5"/>
  <c r="O45" i="5"/>
  <c r="F45" i="5"/>
  <c r="L23" i="2"/>
  <c r="K23" i="2"/>
  <c r="N23" i="2"/>
  <c r="Q23" i="2"/>
  <c r="L57" i="10"/>
  <c r="T57" i="10"/>
  <c r="Q42" i="2"/>
  <c r="P42" i="2"/>
  <c r="L21" i="5"/>
  <c r="M21" i="5"/>
  <c r="O21" i="5"/>
  <c r="F57" i="5"/>
  <c r="I57" i="5"/>
  <c r="K62" i="2"/>
  <c r="R24" i="5"/>
  <c r="R29" i="5"/>
  <c r="L23" i="5"/>
  <c r="I77" i="5"/>
  <c r="M77" i="5"/>
  <c r="O77" i="5"/>
  <c r="F77" i="5"/>
  <c r="F42" i="5"/>
  <c r="I42" i="5"/>
  <c r="M42" i="5"/>
  <c r="O42" i="5"/>
  <c r="F74" i="5"/>
  <c r="I74" i="5"/>
  <c r="F72" i="5"/>
  <c r="I72" i="5"/>
  <c r="L43" i="5"/>
  <c r="M43" i="5"/>
  <c r="O43" i="5"/>
  <c r="I22" i="5"/>
  <c r="F22" i="5"/>
  <c r="L25" i="2"/>
  <c r="N81" i="2"/>
  <c r="Q73" i="2"/>
  <c r="L81" i="5"/>
  <c r="X51" i="10"/>
  <c r="W51" i="10"/>
  <c r="P45" i="2"/>
  <c r="Q45" i="2"/>
  <c r="L52" i="5"/>
  <c r="I13" i="5"/>
  <c r="F13" i="5"/>
  <c r="Q66" i="5"/>
  <c r="R66" i="5"/>
  <c r="K57" i="2"/>
  <c r="N40" i="10"/>
  <c r="U57" i="10"/>
  <c r="U62" i="10"/>
  <c r="L10" i="2"/>
  <c r="N38" i="10"/>
  <c r="F24" i="5"/>
  <c r="L24" i="5"/>
  <c r="X24" i="10"/>
  <c r="W24" i="10"/>
  <c r="I71" i="5"/>
  <c r="F71" i="5"/>
  <c r="P48" i="2"/>
  <c r="Q48" i="2"/>
  <c r="I62" i="5"/>
  <c r="F62" i="5"/>
  <c r="F10" i="5"/>
  <c r="I10" i="5"/>
  <c r="P30" i="2"/>
  <c r="Q30" i="2"/>
  <c r="Q14" i="2"/>
  <c r="P14" i="2"/>
  <c r="P74" i="2"/>
  <c r="Q74" i="2"/>
  <c r="P46" i="2"/>
  <c r="Q46" i="2"/>
  <c r="Q19" i="2"/>
  <c r="P19" i="2"/>
  <c r="N47" i="5"/>
  <c r="L47" i="5"/>
  <c r="M79" i="5"/>
  <c r="O79" i="5"/>
  <c r="L79" i="5"/>
  <c r="X45" i="10"/>
  <c r="W45" i="10"/>
  <c r="N45" i="10"/>
  <c r="N77" i="5"/>
  <c r="L77" i="5"/>
  <c r="X34" i="10"/>
  <c r="N34" i="10"/>
  <c r="W34" i="10"/>
  <c r="L67" i="10"/>
  <c r="N67" i="10"/>
  <c r="T67" i="10"/>
  <c r="U67" i="10"/>
  <c r="N20" i="2"/>
  <c r="N16" i="2"/>
  <c r="Q16" i="2"/>
  <c r="I76" i="10"/>
  <c r="K76" i="2"/>
  <c r="N76" i="2"/>
  <c r="P72" i="2"/>
  <c r="Q72" i="2"/>
  <c r="X38" i="10"/>
  <c r="W38" i="10"/>
  <c r="N68" i="5"/>
  <c r="L68" i="5"/>
  <c r="M41" i="5"/>
  <c r="O41" i="5"/>
  <c r="L41" i="5"/>
  <c r="Q18" i="2"/>
  <c r="P18" i="2"/>
  <c r="Q51" i="2"/>
  <c r="P51" i="2"/>
  <c r="U77" i="10"/>
  <c r="T77" i="10"/>
  <c r="R32" i="5"/>
  <c r="Q32" i="5"/>
  <c r="Q50" i="2"/>
  <c r="P50" i="2"/>
  <c r="L17" i="5"/>
  <c r="M17" i="5"/>
  <c r="O17" i="5"/>
  <c r="U82" i="10"/>
  <c r="T82" i="10"/>
  <c r="L21" i="2"/>
  <c r="K21" i="2"/>
  <c r="P71" i="2"/>
  <c r="Q71" i="2"/>
  <c r="I59" i="10"/>
  <c r="K59" i="2"/>
  <c r="N59" i="2"/>
  <c r="N60" i="2"/>
  <c r="P60" i="2"/>
  <c r="N39" i="2"/>
  <c r="F4" i="10"/>
  <c r="Q43" i="2"/>
  <c r="P43" i="2"/>
  <c r="X33" i="10"/>
  <c r="W33" i="10"/>
  <c r="N45" i="5"/>
  <c r="L45" i="5"/>
  <c r="N27" i="5"/>
  <c r="L27" i="5"/>
  <c r="N41" i="2"/>
  <c r="Q44" i="2"/>
  <c r="P44" i="2"/>
  <c r="N9" i="10"/>
  <c r="L28" i="5"/>
  <c r="I75" i="10"/>
  <c r="K75" i="2"/>
  <c r="N75" i="2"/>
  <c r="I55" i="10"/>
  <c r="K55" i="2"/>
  <c r="N55" i="2"/>
  <c r="I65" i="10"/>
  <c r="K65" i="2"/>
  <c r="N65" i="2"/>
  <c r="F83" i="5"/>
  <c r="I83" i="5"/>
  <c r="I66" i="10"/>
  <c r="K66" i="2"/>
  <c r="N66" i="2"/>
  <c r="N49" i="5"/>
  <c r="L49" i="5"/>
  <c r="I79" i="10"/>
  <c r="K79" i="2"/>
  <c r="N79" i="2"/>
  <c r="I60" i="5"/>
  <c r="F60" i="5"/>
  <c r="I78" i="10"/>
  <c r="K78" i="2"/>
  <c r="N78" i="2"/>
  <c r="F56" i="5"/>
  <c r="I56" i="5"/>
  <c r="F61" i="5"/>
  <c r="I61" i="5"/>
  <c r="I56" i="10"/>
  <c r="K56" i="2"/>
  <c r="N56" i="2"/>
  <c r="F36" i="5"/>
  <c r="I36" i="5"/>
  <c r="L60" i="10"/>
  <c r="U60" i="10"/>
  <c r="T60" i="10"/>
  <c r="I55" i="5"/>
  <c r="F55" i="5"/>
  <c r="L35" i="2"/>
  <c r="K35" i="2"/>
  <c r="N67" i="2"/>
  <c r="I53" i="10"/>
  <c r="K53" i="2"/>
  <c r="N53" i="2"/>
  <c r="K28" i="2"/>
  <c r="L28" i="2"/>
  <c r="Q40" i="2"/>
  <c r="P40" i="2"/>
  <c r="I25" i="5"/>
  <c r="F25" i="5"/>
  <c r="K4" i="10"/>
  <c r="N10" i="10"/>
  <c r="Q69" i="2"/>
  <c r="P69" i="2"/>
  <c r="N34" i="2"/>
  <c r="D4" i="2"/>
  <c r="N36" i="2"/>
  <c r="K13" i="2"/>
  <c r="N13" i="2"/>
  <c r="H4" i="2"/>
  <c r="J9" i="2"/>
  <c r="I80" i="5"/>
  <c r="F80" i="5"/>
  <c r="K58" i="2"/>
  <c r="N58" i="2"/>
  <c r="I58" i="10"/>
  <c r="I82" i="5"/>
  <c r="F82" i="5"/>
  <c r="X74" i="10"/>
  <c r="W74" i="10"/>
  <c r="N74" i="10"/>
  <c r="Q63" i="2"/>
  <c r="P63" i="2"/>
  <c r="I61" i="10"/>
  <c r="K61" i="2"/>
  <c r="N61" i="2"/>
  <c r="Q83" i="2"/>
  <c r="P83" i="2"/>
  <c r="N42" i="5"/>
  <c r="X77" i="10"/>
  <c r="W77" i="10"/>
  <c r="N77" i="10"/>
  <c r="N57" i="2"/>
  <c r="I53" i="5"/>
  <c r="F53" i="5"/>
  <c r="I63" i="10"/>
  <c r="I48" i="5"/>
  <c r="F48" i="5"/>
  <c r="G4" i="2"/>
  <c r="Q60" i="2"/>
  <c r="I54" i="5"/>
  <c r="F54" i="5"/>
  <c r="P39" i="2"/>
  <c r="Q39" i="2"/>
  <c r="Q15" i="2"/>
  <c r="P15" i="2"/>
  <c r="Q24" i="2"/>
  <c r="P24" i="2"/>
  <c r="X62" i="10"/>
  <c r="W62" i="10"/>
  <c r="N62" i="10"/>
  <c r="L26" i="2"/>
  <c r="N26" i="2"/>
  <c r="Q20" i="2"/>
  <c r="P20" i="2"/>
  <c r="P16" i="2"/>
  <c r="U81" i="10"/>
  <c r="T81" i="10"/>
  <c r="F75" i="5"/>
  <c r="I75" i="5"/>
  <c r="I78" i="5"/>
  <c r="F78" i="5"/>
  <c r="X82" i="10"/>
  <c r="W82" i="10"/>
  <c r="N82" i="10"/>
  <c r="I80" i="10"/>
  <c r="K80" i="2"/>
  <c r="N80" i="2"/>
  <c r="X81" i="10"/>
  <c r="W81" i="10"/>
  <c r="N81" i="10"/>
  <c r="I83" i="10"/>
  <c r="F58" i="5"/>
  <c r="I58" i="5"/>
  <c r="N50" i="5"/>
  <c r="L50" i="5"/>
  <c r="F40" i="5"/>
  <c r="I40" i="5"/>
  <c r="I63" i="5"/>
  <c r="F63" i="5"/>
  <c r="Q38" i="2"/>
  <c r="P38" i="2"/>
  <c r="N11" i="5"/>
  <c r="K4" i="5"/>
  <c r="L11" i="5"/>
  <c r="L31" i="2"/>
  <c r="K31" i="2"/>
  <c r="N31" i="2"/>
  <c r="G4" i="6"/>
  <c r="L12" i="2"/>
  <c r="K12" i="2"/>
  <c r="X44" i="10"/>
  <c r="N44" i="10"/>
  <c r="W44" i="10"/>
  <c r="K32" i="2"/>
  <c r="L32" i="2"/>
  <c r="Q29" i="2"/>
  <c r="P29" i="2"/>
  <c r="I26" i="5"/>
  <c r="F26" i="5"/>
  <c r="N47" i="2"/>
  <c r="K22" i="2"/>
  <c r="L22" i="2"/>
  <c r="L19" i="5"/>
  <c r="M19" i="5"/>
  <c r="O19" i="5"/>
  <c r="L4" i="6"/>
  <c r="O4" i="1"/>
  <c r="P81" i="2"/>
  <c r="Q81" i="2"/>
  <c r="I64" i="10"/>
  <c r="K64" i="2"/>
  <c r="N64" i="2"/>
  <c r="Q33" i="2"/>
  <c r="P33" i="2"/>
  <c r="X41" i="10"/>
  <c r="W41" i="10"/>
  <c r="N41" i="10"/>
  <c r="N62" i="2"/>
  <c r="I54" i="10"/>
  <c r="K54" i="2"/>
  <c r="N54" i="2"/>
  <c r="X48" i="10"/>
  <c r="W48" i="10"/>
  <c r="X40" i="10"/>
  <c r="W40" i="10"/>
  <c r="F35" i="5"/>
  <c r="I35" i="5"/>
  <c r="N25" i="2"/>
  <c r="P82" i="2"/>
  <c r="Q82" i="2"/>
  <c r="N50" i="10"/>
  <c r="X50" i="10"/>
  <c r="W50" i="10"/>
  <c r="M4" i="6"/>
  <c r="F9" i="5"/>
  <c r="D4" i="5"/>
  <c r="I9" i="5"/>
  <c r="E4" i="10"/>
  <c r="N10" i="2"/>
  <c r="Q49" i="2"/>
  <c r="P49" i="2"/>
  <c r="L57" i="5"/>
  <c r="M57" i="5"/>
  <c r="O57" i="5"/>
  <c r="N4" i="5"/>
  <c r="L42" i="5"/>
  <c r="M10" i="5"/>
  <c r="O10" i="5"/>
  <c r="L10" i="5"/>
  <c r="M22" i="5"/>
  <c r="O22" i="5"/>
  <c r="L22" i="5"/>
  <c r="R68" i="5"/>
  <c r="Q68" i="5"/>
  <c r="M71" i="5"/>
  <c r="O71" i="5"/>
  <c r="L71" i="5"/>
  <c r="L72" i="5"/>
  <c r="M72" i="5"/>
  <c r="O72" i="5"/>
  <c r="R42" i="5"/>
  <c r="Q42" i="5"/>
  <c r="P23" i="2"/>
  <c r="M13" i="5"/>
  <c r="O13" i="5"/>
  <c r="L13" i="5"/>
  <c r="R43" i="5"/>
  <c r="Q43" i="5"/>
  <c r="M74" i="5"/>
  <c r="O74" i="5"/>
  <c r="L74" i="5"/>
  <c r="Q21" i="5"/>
  <c r="R21" i="5"/>
  <c r="L62" i="5"/>
  <c r="M62" i="5"/>
  <c r="O62" i="5"/>
  <c r="R77" i="5"/>
  <c r="Q77" i="5"/>
  <c r="X57" i="10"/>
  <c r="W57" i="10"/>
  <c r="N57" i="10"/>
  <c r="R45" i="5"/>
  <c r="Q45" i="5"/>
  <c r="Q41" i="2"/>
  <c r="P41" i="2"/>
  <c r="Q59" i="2"/>
  <c r="P59" i="2"/>
  <c r="N21" i="2"/>
  <c r="T59" i="10"/>
  <c r="U59" i="10"/>
  <c r="L59" i="10"/>
  <c r="R17" i="5"/>
  <c r="Q17" i="5"/>
  <c r="Q76" i="2"/>
  <c r="P76" i="2"/>
  <c r="Q79" i="5"/>
  <c r="R79" i="5"/>
  <c r="Q41" i="5"/>
  <c r="R41" i="5"/>
  <c r="U76" i="10"/>
  <c r="T76" i="10"/>
  <c r="L76" i="10"/>
  <c r="X67" i="10"/>
  <c r="W67" i="10"/>
  <c r="Q26" i="2"/>
  <c r="P26" i="2"/>
  <c r="L83" i="10"/>
  <c r="U83" i="10"/>
  <c r="T83" i="10"/>
  <c r="Q80" i="2"/>
  <c r="P80" i="2"/>
  <c r="M53" i="5"/>
  <c r="O53" i="5"/>
  <c r="L53" i="5"/>
  <c r="M82" i="5"/>
  <c r="O82" i="5"/>
  <c r="L82" i="5"/>
  <c r="L80" i="5"/>
  <c r="M80" i="5"/>
  <c r="O80" i="5"/>
  <c r="Q34" i="2"/>
  <c r="P34" i="2"/>
  <c r="Q53" i="2"/>
  <c r="P53" i="2"/>
  <c r="Q56" i="2"/>
  <c r="P56" i="2"/>
  <c r="L56" i="5"/>
  <c r="M56" i="5"/>
  <c r="O56" i="5"/>
  <c r="Q55" i="2"/>
  <c r="P55" i="2"/>
  <c r="Q10" i="2"/>
  <c r="P10" i="2"/>
  <c r="F4" i="5"/>
  <c r="Q25" i="2"/>
  <c r="P25" i="2"/>
  <c r="L54" i="10"/>
  <c r="U54" i="10"/>
  <c r="T54" i="10"/>
  <c r="L64" i="10"/>
  <c r="U64" i="10"/>
  <c r="T64" i="10"/>
  <c r="L26" i="5"/>
  <c r="M26" i="5"/>
  <c r="O26" i="5"/>
  <c r="N32" i="2"/>
  <c r="P31" i="2"/>
  <c r="Q31" i="2"/>
  <c r="L63" i="5"/>
  <c r="M63" i="5"/>
  <c r="O63" i="5"/>
  <c r="U80" i="10"/>
  <c r="T80" i="10"/>
  <c r="L80" i="10"/>
  <c r="M48" i="5"/>
  <c r="O48" i="5"/>
  <c r="L48" i="5"/>
  <c r="P57" i="2"/>
  <c r="Q57" i="2"/>
  <c r="P61" i="2"/>
  <c r="Q61" i="2"/>
  <c r="L58" i="10"/>
  <c r="T58" i="10"/>
  <c r="U58" i="10"/>
  <c r="P13" i="2"/>
  <c r="Q13" i="2"/>
  <c r="U53" i="10"/>
  <c r="T53" i="10"/>
  <c r="I4" i="10"/>
  <c r="L53" i="10"/>
  <c r="X60" i="10"/>
  <c r="W60" i="10"/>
  <c r="N60" i="10"/>
  <c r="U56" i="10"/>
  <c r="T56" i="10"/>
  <c r="L56" i="10"/>
  <c r="M60" i="5"/>
  <c r="O60" i="5"/>
  <c r="L60" i="5"/>
  <c r="Q66" i="2"/>
  <c r="P66" i="2"/>
  <c r="P65" i="2"/>
  <c r="Q65" i="2"/>
  <c r="T55" i="10"/>
  <c r="U55" i="10"/>
  <c r="L55" i="10"/>
  <c r="M35" i="5"/>
  <c r="O35" i="5"/>
  <c r="L35" i="5"/>
  <c r="Q62" i="2"/>
  <c r="P62" i="2"/>
  <c r="N22" i="2"/>
  <c r="N12" i="2"/>
  <c r="M40" i="5"/>
  <c r="O40" i="5"/>
  <c r="L40" i="5"/>
  <c r="L58" i="5"/>
  <c r="M58" i="5"/>
  <c r="O58" i="5"/>
  <c r="M78" i="5"/>
  <c r="O78" i="5"/>
  <c r="L78" i="5"/>
  <c r="L63" i="10"/>
  <c r="T63" i="10"/>
  <c r="U63" i="10"/>
  <c r="U61" i="10"/>
  <c r="T61" i="10"/>
  <c r="L61" i="10"/>
  <c r="P58" i="2"/>
  <c r="Q58" i="2"/>
  <c r="Q36" i="2"/>
  <c r="P36" i="2"/>
  <c r="L25" i="5"/>
  <c r="M25" i="5"/>
  <c r="O25" i="5"/>
  <c r="Q67" i="2"/>
  <c r="P67" i="2"/>
  <c r="L55" i="5"/>
  <c r="M55" i="5"/>
  <c r="O55" i="5"/>
  <c r="M36" i="5"/>
  <c r="O36" i="5"/>
  <c r="L36" i="5"/>
  <c r="L61" i="5"/>
  <c r="M61" i="5"/>
  <c r="O61" i="5"/>
  <c r="P78" i="2"/>
  <c r="Q78" i="2"/>
  <c r="P79" i="2"/>
  <c r="Q79" i="2"/>
  <c r="L66" i="10"/>
  <c r="U66" i="10"/>
  <c r="T66" i="10"/>
  <c r="T65" i="10"/>
  <c r="U65" i="10"/>
  <c r="L65" i="10"/>
  <c r="Q75" i="2"/>
  <c r="P75" i="2"/>
  <c r="Q54" i="2"/>
  <c r="P54" i="2"/>
  <c r="Q64" i="2"/>
  <c r="P64" i="2"/>
  <c r="M9" i="5"/>
  <c r="I4" i="5"/>
  <c r="L9" i="5"/>
  <c r="R19" i="5"/>
  <c r="Q19" i="5"/>
  <c r="Q47" i="2"/>
  <c r="P47" i="2"/>
  <c r="M75" i="5"/>
  <c r="O75" i="5"/>
  <c r="L75" i="5"/>
  <c r="M54" i="5"/>
  <c r="O54" i="5"/>
  <c r="L54" i="5"/>
  <c r="L9" i="2"/>
  <c r="L4" i="2"/>
  <c r="J4" i="2"/>
  <c r="K9" i="2"/>
  <c r="N28" i="2"/>
  <c r="N35" i="2"/>
  <c r="U78" i="10"/>
  <c r="T78" i="10"/>
  <c r="L78" i="10"/>
  <c r="L79" i="10"/>
  <c r="T79" i="10"/>
  <c r="U79" i="10"/>
  <c r="M83" i="5"/>
  <c r="O83" i="5"/>
  <c r="L83" i="5"/>
  <c r="L75" i="10"/>
  <c r="U75" i="10"/>
  <c r="T75" i="10"/>
  <c r="R62" i="5"/>
  <c r="Q62" i="5"/>
  <c r="R71" i="5"/>
  <c r="Q71" i="5"/>
  <c r="R22" i="5"/>
  <c r="Q22" i="5"/>
  <c r="R74" i="5"/>
  <c r="Q74" i="5"/>
  <c r="R13" i="5"/>
  <c r="Q13" i="5"/>
  <c r="R72" i="5"/>
  <c r="Q72" i="5"/>
  <c r="R57" i="5"/>
  <c r="Q57" i="5"/>
  <c r="R10" i="5"/>
  <c r="Q10" i="5"/>
  <c r="W59" i="10"/>
  <c r="X59" i="10"/>
  <c r="N59" i="10"/>
  <c r="W76" i="10"/>
  <c r="X76" i="10"/>
  <c r="N76" i="10"/>
  <c r="Q21" i="2"/>
  <c r="P21" i="2"/>
  <c r="Q28" i="2"/>
  <c r="P28" i="2"/>
  <c r="R75" i="5"/>
  <c r="Q75" i="5"/>
  <c r="R55" i="5"/>
  <c r="Q55" i="5"/>
  <c r="R25" i="5"/>
  <c r="Q25" i="5"/>
  <c r="X55" i="10"/>
  <c r="N55" i="10"/>
  <c r="W55" i="10"/>
  <c r="R60" i="5"/>
  <c r="Q60" i="5"/>
  <c r="R82" i="5"/>
  <c r="Q82" i="5"/>
  <c r="Q83" i="5"/>
  <c r="R83" i="5"/>
  <c r="R61" i="5"/>
  <c r="Q61" i="5"/>
  <c r="L4" i="5"/>
  <c r="R78" i="5"/>
  <c r="Q78" i="5"/>
  <c r="Q40" i="5"/>
  <c r="R40" i="5"/>
  <c r="X56" i="10"/>
  <c r="N56" i="10"/>
  <c r="W56" i="10"/>
  <c r="T4" i="10"/>
  <c r="R48" i="5"/>
  <c r="Q48" i="5"/>
  <c r="R63" i="5"/>
  <c r="Q63" i="5"/>
  <c r="Q32" i="2"/>
  <c r="P32" i="2"/>
  <c r="X54" i="10"/>
  <c r="N54" i="10"/>
  <c r="W54" i="10"/>
  <c r="Q56" i="5"/>
  <c r="R56" i="5"/>
  <c r="Q80" i="5"/>
  <c r="R80" i="5"/>
  <c r="X78" i="10"/>
  <c r="W78" i="10"/>
  <c r="N78" i="10"/>
  <c r="N9" i="2"/>
  <c r="K4" i="2"/>
  <c r="X65" i="10"/>
  <c r="N65" i="10"/>
  <c r="W65" i="10"/>
  <c r="X61" i="10"/>
  <c r="W61" i="10"/>
  <c r="N61" i="10"/>
  <c r="R58" i="5"/>
  <c r="Q58" i="5"/>
  <c r="P12" i="2"/>
  <c r="Q12" i="2"/>
  <c r="U4" i="10"/>
  <c r="G12" i="7"/>
  <c r="H12" i="7"/>
  <c r="X80" i="10"/>
  <c r="N80" i="10"/>
  <c r="W80" i="10"/>
  <c r="Q26" i="5"/>
  <c r="R26" i="5"/>
  <c r="X64" i="10"/>
  <c r="W64" i="10"/>
  <c r="N64" i="10"/>
  <c r="Q53" i="5"/>
  <c r="R53" i="5"/>
  <c r="X75" i="10"/>
  <c r="N75" i="10"/>
  <c r="W75" i="10"/>
  <c r="R54" i="5"/>
  <c r="Q54" i="5"/>
  <c r="X79" i="10"/>
  <c r="N79" i="10"/>
  <c r="W79" i="10"/>
  <c r="P35" i="2"/>
  <c r="Q35" i="2"/>
  <c r="M4" i="5"/>
  <c r="O9" i="5"/>
  <c r="X66" i="10"/>
  <c r="W66" i="10"/>
  <c r="N66" i="10"/>
  <c r="Q36" i="5"/>
  <c r="R36" i="5"/>
  <c r="X63" i="10"/>
  <c r="W63" i="10"/>
  <c r="N63" i="10"/>
  <c r="Q22" i="2"/>
  <c r="P22" i="2"/>
  <c r="R35" i="5"/>
  <c r="Q35" i="5"/>
  <c r="X53" i="10"/>
  <c r="W53" i="10"/>
  <c r="N53" i="10"/>
  <c r="L4" i="10"/>
  <c r="X58" i="10"/>
  <c r="W58" i="10"/>
  <c r="N58" i="10"/>
  <c r="X83" i="10"/>
  <c r="W83" i="10"/>
  <c r="N83" i="10"/>
  <c r="Q9" i="5"/>
  <c r="Q4" i="5"/>
  <c r="R9" i="5"/>
  <c r="R4" i="5"/>
  <c r="O4" i="5"/>
  <c r="G14" i="7"/>
  <c r="H14" i="7"/>
  <c r="N4" i="10"/>
  <c r="W4" i="10"/>
  <c r="Q9" i="2"/>
  <c r="Q4" i="2"/>
  <c r="N4" i="2"/>
  <c r="G15" i="7"/>
  <c r="H15" i="7"/>
  <c r="P9" i="2"/>
  <c r="P4" i="2"/>
  <c r="X4" i="10"/>
  <c r="G13" i="7"/>
  <c r="H13" i="7"/>
</calcChain>
</file>

<file path=xl/comments1.xml><?xml version="1.0" encoding="utf-8"?>
<comments xmlns="http://schemas.openxmlformats.org/spreadsheetml/2006/main">
  <authors>
    <author>mikhailova</author>
  </authors>
  <commentList>
    <comment ref="B45" authorId="0" shapeId="0">
      <text>
        <r>
          <rPr>
            <b/>
            <sz val="8"/>
            <color indexed="81"/>
            <rFont val="Tahoma"/>
            <family val="2"/>
          </rPr>
          <t xml:space="preserve">Veuillez entrer le nombre d'unités administratives (nationale, régionale, district) du pays mettant en oeuvre la chimioprévention.  Ce chiffre permet de créer le nombre de lignes adéquates pour entrer les données. </t>
        </r>
      </text>
    </comment>
  </commentList>
</comments>
</file>

<file path=xl/comments2.xml><?xml version="1.0" encoding="utf-8"?>
<comments xmlns="http://schemas.openxmlformats.org/spreadsheetml/2006/main">
  <authors>
    <author>mikhailova</author>
    <author>MIKHAILOV, Alexei</author>
  </authors>
  <commentList>
    <comment ref="H6" authorId="0" shapeId="0">
      <text>
        <r>
          <rPr>
            <b/>
            <sz val="8"/>
            <color indexed="81"/>
            <rFont val="Tahoma"/>
            <family val="2"/>
          </rPr>
          <t>Veuillez entrer le niveau d'endémicité en utilisant les codes indiqués</t>
        </r>
      </text>
    </comment>
    <comment ref="P6" authorId="0" shapeId="0">
      <text>
        <r>
          <rPr>
            <b/>
            <sz val="8"/>
            <color indexed="81"/>
            <rFont val="Tahoma"/>
            <family val="2"/>
          </rPr>
          <t>Veuillez entrer le nombre de tournées CP prévues 
0 - aucune tournée prévue
1 - 1 tournée
2 - 2 tournées</t>
        </r>
      </text>
    </comment>
    <comment ref="T6" authorId="1" shapeId="0">
      <text>
        <r>
          <rPr>
            <b/>
            <sz val="8"/>
            <color indexed="81"/>
            <rFont val="Tahoma"/>
            <family val="2"/>
          </rPr>
          <t>Veuillez indiquer si des enquêtes épidémiologiques sont planifiées pendant l’année</t>
        </r>
      </text>
    </comment>
    <comment ref="H7" authorId="0" shapeId="0">
      <text>
        <r>
          <rPr>
            <b/>
            <sz val="8"/>
            <color indexed="81"/>
            <rFont val="Tahoma"/>
            <family val="2"/>
          </rPr>
          <t>0 - non-endémique
1 - endémique
4 - statut inconnu
99 - endémique, TMM interrompu</t>
        </r>
      </text>
    </comment>
    <comment ref="I7" authorId="0" shapeId="0">
      <text>
        <r>
          <rPr>
            <b/>
            <sz val="8"/>
            <color indexed="81"/>
            <rFont val="Tahoma"/>
            <family val="2"/>
          </rPr>
          <t>0 - non-endémique
1 - endémique
4 - statut inconnu
99 - endémique, TMM interrompu</t>
        </r>
      </text>
    </comment>
    <comment ref="J7" authorId="0" shapeId="0">
      <text>
        <r>
          <rPr>
            <b/>
            <sz val="8"/>
            <color indexed="81"/>
            <rFont val="Tahoma"/>
            <family val="2"/>
          </rPr>
          <t>0 - non-endémique
1 - prévalence faible (moins de 20%)
2 - prévalence modérée (20%-49%)
3 - prévalence forte (50% et plus)
4 - statut inconnu
5 - endémique, prévalence inconnue</t>
        </r>
      </text>
    </comment>
    <comment ref="K7" authorId="0" shapeId="0">
      <text>
        <r>
          <rPr>
            <b/>
            <sz val="8"/>
            <color indexed="81"/>
            <rFont val="Tahoma"/>
            <family val="2"/>
          </rPr>
          <t>0 - non-endémique
1 - prévalence faible (moins de 10%)
2 - prévalence modérée (10%-49%)
3 - prévalence forte (50% et plus)
4 - statut inconnu
5 - endémique, prévalence inconnue</t>
        </r>
      </text>
    </comment>
    <comment ref="M7" authorId="1" shapeId="0">
      <text>
        <r>
          <rPr>
            <b/>
            <sz val="8"/>
            <color indexed="81"/>
            <rFont val="Tahoma"/>
            <family val="2"/>
          </rPr>
          <t>Par défaut, le nombre de personnes nécessitant une chimiothérapie préventive pour ONCHO correspond au nombre d’habitants du district. Ces cellules sont modifiables. Si la distribution de l’ONCHO est focale dans le district, indiquez le nombre de personnes vivant dans ces foyers.</t>
        </r>
      </text>
    </comment>
  </commentList>
</comments>
</file>

<file path=xl/comments3.xml><?xml version="1.0" encoding="utf-8"?>
<comments xmlns="http://schemas.openxmlformats.org/spreadsheetml/2006/main">
  <authors>
    <author>mikhailova</author>
  </authors>
  <commentList>
    <comment ref="K7" authorId="0" shapeId="0">
      <text>
        <r>
          <rPr>
            <b/>
            <sz val="8"/>
            <color indexed="81"/>
            <rFont val="Tahoma"/>
            <family val="2"/>
          </rPr>
          <t>Cet indicateur est utilisé uniquement si l'information est disponible au niveau province/département ou du district</t>
        </r>
      </text>
    </comment>
    <comment ref="M7" authorId="0" shapeId="0">
      <text>
        <r>
          <rPr>
            <b/>
            <sz val="8"/>
            <color indexed="81"/>
            <rFont val="Tahoma"/>
            <family val="2"/>
          </rPr>
          <t>Cette valeur est calculée en fonction du nombre de comprimés requis</t>
        </r>
      </text>
    </comment>
  </commentList>
</comments>
</file>

<file path=xl/comments4.xml><?xml version="1.0" encoding="utf-8"?>
<comments xmlns="http://schemas.openxmlformats.org/spreadsheetml/2006/main">
  <authors>
    <author>mikhailova</author>
  </authors>
  <commentList>
    <comment ref="S7" authorId="0" shapeId="0">
      <text>
        <r>
          <rPr>
            <b/>
            <sz val="8"/>
            <color indexed="81"/>
            <rFont val="Tahoma"/>
            <family val="2"/>
          </rPr>
          <t>Cet indicateur est utilisé uniquement si l'information est disponible au niveau province/département ou du district</t>
        </r>
      </text>
    </comment>
    <comment ref="U7" authorId="0" shapeId="0">
      <text>
        <r>
          <rPr>
            <b/>
            <sz val="8"/>
            <color indexed="81"/>
            <rFont val="Tahoma"/>
            <family val="2"/>
          </rPr>
          <t>Cette valeur est calculée en fonction du nombre de comprimés requis</t>
        </r>
      </text>
    </comment>
    <comment ref="V7" authorId="0" shapeId="0">
      <text>
        <r>
          <rPr>
            <b/>
            <sz val="8"/>
            <color indexed="81"/>
            <rFont val="Tahoma"/>
            <family val="2"/>
          </rPr>
          <t>Cet indicateur est utilisé uniquement si l'information est disponible au niveau province/département ou du district</t>
        </r>
      </text>
    </comment>
    <comment ref="X7" authorId="0" shapeId="0">
      <text>
        <r>
          <rPr>
            <b/>
            <sz val="8"/>
            <color indexed="81"/>
            <rFont val="Tahoma"/>
            <family val="2"/>
          </rPr>
          <t>Cette valeur est calculée en fonction du nombre de comprimés requis</t>
        </r>
      </text>
    </comment>
    <comment ref="Y7" authorId="0" shapeId="0">
      <text>
        <r>
          <rPr>
            <b/>
            <sz val="8"/>
            <color indexed="81"/>
            <rFont val="Tahoma"/>
            <family val="2"/>
          </rPr>
          <t>Cet indicateur est utilisé uniquement si l'information est disponible au niveau province/département ou du district</t>
        </r>
      </text>
    </comment>
    <comment ref="AA7" authorId="0" shapeId="0">
      <text>
        <r>
          <rPr>
            <b/>
            <sz val="8"/>
            <color indexed="81"/>
            <rFont val="Tahoma"/>
            <family val="2"/>
          </rPr>
          <t>Cette valeur est calculée en fonction du nombre de comprimés requis</t>
        </r>
      </text>
    </comment>
    <comment ref="K8" authorId="0" shapeId="0">
      <text>
        <r>
          <rPr>
            <b/>
            <sz val="8"/>
            <color indexed="81"/>
            <rFont val="Tahoma"/>
            <family val="2"/>
          </rPr>
          <t>Les enfants de 1 à 4 ans n'entrent pas dans la catégorie bénéficiant de la donation d'ALB</t>
        </r>
      </text>
    </comment>
    <comment ref="O8" authorId="0" shapeId="0">
      <text>
        <r>
          <rPr>
            <b/>
            <sz val="8"/>
            <color indexed="81"/>
            <rFont val="Tahoma"/>
            <family val="2"/>
          </rPr>
          <t>Les enfants de 1 à 4 ans n'entrent pas dans la catégorie bénéficiant de la donation de MBD</t>
        </r>
      </text>
    </comment>
  </commentList>
</comments>
</file>

<file path=xl/comments5.xml><?xml version="1.0" encoding="utf-8"?>
<comments xmlns="http://schemas.openxmlformats.org/spreadsheetml/2006/main">
  <authors>
    <author>mikhailova</author>
  </authors>
  <commentList>
    <comment ref="H7" authorId="0" shapeId="0">
      <text>
        <r>
          <rPr>
            <b/>
            <sz val="8"/>
            <color indexed="81"/>
            <rFont val="Tahoma"/>
            <family val="2"/>
          </rPr>
          <t xml:space="preserve">Veuillez entrer la population ciblée de la catégorie enfants d'âge scolaire (5-14 ans) si vous prévoyez une mise en oeuvre à un niveau inférieur que celui du district
</t>
        </r>
      </text>
    </comment>
    <comment ref="J7" authorId="0" shapeId="0">
      <text>
        <r>
          <rPr>
            <b/>
            <sz val="8"/>
            <color indexed="81"/>
            <rFont val="Tahoma"/>
            <family val="2"/>
          </rPr>
          <t xml:space="preserve">Veuillez entrer la population ciblée de la catégorie enfants d'âge scolaire (5-14 ans) si vous prévoyez une mise en oeuvre à un niveau inférieur que celui du district
</t>
        </r>
      </text>
    </comment>
    <comment ref="K7" authorId="0" shapeId="0">
      <text>
        <r>
          <rPr>
            <b/>
            <sz val="8"/>
            <color indexed="81"/>
            <rFont val="Tahoma"/>
            <family val="2"/>
          </rPr>
          <t>Les adultes n'entrent pas dans la catégorie bénéficiant de la donation de PZQ</t>
        </r>
      </text>
    </comment>
    <comment ref="N7" authorId="0" shapeId="0">
      <text>
        <r>
          <rPr>
            <b/>
            <sz val="8"/>
            <color indexed="81"/>
            <rFont val="Tahoma"/>
            <family val="2"/>
          </rPr>
          <t>Les adultes n'entrent pas dans la catégorie bénéficiant de la donation de PZQ</t>
        </r>
      </text>
    </comment>
    <comment ref="P7" authorId="0" shapeId="0">
      <text>
        <r>
          <rPr>
            <b/>
            <sz val="8"/>
            <color indexed="81"/>
            <rFont val="Tahoma"/>
            <family val="2"/>
          </rPr>
          <t>Cet indicateur est utilisé uniquement si l'information est disponible au niveau province/département ou du district</t>
        </r>
      </text>
    </comment>
    <comment ref="R7" authorId="0" shapeId="0">
      <text>
        <r>
          <rPr>
            <b/>
            <sz val="8"/>
            <color indexed="81"/>
            <rFont val="Tahoma"/>
            <family val="2"/>
          </rPr>
          <t>Cette valeur est calculée en fonction du nombre de comprimés requis</t>
        </r>
      </text>
    </comment>
  </commentList>
</comments>
</file>

<file path=xl/comments6.xml><?xml version="1.0" encoding="utf-8"?>
<comments xmlns="http://schemas.openxmlformats.org/spreadsheetml/2006/main">
  <authors>
    <author>mikhailova</author>
  </authors>
  <commentList>
    <comment ref="O7" authorId="0" shapeId="0">
      <text>
        <r>
          <rPr>
            <b/>
            <sz val="8"/>
            <color indexed="81"/>
            <rFont val="Tahoma"/>
            <family val="2"/>
          </rPr>
          <t>Cet indicateur est utilisé uniquement si l'information est disponible au niveau province/département ou du district</t>
        </r>
      </text>
    </comment>
    <comment ref="Q7" authorId="0" shapeId="0">
      <text>
        <r>
          <rPr>
            <b/>
            <sz val="8"/>
            <color indexed="81"/>
            <rFont val="Tahoma"/>
            <family val="2"/>
          </rPr>
          <t>Cette valeur est calculée en fonction du nombre de comprimés requis</t>
        </r>
      </text>
    </comment>
    <comment ref="I8" authorId="0" shapeId="0">
      <text>
        <r>
          <rPr>
            <b/>
            <sz val="8"/>
            <color indexed="81"/>
            <rFont val="Tahoma"/>
            <family val="2"/>
          </rPr>
          <t>Si vous mettez un traitement en oeuvre à un niveau inférieur de celui du district (village ou communauté) merci de bien vouloir entrer la population ciblée au sein du district. En ce qui concerne les comprimés d’invermectin, il est à noter qu’il faut indiquer seulement la population ciblée.</t>
        </r>
      </text>
    </comment>
  </commentList>
</comments>
</file>

<file path=xl/comments7.xml><?xml version="1.0" encoding="utf-8"?>
<comments xmlns="http://schemas.openxmlformats.org/spreadsheetml/2006/main">
  <authors>
    <author>MIKHAILOV, Alexei</author>
  </authors>
  <commentList>
    <comment ref="B10" authorId="0" shapeId="0">
      <text>
        <r>
          <rPr>
            <b/>
            <sz val="8"/>
            <color indexed="81"/>
            <rFont val="Tahoma"/>
            <family val="2"/>
          </rPr>
          <t>Veuillez sélectionner 
le médicament</t>
        </r>
      </text>
    </comment>
    <comment ref="B31" authorId="0" shapeId="0">
      <text>
        <r>
          <rPr>
            <b/>
            <sz val="8"/>
            <color indexed="81"/>
            <rFont val="Tahoma"/>
            <family val="2"/>
          </rPr>
          <t>Veuillez sélectionner le médicament</t>
        </r>
      </text>
    </comment>
    <comment ref="G31" authorId="0" shapeId="0">
      <text>
        <r>
          <rPr>
            <b/>
            <sz val="8"/>
            <color indexed="81"/>
            <rFont val="Tahoma"/>
            <family val="2"/>
          </rPr>
          <t>Veuillez sélectionner une date (mois et année) lorsque les médicaments de chimiothérapie preventive  doivent arriver à l’entrepôt national</t>
        </r>
      </text>
    </comment>
    <comment ref="B41" authorId="0" shapeId="0">
      <text>
        <r>
          <rPr>
            <b/>
            <sz val="8"/>
            <color indexed="81"/>
            <rFont val="Tahoma"/>
            <family val="2"/>
          </rPr>
          <t>Veuillez sélectionner le médicament</t>
        </r>
      </text>
    </comment>
  </commentList>
</comments>
</file>

<file path=xl/comments8.xml><?xml version="1.0" encoding="utf-8"?>
<comments xmlns="http://schemas.openxmlformats.org/spreadsheetml/2006/main">
  <authors>
    <author>MIKHAILOV, Alexei</author>
  </authors>
  <commentList>
    <comment ref="B8" authorId="0" shapeId="0">
      <text>
        <r>
          <rPr>
            <b/>
            <sz val="8"/>
            <color indexed="81"/>
            <rFont val="Tahoma"/>
            <family val="2"/>
          </rPr>
          <t>Veuillez sélectionner le médicament</t>
        </r>
      </text>
    </comment>
    <comment ref="B17" authorId="0" shapeId="0">
      <text>
        <r>
          <rPr>
            <b/>
            <sz val="8"/>
            <color indexed="81"/>
            <rFont val="Tahoma"/>
            <family val="2"/>
          </rPr>
          <t>Veuillez sélectionner le médicament</t>
        </r>
      </text>
    </comment>
    <comment ref="B26" authorId="0" shapeId="0">
      <text>
        <r>
          <rPr>
            <b/>
            <sz val="8"/>
            <color indexed="81"/>
            <rFont val="Tahoma"/>
            <family val="2"/>
          </rPr>
          <t>Veuillez sélectionner le médicament</t>
        </r>
      </text>
    </comment>
  </commentList>
</comments>
</file>

<file path=xl/sharedStrings.xml><?xml version="1.0" encoding="utf-8"?>
<sst xmlns="http://schemas.openxmlformats.org/spreadsheetml/2006/main" count="755" uniqueCount="295">
  <si>
    <t>District</t>
  </si>
  <si>
    <t>Population</t>
  </si>
  <si>
    <t>Total</t>
  </si>
  <si>
    <t>Oncho</t>
  </si>
  <si>
    <t>STH</t>
  </si>
  <si>
    <t>SCH</t>
  </si>
  <si>
    <t>total</t>
  </si>
  <si>
    <t>TOTAL</t>
  </si>
  <si>
    <t>Email</t>
  </si>
  <si>
    <t>Praziquantel (PZQ)</t>
  </si>
  <si>
    <t>STH (ALB)</t>
  </si>
  <si>
    <t>STH (MBD)</t>
  </si>
  <si>
    <t>COUNTRY_INFO</t>
  </si>
  <si>
    <t>SUMMARY</t>
  </si>
  <si>
    <t>Submission</t>
  </si>
  <si>
    <t>INTRO</t>
  </si>
  <si>
    <t>Date</t>
  </si>
  <si>
    <t>Albendazole (ALB)</t>
  </si>
  <si>
    <t>Mebendazole (MBD)</t>
  </si>
  <si>
    <t>Date:</t>
  </si>
  <si>
    <t>E-mail</t>
  </si>
  <si>
    <t>Fax</t>
  </si>
  <si>
    <r>
      <t xml:space="preserve">Dr Yao Sodahlon, email: </t>
    </r>
    <r>
      <rPr>
        <b/>
        <sz val="10"/>
        <color indexed="56"/>
        <rFont val="Arial"/>
        <family val="2"/>
      </rPr>
      <t>ysodahlon@taskforce.org</t>
    </r>
  </si>
  <si>
    <r>
      <rPr>
        <b/>
        <sz val="10"/>
        <color indexed="56"/>
        <rFont val="Arial"/>
        <family val="2"/>
      </rPr>
      <t>PC_JointForms@who.int</t>
    </r>
  </si>
  <si>
    <t>Formulaire de demande commune de médicaments pour CP</t>
  </si>
  <si>
    <t>Structure de l'application (feuilles de travail) :</t>
  </si>
  <si>
    <t>Cette feuille contient des instructions pour compléter le formulaire de demande de médicaments pour la chimioprévention et des informations sur le statut de la chimioprévention pour les maladies d'endémie du pays.</t>
  </si>
  <si>
    <t>Cette feuille contient des informations sur la structure administrative du pays, la population par groupe d'âge, le statut d'endémicité pour chaque maladie, la population devant être traitée par chimioprévention et les interventions prévues.</t>
  </si>
  <si>
    <t>Ces feuilles contiennent des informations sur l'endémicité des districts ciblés pour le traitement aux médicaments spécifiques à la chimioprévention, les plans de traitement, et le nombre de comprimés requis et demandés.</t>
  </si>
  <si>
    <t>Instructions pour la saisie des données</t>
  </si>
  <si>
    <t>La plupart des cellules des feuilles de travail mentionnées ci-dessus contiennent des formules calculées automatiquement en fonction du protocole de traitement recommandé par l'OMS pour chaque maladie.
Voir : http://www.who.int/neglected_diseases/preventive_chemotherapy/pct_manual/en/index.html</t>
  </si>
  <si>
    <t>Veuillez entrer vos données dans les cellules en fonction de leur code de couleur :</t>
  </si>
  <si>
    <r>
      <t xml:space="preserve">Jaune - la cellule est protégée et inclut le nom de l'indicateur. </t>
    </r>
    <r>
      <rPr>
        <b/>
        <sz val="10"/>
        <rFont val="Arial"/>
        <family val="2"/>
      </rPr>
      <t>Aucune entrée de données requise</t>
    </r>
    <r>
      <rPr>
        <sz val="10"/>
        <rFont val="Arial"/>
      </rPr>
      <t>.</t>
    </r>
  </si>
  <si>
    <t>Blanc - la cellule n'est pas protégée. Veuillez entrer la valeur de l'indicateur demandé.</t>
  </si>
  <si>
    <t xml:space="preserve">Orange - la cellule n'est pas protégée et contient un menu déroulant. Veuillez sélectionner la valeur dans le menu déroulant. </t>
  </si>
  <si>
    <t xml:space="preserve">Vert - la cellule n'est pas protégée et contient des formules. Veuillez changer la valeur indiquée uniquement si vos données sont différentes de celles calculées automatiquement.  </t>
  </si>
  <si>
    <r>
      <t xml:space="preserve">Bleu - la cellule est protégée et contient des formules. </t>
    </r>
    <r>
      <rPr>
        <b/>
        <sz val="10"/>
        <rFont val="Arial"/>
        <family val="2"/>
      </rPr>
      <t>Aucune entrée de données requise</t>
    </r>
    <r>
      <rPr>
        <sz val="10"/>
        <rFont val="Arial"/>
      </rPr>
      <t xml:space="preserve">. </t>
    </r>
  </si>
  <si>
    <t>Données pays</t>
  </si>
  <si>
    <t>PAYS</t>
  </si>
  <si>
    <t>Année de la demande de médicaments</t>
  </si>
  <si>
    <r>
      <t xml:space="preserve">Le pays est-il endémique à la </t>
    </r>
    <r>
      <rPr>
        <b/>
        <sz val="10"/>
        <rFont val="Arial"/>
        <family val="2"/>
      </rPr>
      <t>filariose lymphatique (FL)</t>
    </r>
    <r>
      <rPr>
        <sz val="10"/>
        <rFont val="Arial"/>
        <family val="2"/>
      </rPr>
      <t xml:space="preserve"> ?</t>
    </r>
  </si>
  <si>
    <r>
      <t xml:space="preserve">Le pays est-il endémique à </t>
    </r>
    <r>
      <rPr>
        <b/>
        <sz val="10"/>
        <rFont val="Arial"/>
        <family val="2"/>
      </rPr>
      <t>l'onchocercose (ONCHO)</t>
    </r>
    <r>
      <rPr>
        <sz val="10"/>
        <rFont val="Arial"/>
        <family val="2"/>
      </rPr>
      <t xml:space="preserve"> ? </t>
    </r>
  </si>
  <si>
    <r>
      <t xml:space="preserve">Le pays est-il endémique aux </t>
    </r>
    <r>
      <rPr>
        <b/>
        <sz val="10"/>
        <rFont val="Arial"/>
        <family val="2"/>
      </rPr>
      <t>géohelminthiases (STH)</t>
    </r>
    <r>
      <rPr>
        <sz val="10"/>
        <rFont val="Arial"/>
        <family val="2"/>
      </rPr>
      <t xml:space="preserve"> ?</t>
    </r>
  </si>
  <si>
    <r>
      <t xml:space="preserve">Le pays est-il endémique à la </t>
    </r>
    <r>
      <rPr>
        <b/>
        <sz val="10"/>
        <rFont val="Arial"/>
        <family val="2"/>
      </rPr>
      <t>schistosomiase (SCH)</t>
    </r>
    <r>
      <rPr>
        <sz val="10"/>
        <rFont val="Arial"/>
        <family val="2"/>
      </rPr>
      <t xml:space="preserve"> ?</t>
    </r>
  </si>
  <si>
    <t>Combien d'unités administratives compte le pays ?</t>
  </si>
  <si>
    <t>Adultes : 15 ans et plus</t>
  </si>
  <si>
    <t>Si les données démographiques par groupe d'âge ne sont pas disponibles au second niveau administratif, veuillez entrer la proportion (%) de population, par groupe d'âge, du pays. Si les données sont disponibles, veuillez laisser les cellules vierges.</t>
  </si>
  <si>
    <r>
      <rPr>
        <b/>
        <sz val="10"/>
        <rFont val="Arial"/>
        <family val="2"/>
      </rPr>
      <t>Dans le cadre des efforts mondiaux entrepris pour accélérer l'expansion de la chimioprévention (CP) pour l'élimination de la filariose lymphatique et la lutte contre la schistosomiase et les géohelminthiases, l'Organisation mondiale de la Santé (OMS)</t>
    </r>
    <r>
      <rPr>
        <sz val="10"/>
        <rFont val="Arial"/>
        <family val="2"/>
      </rPr>
      <t xml:space="preserve"> facilite l'approvisionnement en </t>
    </r>
    <r>
      <rPr>
        <b/>
        <sz val="10"/>
        <rFont val="Arial"/>
        <family val="2"/>
      </rPr>
      <t>albendazole</t>
    </r>
    <r>
      <rPr>
        <sz val="10"/>
        <rFont val="Arial"/>
        <family val="2"/>
      </rPr>
      <t xml:space="preserve">, comprimés de 400 mg (GSK), pour les programmes nationaux d'élimination de la filariose lymphatique et programmes nationaux de lutte contre les géohelminthiases; en </t>
    </r>
    <r>
      <rPr>
        <b/>
        <sz val="10"/>
        <rFont val="Arial"/>
        <family val="2"/>
      </rPr>
      <t>diethylcarbamazine</t>
    </r>
    <r>
      <rPr>
        <sz val="10"/>
        <rFont val="Arial"/>
        <family val="2"/>
      </rPr>
      <t xml:space="preserve">, comprimés de 100 mg (Eisai), pour les programmes nationaux d'élimination de la filariose lymphatique; en </t>
    </r>
    <r>
      <rPr>
        <b/>
        <sz val="10"/>
        <rFont val="Arial"/>
        <family val="2"/>
      </rPr>
      <t>mebendazole</t>
    </r>
    <r>
      <rPr>
        <sz val="10"/>
        <rFont val="Arial"/>
        <family val="2"/>
      </rPr>
      <t>, comprimés de 500 mg (J&amp;J) pour les programmes nationaux de lutte contre les géohelminthiases et en</t>
    </r>
    <r>
      <rPr>
        <b/>
        <sz val="10"/>
        <rFont val="Arial"/>
        <family val="2"/>
      </rPr>
      <t xml:space="preserve"> praziquantel</t>
    </r>
    <r>
      <rPr>
        <sz val="10"/>
        <rFont val="Arial"/>
        <family val="2"/>
      </rPr>
      <t xml:space="preserve">, comprimés de 600 mg (Merck KGaA), destinés aux enfants d'âge scolaire, pour les programmes nationaux de lutte contre la schistosomiase. L'OMS contribue également à l'approvisionnement en </t>
    </r>
    <r>
      <rPr>
        <b/>
        <sz val="10"/>
        <rFont val="Arial"/>
        <family val="2"/>
      </rPr>
      <t>ivermectine,</t>
    </r>
    <r>
      <rPr>
        <sz val="10"/>
        <rFont val="Arial"/>
        <family val="2"/>
      </rPr>
      <t xml:space="preserve"> comprimés de 3 mg (Merck), pour les programmes de donation pour l'onchocercose et la filariose lymphatique. 
Cet outil Excel est concu pour aider les pays à quantifier le nombre de comprimés nécessaires, selon le traitement de chimioprévention requis, pour atteindre les objectifs de couverture de traitement de populations et districts pour l'année de la demande de médicaments. Le résultat de cet outil est une demande commune de médicaments pour la chimioprévention des maladies tropicales négligées, qui peut être imprimée, signée et soumise à l'OMS pour la demande de ces médicaments. </t>
    </r>
  </si>
  <si>
    <r>
      <t xml:space="preserve">Cette feuille inclut un résumé du nombre de comprimés demandés, des informations concernant le stock et les dates de soumission de la demande de médicaments. Avant de générer le rapport (run macros), veuillez sélectionner le médicament pour lequel le rapport est nécessaire. Veuillez suivre la même règle pour voir le nombre de personnes à traiter pour les maladies spécifiques. 
</t>
    </r>
    <r>
      <rPr>
        <b/>
        <sz val="10"/>
        <rFont val="Arial"/>
        <family val="2"/>
      </rPr>
      <t>Cette feuille doit être imprimée et soumise en tant que "Formulaire de demande commune de médicaments pour chimioprévention" (voir les instructions pour la soumission du formulaire sous la feuille SUMMARY).</t>
    </r>
  </si>
  <si>
    <t>INFORMATIONS PAYS</t>
  </si>
  <si>
    <t>Struture administrative, population par groupe d'âge, statut d'endémicité et interventions planifiées</t>
  </si>
  <si>
    <t>Structure administrative du pays</t>
  </si>
  <si>
    <t>Enfants d'âge scolaire (EAS) : 5-14 ans</t>
  </si>
  <si>
    <t>Enfants d'âge pré-scolaire (EAPréS) : 1-4 ans</t>
  </si>
  <si>
    <t>Pays</t>
  </si>
  <si>
    <t>Région/Département</t>
  </si>
  <si>
    <t>Adultes</t>
  </si>
  <si>
    <t>EAPréS</t>
  </si>
  <si>
    <t>EAS</t>
  </si>
  <si>
    <t>FL</t>
  </si>
  <si>
    <t>Endémicité</t>
  </si>
  <si>
    <t>Population nécessitant la CP</t>
  </si>
  <si>
    <t>Nombre de tournées de traitement prévues pour l'année</t>
  </si>
  <si>
    <t>Diethylcarbamazine (DEC)</t>
  </si>
  <si>
    <t>Structure administrative, population ciblée par groupe d'âge, plan de traitement et information sur les comprimés</t>
  </si>
  <si>
    <t>Plan de traitement</t>
  </si>
  <si>
    <t>Population cible</t>
  </si>
  <si>
    <t>Total requis</t>
  </si>
  <si>
    <t>Reste en stock</t>
  </si>
  <si>
    <t>Flacons (100mg)
1000 comprimés</t>
  </si>
  <si>
    <t>Population couverte par le PEFL avec ALB</t>
  </si>
  <si>
    <t>Médicament choisi pour le traitement des STH</t>
  </si>
  <si>
    <t>Autres</t>
  </si>
  <si>
    <t>Reste en stock (FL)</t>
  </si>
  <si>
    <t>Reste en stock (STH)</t>
  </si>
  <si>
    <t>Albendazole (ALB) et Mebendazole (MBD)</t>
  </si>
  <si>
    <t>Flacons (400mg)
200 comprimés (FL)</t>
  </si>
  <si>
    <t>Flacons (400mg)
200 comprimés (STH)</t>
  </si>
  <si>
    <t>Flacons (500mg)
150 comprimés</t>
  </si>
  <si>
    <t>Tous EAS ciblés ?</t>
  </si>
  <si>
    <t>EAS à un niveau inférieur</t>
  </si>
  <si>
    <t>Total requis
pour EAS</t>
  </si>
  <si>
    <t>Comprimés devant être fournis</t>
  </si>
  <si>
    <t>Comprimés devant être fournis (FL)</t>
  </si>
  <si>
    <t>Comprimés devant être fournis pour EAS (STH)</t>
  </si>
  <si>
    <t>Comprimés devant être fournis pour EAS</t>
  </si>
  <si>
    <t>Flacons (600mg)
1000 comprimés</t>
  </si>
  <si>
    <t>Ivermectine (IVM)</t>
  </si>
  <si>
    <t>Population nécessitant un traitement avec PZQ</t>
  </si>
  <si>
    <t>Population nécessitant un traitement avec ALB/MBD</t>
  </si>
  <si>
    <t>Population nécessitant un traitement avec DEC</t>
  </si>
  <si>
    <t>Population nécessitant un traitement avec IVM</t>
  </si>
  <si>
    <t>FL uniquement</t>
  </si>
  <si>
    <t>Oncho uniquement</t>
  </si>
  <si>
    <t>FL+Oncho</t>
  </si>
  <si>
    <t>Flacons (3mg)
500 comprimés</t>
  </si>
  <si>
    <t>Année</t>
  </si>
  <si>
    <t>Nombre de comprimés</t>
  </si>
  <si>
    <t>Nombre total de flacons</t>
  </si>
  <si>
    <t>Requis</t>
  </si>
  <si>
    <t>En stock</t>
  </si>
  <si>
    <t>Demandés</t>
  </si>
  <si>
    <t>En cours de demande</t>
  </si>
  <si>
    <t>Nombre de personnes devant être traitées avec le médicament donné</t>
  </si>
  <si>
    <t>Veuillez sélectionner la maladie</t>
  </si>
  <si>
    <t>1er tour</t>
  </si>
  <si>
    <t>2ème tour</t>
  </si>
  <si>
    <t>Ces chiffres sont estimés uniquement pour les goupes d'âge ciblés pour le traitement avec les médicaments donnés, dans les régions où le traitement de maladies spécifiques est requis</t>
  </si>
  <si>
    <t xml:space="preserve">Titre/fonction </t>
  </si>
  <si>
    <t>Nom</t>
  </si>
  <si>
    <t>Téléphone</t>
  </si>
  <si>
    <t>Le Coordonnateur national MTN doit compiler toutes les informations nécessaires pour compléter le formulaire de demande.  En l'absence d'un coordonnateur, les gestionnaires de programmes spécifiques devraient coordonner leurs sections respectives. Une fois finalisée, chaque demande individuelle doit être approuvée par le Ministère de la Santé.</t>
  </si>
  <si>
    <t>Nom et signature du Coordonnateur MTN ou de la personne représentant les gestionnaires de maladies spécifiques</t>
  </si>
  <si>
    <t>Récapitulatif - Checklist</t>
  </si>
  <si>
    <t>Que faut-il soumettre ?</t>
  </si>
  <si>
    <t>Formulaire de demande commune de médicaments pour chimioprévention</t>
  </si>
  <si>
    <t>Formulaire de rapport commun</t>
  </si>
  <si>
    <t>Ressources financières garanties pour la mise en oeuvre dans l'année pour laquelle les médicaments ont été demandés</t>
  </si>
  <si>
    <t>Département/Unité</t>
  </si>
  <si>
    <t>Organisation</t>
  </si>
  <si>
    <t>Adresse postale</t>
  </si>
  <si>
    <t>Destinataire</t>
  </si>
  <si>
    <r>
      <t xml:space="preserve">Si vous avez plus d'un destinataire final pour les médicaments de chimioprévention demandés, veuillez compléter les informations de la rubrique "Informations concernant l'envoi et le destinataire" dans la feuille de travail </t>
    </r>
    <r>
      <rPr>
        <b/>
        <sz val="10"/>
        <rFont val="Arial"/>
        <family val="2"/>
      </rPr>
      <t>SHIPMENT</t>
    </r>
    <r>
      <rPr>
        <sz val="10"/>
        <rFont val="Arial"/>
        <family val="2"/>
      </rPr>
      <t>.</t>
    </r>
  </si>
  <si>
    <t xml:space="preserve">Siège de l'OMS </t>
  </si>
  <si>
    <t>Bureau régional de l'OMS</t>
  </si>
  <si>
    <t>Mectizan donation programme</t>
  </si>
  <si>
    <t>Conseiller régional MTN</t>
  </si>
  <si>
    <t xml:space="preserve">Informations sur les interventions CP planifiées </t>
  </si>
  <si>
    <t>Veuillez sélectionner une date (mois et année) pour la 1ère tournée de CP</t>
  </si>
  <si>
    <t>Veuillez sélectionner une date (mois et année) pour la 2ème tournée de CP</t>
  </si>
  <si>
    <t xml:space="preserve">Informations sur l'envoi et le destinataire </t>
  </si>
  <si>
    <r>
      <t xml:space="preserve">Destinataire final
</t>
    </r>
    <r>
      <rPr>
        <sz val="10"/>
        <rFont val="Arial"/>
        <family val="2"/>
      </rPr>
      <t>si différent du destinaire précédent</t>
    </r>
  </si>
  <si>
    <t>Informations supplémentaires</t>
  </si>
  <si>
    <t>DEC, ALB_MBD, PZQ et IVM</t>
  </si>
  <si>
    <t>dans le district</t>
  </si>
  <si>
    <t>dans les village</t>
  </si>
  <si>
    <t>Le médicament</t>
  </si>
  <si>
    <r>
      <t>L'approvisionnement des médicaments demandés doit être basé sur des données épidémiologiques à jour, des plans d'utilisation des médicaments spécifiques et sur la capacité de mise en oeuvre.</t>
    </r>
    <r>
      <rPr>
        <sz val="10"/>
        <rFont val="Arial"/>
        <family val="2"/>
      </rPr>
      <t xml:space="preserve"> La liste suivante permet d'assurer que tous les formulaires et toutes les informations sont fournis à l'OMS (en format électronique).</t>
    </r>
  </si>
  <si>
    <t>Déclaration des données épidémiologiques pour la CP</t>
  </si>
  <si>
    <t>Qui doit remplir le formulaire ?</t>
  </si>
  <si>
    <t>Informations concernant la (les) personne(s) ayant rempli le formulaire</t>
  </si>
  <si>
    <t xml:space="preserve">Veuillez noter que votre demande sera examinée par un panel d'experts indépendants (Comité ad hoc d’évaluation conjointe). Les informations contenues dans ce formulaire, le rapport commun d'activités (ou rapport national d'activités) et le plan d'action annuel sont essentiels à l'OMS pour assurer un usage optimal des médicaments. Dans le cadre de ses activités courantes de suivi et d'évaluation, et afin d'honorer ses obligations contractuelles envers les bailleurs de fonds  et autres partenaires, l'OMS et ses agents affiliés se réservent le droit d'inspecter, périodiquement, les stocks de médicaments au niveau national. </t>
  </si>
  <si>
    <t>Enquêtes épidémiologiques planifiées pour l’année</t>
  </si>
  <si>
    <t>Informations concernant les médicaments CP demandés à l’OMS</t>
  </si>
  <si>
    <r>
      <t xml:space="preserve">Date à laquelle les médicaments </t>
    </r>
    <r>
      <rPr>
        <b/>
        <sz val="10"/>
        <rFont val="Arial"/>
        <family val="2"/>
      </rPr>
      <t>devraient atteindre</t>
    </r>
    <r>
      <rPr>
        <sz val="10"/>
        <rFont val="Arial"/>
        <family val="2"/>
      </rPr>
      <t xml:space="preserve"> l’entrepôt national</t>
    </r>
  </si>
  <si>
    <t>Informations sur les médicaments de chimiothérapie préventive pour le traitement de populations non ciblées par la donation en cours via l’OMS</t>
  </si>
  <si>
    <t>Groupe d'âge</t>
  </si>
  <si>
    <t># de personnes</t>
  </si>
  <si>
    <t># de comprimés</t>
  </si>
  <si>
    <t>Source</t>
  </si>
  <si>
    <t>Statut</t>
  </si>
  <si>
    <t>Disponibilité de fonds pour la mise en oeuvre</t>
  </si>
  <si>
    <r>
      <t xml:space="preserve">L’OMS recommende que </t>
    </r>
    <r>
      <rPr>
        <b/>
        <sz val="10"/>
        <rFont val="Arial"/>
        <family val="2"/>
      </rPr>
      <t>tous les effets secondaires graves</t>
    </r>
    <r>
      <rPr>
        <sz val="10"/>
        <rFont val="Arial"/>
        <family val="2"/>
      </rPr>
      <t xml:space="preserve"> suspectés d’être associés à l’ingestion de médicaments de CP soient rapportés en suivant les lignes directrices nationales de pharmacovigilance.  En l’absence d’un système de pharmacovigilance national, contactez le département de Contrôle des Maladies Tropicales Négligées pour être conseillé.</t>
    </r>
  </si>
  <si>
    <t>L’OMS s’est engagée à rendre possible la donation de médicaments en fournissant gratuitement: a) albendazole, mebendazole et praziquantel à l’entrepôt national du Ministère de la Santé et b) diethylcarbamazine au port d’entrée du pays receveur.</t>
  </si>
  <si>
    <t>L’institution soumettant la présente requête est responsable de: a) l’organisation du déchargement des médicaments du camion, du stockage dans l’entrepôt national et de l’expédition vers les centres où aura lieu la distribution finale; b) de l’enregistrement, si nécessaire, des médicaments donnés, auprès des autorités nationales en charge; et de c) de l’information de n’importe quels changements ayant trait à leurs campagnes de traitement (par exemple le report d’une date planifiée de distribution en masse de médicaments, le remplacement d’un coordonateur MTN, etc.).</t>
  </si>
  <si>
    <t>Veuillez envoyer le rapport national (signé et sous format électronique) au représentant de I'OMS du pays en mettant en copie:</t>
  </si>
  <si>
    <t>Information concernant les obligations légales d’importation</t>
  </si>
  <si>
    <t>Combien de temps cela prend-il pour obtenir le permis d’importation?</t>
  </si>
  <si>
    <t>Avez vous besoin que certains documents soient remis en même temps que la demande de permis d’importation?</t>
  </si>
  <si>
    <t>Si oui, merci de bien vouloir spécifier lesquels ici</t>
  </si>
  <si>
    <t>Est-ce que le destinataire doit procéder au dédouanement avant que l’expédition puisse avoir lieu?</t>
  </si>
  <si>
    <t>Y a-t-il des informations supplémentaires qui pourraient être utiles afin d’assurer un dédouanement et une livraison rapide des médicaments dans votre pays?</t>
  </si>
  <si>
    <t>Est le permis d'importation nécessaire?</t>
  </si>
  <si>
    <r>
      <t xml:space="preserve">Ce formulaire constitue une demande </t>
    </r>
    <r>
      <rPr>
        <b/>
        <sz val="10"/>
        <rFont val="Arial"/>
        <family val="2"/>
      </rPr>
      <t>officielle du Gouvernement à l'OMS</t>
    </r>
    <r>
      <rPr>
        <sz val="10"/>
        <rFont val="Arial"/>
        <family val="2"/>
      </rPr>
      <t xml:space="preserve"> pour l'approvisionnement des médicaments mentionnés ci-dessus. Ce formulaire peut-être soumis à n'importe quel moment, avant le 15 août de l'année en cours, pour une livraison de médicaments au courant de l'année suivante, mais au moins 6-8 mois avant l’intervention planifiée afin de laisser le temps nécessaire pour réviser et approuver la demande, placer la commande, élaborer les médicaments et les expédier vers les pays.</t>
    </r>
  </si>
  <si>
    <t>Mali</t>
  </si>
  <si>
    <t>Endémique</t>
  </si>
  <si>
    <t>Kayes</t>
  </si>
  <si>
    <t>Bafoulabe</t>
  </si>
  <si>
    <t>Oussoubidiagna</t>
  </si>
  <si>
    <t>Diema</t>
  </si>
  <si>
    <t>Kenieba</t>
  </si>
  <si>
    <t>Kita</t>
  </si>
  <si>
    <t>Sefeto</t>
  </si>
  <si>
    <t>Sagabari</t>
  </si>
  <si>
    <t>Nioro</t>
  </si>
  <si>
    <t>Yelimane</t>
  </si>
  <si>
    <t>Koulikoro</t>
  </si>
  <si>
    <t xml:space="preserve">Banamba </t>
  </si>
  <si>
    <t>Dioila</t>
  </si>
  <si>
    <t>Fana</t>
  </si>
  <si>
    <t>Kalaban Coro</t>
  </si>
  <si>
    <t>Kangaba</t>
  </si>
  <si>
    <t>Kati</t>
  </si>
  <si>
    <t>Kolokani</t>
  </si>
  <si>
    <t>Nara</t>
  </si>
  <si>
    <t>Ouelessebougou</t>
  </si>
  <si>
    <t>Sikasso</t>
  </si>
  <si>
    <t>Bougouni</t>
  </si>
  <si>
    <t>Kadiolo</t>
  </si>
  <si>
    <t>Kignan</t>
  </si>
  <si>
    <t>Kolondieba</t>
  </si>
  <si>
    <t>Koutiala</t>
  </si>
  <si>
    <t>Niena</t>
  </si>
  <si>
    <t>Sélingué</t>
  </si>
  <si>
    <t>Yanfolila</t>
  </si>
  <si>
    <t>Yorosso</t>
  </si>
  <si>
    <t>Segou</t>
  </si>
  <si>
    <t>Barouéli</t>
  </si>
  <si>
    <t>Bla</t>
  </si>
  <si>
    <t>Macina</t>
  </si>
  <si>
    <t>Markala</t>
  </si>
  <si>
    <t>Niono</t>
  </si>
  <si>
    <t>San</t>
  </si>
  <si>
    <t>Ségou</t>
  </si>
  <si>
    <t>Tominian</t>
  </si>
  <si>
    <t>Mopti</t>
  </si>
  <si>
    <t>Bandiagara</t>
  </si>
  <si>
    <t>Bankass</t>
  </si>
  <si>
    <t>Djenne</t>
  </si>
  <si>
    <t>Douentza</t>
  </si>
  <si>
    <t>Koro</t>
  </si>
  <si>
    <t>Tenenkou</t>
  </si>
  <si>
    <t>Youwarou</t>
  </si>
  <si>
    <t>Tombouctou</t>
  </si>
  <si>
    <t>Diré</t>
  </si>
  <si>
    <t>Goundam</t>
  </si>
  <si>
    <t>Gourma-Rharous</t>
  </si>
  <si>
    <t>Niafunké</t>
  </si>
  <si>
    <t>Gao</t>
  </si>
  <si>
    <t>Ansongo</t>
  </si>
  <si>
    <t>Bourem</t>
  </si>
  <si>
    <t>Almoustrat</t>
  </si>
  <si>
    <t>Kidal</t>
  </si>
  <si>
    <t>Abeibara</t>
  </si>
  <si>
    <t>Tessalit</t>
  </si>
  <si>
    <t>Tin-Essako</t>
  </si>
  <si>
    <t>Bamako</t>
  </si>
  <si>
    <t>Commune 1</t>
  </si>
  <si>
    <t>Commune 2</t>
  </si>
  <si>
    <t>Commune 3</t>
  </si>
  <si>
    <t>Commune 4</t>
  </si>
  <si>
    <t>Commune 5</t>
  </si>
  <si>
    <t>Commune 6</t>
  </si>
  <si>
    <t>Taoudenit</t>
  </si>
  <si>
    <t>Achourat</t>
  </si>
  <si>
    <t>Al-Ourch</t>
  </si>
  <si>
    <t>Araouane</t>
  </si>
  <si>
    <t>Boujbeha</t>
  </si>
  <si>
    <t>Foum-Elba</t>
  </si>
  <si>
    <t>Menaka</t>
  </si>
  <si>
    <t>Anderamboukane</t>
  </si>
  <si>
    <t>Inekar</t>
  </si>
  <si>
    <t>Tidermene</t>
  </si>
  <si>
    <t>Oui</t>
  </si>
  <si>
    <t>TAS</t>
  </si>
  <si>
    <t>ALB</t>
  </si>
  <si>
    <t>Albendazole pour FL</t>
  </si>
  <si>
    <t>Albendazole pour STH (EAS)</t>
  </si>
  <si>
    <t>Praziquantel (EAS)</t>
  </si>
  <si>
    <t>Ivermectine</t>
  </si>
  <si>
    <t>Filariose lymphatique</t>
  </si>
  <si>
    <t>Schistosomiase</t>
  </si>
  <si>
    <t>Onchocercose</t>
  </si>
  <si>
    <t>Géohelminthiases</t>
  </si>
  <si>
    <t xml:space="preserve"> </t>
  </si>
  <si>
    <t>Mars</t>
  </si>
  <si>
    <t>Février</t>
  </si>
  <si>
    <t>Praziquantel</t>
  </si>
  <si>
    <t>Adults</t>
  </si>
  <si>
    <t>OMVS et OMS</t>
  </si>
  <si>
    <t>La prise encharge de la campagne de traitement de masse est assurée par OMS, USAID/RTI/ENVISION/HKI, SightSavers, Banque Mondiale, OMVS/PSI</t>
  </si>
  <si>
    <t>Gestionnaire de Programme FL</t>
  </si>
  <si>
    <t>Dr Massitan Dembélé</t>
  </si>
  <si>
    <t>(00223) 66 73 36 33</t>
  </si>
  <si>
    <t xml:space="preserve">masdembele@yahoo.fr    </t>
  </si>
  <si>
    <t>Gestionnaire de programme SCH</t>
  </si>
  <si>
    <t>Dr Mahamadou Traoré</t>
  </si>
  <si>
    <t xml:space="preserve">(00223) 66 76 19 78 </t>
  </si>
  <si>
    <t xml:space="preserve">traormahamadou18@gmail.com      </t>
  </si>
  <si>
    <t>Gestionnaire de programme ONCHO</t>
  </si>
  <si>
    <t>Dr Mamadou  Oumar Traoré</t>
  </si>
  <si>
    <t xml:space="preserve">(00223) 66 71 17 66  </t>
  </si>
  <si>
    <t>mottraore88@gmail.com</t>
  </si>
  <si>
    <t>Gestionnaire de données</t>
  </si>
  <si>
    <t>Dr Cissé Oumou Traoré</t>
  </si>
  <si>
    <t>(00223) 76 14 28 58</t>
  </si>
  <si>
    <t xml:space="preserve">traore.oumou94@yahoo.fr </t>
  </si>
  <si>
    <t>Dr Massitan Dembélé, Point Focal MTN et Coordinatrice du PNEFL</t>
  </si>
  <si>
    <t>Dr Lucien Manga</t>
  </si>
  <si>
    <t>Dr Mama COUMARE</t>
  </si>
  <si>
    <t>OMS/Mali</t>
  </si>
  <si>
    <t>Direction Nationale de la Santé</t>
  </si>
  <si>
    <t>Ministère de la Santé et de l'Hygiène Publique</t>
  </si>
  <si>
    <t>(00223) 93 26 59 05</t>
  </si>
  <si>
    <t xml:space="preserve">(00223) 20 22 64 97/20 22 36 74/75 40 13 15 </t>
  </si>
  <si>
    <t>(00223) 20 22 23 35</t>
  </si>
  <si>
    <t>(00223) 20 22 36 74</t>
  </si>
  <si>
    <t>mangal@who.org</t>
  </si>
  <si>
    <t>mamacoumare@yahoo.fr</t>
  </si>
  <si>
    <t>Semaines</t>
  </si>
  <si>
    <t>No</t>
  </si>
  <si>
    <t>Si oui, merci de bien vouloir spécifier lesquels ici: Sur les documents et colis d'expediation il faut  mentionner "Don destiné au Ministere de la Santé et de l'Hygiene Publique, Direction Nationale de la Santé - Mali"</t>
  </si>
  <si>
    <t>Les campagnes de traitement de masse des MTN  sont planifiées pour  le  mois de Mars, au titre de l'année 2018. Les rapports de traitement seront  disponibles vers le mois de  juillet 2018. Vous trouverez en fichier joint  les rapports de traitement de masse des MTN de l'année 2016.
Compte tenu des conditions d'hygiène précaires, surtout chez les enfant de 5-14 qui sont les plus exposés, nous voudrions continuer le traitement des STH dans 8 districts qui n'ont pas été évalués en 2017. Il est prévu d'intégrer les évaluations STH aux evaluations TAS1 LF dans les districts sanitaires concernés en 2018. Ces enquêtes épidémiologiques utilisant une taille d'échantillon représentative seront menées afin de prendre une décision  en tenant compte des directives de l'OMS au sujet de l'arrêt du traitement STH .</t>
  </si>
  <si>
    <t>IU_ID</t>
  </si>
  <si>
    <t>IU_Name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</si>
</sst>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9" formatCode="dd/mm/yyyy;@"/>
  </numFmts>
  <fonts count="23" x14ac:knownFonts="1">
    <font>
      <sz val="10"/>
      <name val="Arial"/>
    </font>
    <font>
      <sz val="10"/>
      <name val="Arial"/>
    </font>
    <font>
      <sz val="8"/>
      <name val="Arial"/>
      <family val="2"/>
    </font>
    <font>
      <sz val="10"/>
      <name val="Arial"/>
      <family val="2"/>
    </font>
    <font>
      <b/>
      <sz val="10"/>
      <name val="Arial"/>
      <family val="2"/>
    </font>
    <font>
      <b/>
      <sz val="18"/>
      <name val="Arial"/>
      <family val="2"/>
    </font>
    <font>
      <b/>
      <sz val="8"/>
      <color indexed="81"/>
      <name val="Tahoma"/>
      <family val="2"/>
    </font>
    <font>
      <b/>
      <sz val="14"/>
      <name val="Arial"/>
      <family val="2"/>
    </font>
    <font>
      <b/>
      <sz val="10"/>
      <color indexed="9"/>
      <name val="Arial"/>
      <family val="2"/>
    </font>
    <font>
      <sz val="8"/>
      <name val="Arial"/>
      <family val="2"/>
    </font>
    <font>
      <sz val="10"/>
      <color indexed="9"/>
      <name val="Arial"/>
      <family val="2"/>
    </font>
    <font>
      <b/>
      <sz val="20"/>
      <color indexed="9"/>
      <name val="Arial"/>
      <family val="2"/>
    </font>
    <font>
      <sz val="8"/>
      <name val="Tahoma"/>
      <family val="2"/>
    </font>
    <font>
      <b/>
      <sz val="12"/>
      <name val="Arial"/>
      <family val="2"/>
    </font>
    <font>
      <sz val="10"/>
      <color indexed="10"/>
      <name val="Arial"/>
      <family val="2"/>
    </font>
    <font>
      <sz val="10"/>
      <color indexed="9"/>
      <name val="Arial"/>
      <family val="2"/>
    </font>
    <font>
      <b/>
      <sz val="10"/>
      <color indexed="9"/>
      <name val="Arial"/>
      <family val="2"/>
    </font>
    <font>
      <u/>
      <sz val="10"/>
      <color indexed="12"/>
      <name val="Arial"/>
      <family val="2"/>
    </font>
    <font>
      <b/>
      <sz val="10"/>
      <color indexed="56"/>
      <name val="Arial"/>
      <family val="2"/>
    </font>
    <font>
      <b/>
      <sz val="17"/>
      <color indexed="9"/>
      <name val="Arial"/>
      <family val="2"/>
    </font>
    <font>
      <sz val="17"/>
      <name val="Arial"/>
      <family val="2"/>
    </font>
    <font>
      <b/>
      <sz val="9"/>
      <name val="Arial"/>
      <family val="2"/>
    </font>
    <font>
      <sz val="10"/>
      <color theme="0" tint="-0.499984740745262"/>
      <name val="Arial"/>
      <family val="2"/>
    </font>
  </fonts>
  <fills count="10">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8"/>
        <bgColor indexed="64"/>
      </patternFill>
    </fill>
    <fill>
      <patternFill patternType="solid">
        <fgColor indexed="47"/>
        <bgColor indexed="64"/>
      </patternFill>
    </fill>
    <fill>
      <patternFill patternType="solid">
        <fgColor indexed="22"/>
        <bgColor indexed="64"/>
      </patternFill>
    </fill>
    <fill>
      <patternFill patternType="solid">
        <fgColor indexed="9"/>
        <bgColor indexed="64"/>
      </patternFill>
    </fill>
    <fill>
      <patternFill patternType="solid">
        <fgColor theme="0"/>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s>
  <cellStyleXfs count="3">
    <xf numFmtId="0" fontId="0" fillId="0" borderId="0"/>
    <xf numFmtId="0" fontId="17" fillId="0" borderId="0" applyNumberFormat="0" applyFill="0" applyBorder="0" applyAlignment="0" applyProtection="0">
      <alignment vertical="top"/>
      <protection locked="0"/>
    </xf>
    <xf numFmtId="0" fontId="3" fillId="0" borderId="0"/>
  </cellStyleXfs>
  <cellXfs count="427">
    <xf numFmtId="0" fontId="0" fillId="0" borderId="0" xfId="0"/>
    <xf numFmtId="0" fontId="0" fillId="0" borderId="0" xfId="0" applyProtection="1">
      <protection locked="0"/>
    </xf>
    <xf numFmtId="0" fontId="0" fillId="0" borderId="0" xfId="0" applyFill="1" applyProtection="1">
      <protection locked="0"/>
    </xf>
    <xf numFmtId="3" fontId="3" fillId="0" borderId="1" xfId="0" applyNumberFormat="1" applyFont="1" applyFill="1" applyBorder="1" applyProtection="1">
      <protection locked="0"/>
    </xf>
    <xf numFmtId="0" fontId="5" fillId="0" borderId="0" xfId="0" applyFont="1" applyProtection="1"/>
    <xf numFmtId="0" fontId="0" fillId="0" borderId="0" xfId="0" applyProtection="1"/>
    <xf numFmtId="3" fontId="4" fillId="2" borderId="1" xfId="0" applyNumberFormat="1" applyFont="1" applyFill="1" applyBorder="1" applyAlignment="1" applyProtection="1"/>
    <xf numFmtId="0" fontId="4" fillId="0" borderId="0" xfId="0" applyFont="1" applyFill="1" applyBorder="1" applyAlignment="1" applyProtection="1"/>
    <xf numFmtId="3" fontId="4" fillId="0" borderId="0" xfId="0" applyNumberFormat="1" applyFont="1" applyFill="1" applyBorder="1" applyProtection="1"/>
    <xf numFmtId="0" fontId="0" fillId="0" borderId="0" xfId="0" applyFill="1" applyBorder="1" applyAlignment="1" applyProtection="1">
      <alignment horizontal="center"/>
    </xf>
    <xf numFmtId="0" fontId="3" fillId="3" borderId="1" xfId="0" applyFont="1" applyFill="1" applyBorder="1" applyAlignment="1" applyProtection="1">
      <alignment horizontal="center"/>
    </xf>
    <xf numFmtId="0" fontId="3" fillId="3" borderId="1" xfId="0" applyFont="1" applyFill="1" applyBorder="1" applyProtection="1"/>
    <xf numFmtId="0" fontId="0" fillId="2" borderId="1" xfId="0" applyFill="1" applyBorder="1" applyProtection="1"/>
    <xf numFmtId="3" fontId="3" fillId="2" borderId="1" xfId="0" applyNumberFormat="1" applyFont="1" applyFill="1" applyBorder="1" applyProtection="1"/>
    <xf numFmtId="1" fontId="0" fillId="2" borderId="1" xfId="0" applyNumberFormat="1" applyFill="1" applyBorder="1" applyProtection="1"/>
    <xf numFmtId="3" fontId="0" fillId="2" borderId="1" xfId="0" applyNumberFormat="1" applyFill="1" applyBorder="1" applyProtection="1"/>
    <xf numFmtId="0" fontId="3" fillId="0" borderId="1" xfId="0" applyFont="1" applyFill="1" applyBorder="1" applyProtection="1">
      <protection locked="0"/>
    </xf>
    <xf numFmtId="0" fontId="3" fillId="0" borderId="0" xfId="0" applyFont="1" applyFill="1" applyBorder="1" applyProtection="1">
      <protection locked="0"/>
    </xf>
    <xf numFmtId="0" fontId="0" fillId="2" borderId="2" xfId="0" applyFill="1" applyBorder="1" applyAlignment="1" applyProtection="1"/>
    <xf numFmtId="3" fontId="3" fillId="4" borderId="1" xfId="0" applyNumberFormat="1" applyFont="1" applyFill="1" applyBorder="1" applyProtection="1">
      <protection locked="0"/>
    </xf>
    <xf numFmtId="0" fontId="0" fillId="0" borderId="0" xfId="0" applyAlignment="1" applyProtection="1">
      <alignment horizontal="right"/>
    </xf>
    <xf numFmtId="3" fontId="4" fillId="2" borderId="1" xfId="0" applyNumberFormat="1" applyFont="1" applyFill="1" applyBorder="1" applyAlignment="1" applyProtection="1">
      <alignment horizontal="right"/>
    </xf>
    <xf numFmtId="0" fontId="0" fillId="0" borderId="0" xfId="0" applyAlignment="1" applyProtection="1">
      <alignment horizontal="right"/>
      <protection locked="0"/>
    </xf>
    <xf numFmtId="0" fontId="3" fillId="2" borderId="1" xfId="0" applyFont="1" applyFill="1" applyBorder="1" applyProtection="1"/>
    <xf numFmtId="3" fontId="0" fillId="0" borderId="1" xfId="0" applyNumberFormat="1" applyBorder="1" applyProtection="1">
      <protection locked="0"/>
    </xf>
    <xf numFmtId="0" fontId="8" fillId="5" borderId="0" xfId="0" applyFont="1" applyFill="1" applyBorder="1" applyAlignment="1" applyProtection="1">
      <alignment vertical="center"/>
    </xf>
    <xf numFmtId="1" fontId="3" fillId="6" borderId="1" xfId="0" applyNumberFormat="1" applyFont="1" applyFill="1" applyBorder="1" applyProtection="1">
      <protection locked="0"/>
    </xf>
    <xf numFmtId="3" fontId="3" fillId="6" borderId="1" xfId="0" applyNumberFormat="1" applyFont="1" applyFill="1" applyBorder="1" applyAlignment="1" applyProtection="1">
      <alignment horizontal="right"/>
      <protection locked="0"/>
    </xf>
    <xf numFmtId="0" fontId="0" fillId="6" borderId="1" xfId="0" applyFill="1" applyBorder="1" applyProtection="1"/>
    <xf numFmtId="0" fontId="0" fillId="3" borderId="1" xfId="0" applyFill="1" applyBorder="1" applyProtection="1"/>
    <xf numFmtId="0" fontId="0" fillId="4" borderId="1" xfId="0" applyFill="1" applyBorder="1" applyProtection="1"/>
    <xf numFmtId="0" fontId="0" fillId="5" borderId="0" xfId="0" applyFill="1" applyProtection="1"/>
    <xf numFmtId="0" fontId="3" fillId="3" borderId="3" xfId="0" applyFont="1" applyFill="1" applyBorder="1" applyAlignment="1" applyProtection="1">
      <alignment horizontal="center"/>
    </xf>
    <xf numFmtId="3" fontId="4" fillId="2" borderId="2" xfId="0" applyNumberFormat="1" applyFont="1" applyFill="1" applyBorder="1" applyProtection="1"/>
    <xf numFmtId="0" fontId="3" fillId="3" borderId="2" xfId="0" applyFont="1" applyFill="1" applyBorder="1" applyAlignment="1" applyProtection="1">
      <alignment horizontal="center"/>
    </xf>
    <xf numFmtId="0" fontId="0" fillId="0" borderId="0" xfId="0" applyBorder="1" applyProtection="1"/>
    <xf numFmtId="0" fontId="0" fillId="0" borderId="4" xfId="0" applyBorder="1" applyProtection="1"/>
    <xf numFmtId="3" fontId="3" fillId="0" borderId="2" xfId="0" applyNumberFormat="1" applyFont="1" applyFill="1" applyBorder="1" applyProtection="1">
      <protection locked="0"/>
    </xf>
    <xf numFmtId="49" fontId="3" fillId="0" borderId="5" xfId="0" applyNumberFormat="1" applyFont="1" applyFill="1" applyBorder="1" applyProtection="1">
      <protection locked="0"/>
    </xf>
    <xf numFmtId="1" fontId="3" fillId="6" borderId="2" xfId="0" applyNumberFormat="1" applyFont="1" applyFill="1" applyBorder="1" applyProtection="1">
      <protection locked="0"/>
    </xf>
    <xf numFmtId="3" fontId="3" fillId="4" borderId="5" xfId="0" applyNumberFormat="1" applyFont="1" applyFill="1" applyBorder="1" applyProtection="1">
      <protection locked="0"/>
    </xf>
    <xf numFmtId="1" fontId="3" fillId="6" borderId="5" xfId="0" applyNumberFormat="1" applyFont="1" applyFill="1" applyBorder="1" applyProtection="1">
      <protection locked="0"/>
    </xf>
    <xf numFmtId="3" fontId="3" fillId="2" borderId="5" xfId="0" applyNumberFormat="1" applyFont="1" applyFill="1" applyBorder="1" applyProtection="1"/>
    <xf numFmtId="0" fontId="3" fillId="3" borderId="5" xfId="0" applyFont="1" applyFill="1" applyBorder="1" applyProtection="1"/>
    <xf numFmtId="0" fontId="3" fillId="3" borderId="5" xfId="0" applyFont="1" applyFill="1" applyBorder="1" applyAlignment="1" applyProtection="1">
      <alignment horizontal="center"/>
    </xf>
    <xf numFmtId="3" fontId="4" fillId="2" borderId="5" xfId="0" applyNumberFormat="1" applyFont="1" applyFill="1" applyBorder="1" applyProtection="1"/>
    <xf numFmtId="0" fontId="0" fillId="0" borderId="6" xfId="0" applyBorder="1" applyProtection="1"/>
    <xf numFmtId="0" fontId="0" fillId="0" borderId="7" xfId="0" applyBorder="1" applyProtection="1"/>
    <xf numFmtId="3" fontId="3" fillId="7" borderId="1" xfId="0" applyNumberFormat="1" applyFont="1" applyFill="1" applyBorder="1" applyProtection="1"/>
    <xf numFmtId="3" fontId="4" fillId="7" borderId="1" xfId="0" applyNumberFormat="1" applyFont="1" applyFill="1" applyBorder="1" applyAlignment="1" applyProtection="1"/>
    <xf numFmtId="0" fontId="4" fillId="3" borderId="1" xfId="0" applyFont="1" applyFill="1" applyBorder="1" applyAlignment="1" applyProtection="1">
      <alignment horizontal="center" vertical="center"/>
    </xf>
    <xf numFmtId="0" fontId="0" fillId="8" borderId="0" xfId="0" applyFill="1" applyAlignment="1" applyProtection="1">
      <alignment wrapText="1"/>
    </xf>
    <xf numFmtId="0" fontId="0" fillId="8" borderId="0" xfId="0" applyFill="1" applyProtection="1"/>
    <xf numFmtId="0" fontId="11" fillId="8" borderId="0" xfId="0" applyFont="1" applyFill="1" applyBorder="1" applyAlignment="1" applyProtection="1">
      <alignment horizontal="right"/>
    </xf>
    <xf numFmtId="0" fontId="0" fillId="8" borderId="0" xfId="0" applyFill="1" applyBorder="1" applyProtection="1"/>
    <xf numFmtId="0" fontId="8" fillId="8" borderId="0" xfId="0" applyFont="1" applyFill="1" applyBorder="1" applyAlignment="1" applyProtection="1">
      <alignment vertical="center"/>
    </xf>
    <xf numFmtId="0" fontId="16" fillId="8" borderId="0" xfId="0" quotePrefix="1" applyFont="1" applyFill="1" applyAlignment="1" applyProtection="1">
      <alignment horizontal="left"/>
    </xf>
    <xf numFmtId="0" fontId="10" fillId="8" borderId="0" xfId="0" applyFont="1" applyFill="1" applyProtection="1"/>
    <xf numFmtId="0" fontId="0" fillId="8" borderId="0" xfId="0" quotePrefix="1" applyFill="1" applyBorder="1" applyAlignment="1" applyProtection="1">
      <alignment horizontal="left" vertical="justify" wrapText="1"/>
    </xf>
    <xf numFmtId="0" fontId="0" fillId="8" borderId="0" xfId="0" applyFill="1" applyBorder="1" applyAlignment="1" applyProtection="1">
      <alignment vertical="justify" wrapText="1"/>
    </xf>
    <xf numFmtId="0" fontId="1" fillId="8" borderId="0" xfId="0" applyFont="1" applyFill="1" applyBorder="1" applyAlignment="1" applyProtection="1">
      <alignment horizontal="left" wrapText="1" indent="3"/>
    </xf>
    <xf numFmtId="0" fontId="1" fillId="8" borderId="0" xfId="0" applyFont="1" applyFill="1" applyBorder="1" applyAlignment="1" applyProtection="1">
      <alignment horizontal="left" indent="3"/>
    </xf>
    <xf numFmtId="0" fontId="14" fillId="8" borderId="0" xfId="0" applyFont="1" applyFill="1" applyBorder="1" applyProtection="1"/>
    <xf numFmtId="0" fontId="8" fillId="8" borderId="0" xfId="0" applyFont="1" applyFill="1" applyProtection="1"/>
    <xf numFmtId="0" fontId="3" fillId="3" borderId="8" xfId="0" applyFont="1" applyFill="1" applyBorder="1" applyAlignment="1" applyProtection="1">
      <alignment horizontal="center" vertical="center"/>
    </xf>
    <xf numFmtId="0" fontId="3" fillId="3" borderId="9" xfId="0" applyFont="1" applyFill="1" applyBorder="1" applyAlignment="1" applyProtection="1">
      <alignment horizontal="center" vertical="center"/>
    </xf>
    <xf numFmtId="0" fontId="3" fillId="3" borderId="10" xfId="0" applyFont="1" applyFill="1" applyBorder="1" applyAlignment="1" applyProtection="1">
      <alignment horizontal="center" vertical="center"/>
    </xf>
    <xf numFmtId="0" fontId="0" fillId="8" borderId="0" xfId="0" applyFill="1" applyBorder="1" applyAlignment="1" applyProtection="1">
      <alignment vertical="center"/>
    </xf>
    <xf numFmtId="0" fontId="0" fillId="8" borderId="0" xfId="0" applyFill="1" applyAlignment="1" applyProtection="1">
      <alignment vertical="center"/>
    </xf>
    <xf numFmtId="1" fontId="7" fillId="2" borderId="1" xfId="0" applyNumberFormat="1" applyFont="1" applyFill="1" applyBorder="1" applyAlignment="1" applyProtection="1">
      <alignment horizontal="center" vertical="center"/>
    </xf>
    <xf numFmtId="0" fontId="4" fillId="3" borderId="11" xfId="0" applyFont="1" applyFill="1" applyBorder="1" applyAlignment="1" applyProtection="1">
      <alignment vertical="center"/>
    </xf>
    <xf numFmtId="0" fontId="4" fillId="3" borderId="12" xfId="0" applyFont="1" applyFill="1" applyBorder="1" applyAlignment="1" applyProtection="1">
      <alignment vertical="center"/>
    </xf>
    <xf numFmtId="0" fontId="0" fillId="6" borderId="13" xfId="0" applyFill="1" applyBorder="1" applyAlignment="1" applyProtection="1">
      <alignment vertical="center"/>
      <protection locked="0"/>
    </xf>
    <xf numFmtId="0" fontId="0" fillId="6" borderId="14" xfId="0" applyFill="1" applyBorder="1" applyAlignment="1" applyProtection="1">
      <alignment vertical="center"/>
      <protection locked="0"/>
    </xf>
    <xf numFmtId="0" fontId="0" fillId="6" borderId="15" xfId="0" applyFill="1" applyBorder="1" applyAlignment="1" applyProtection="1">
      <alignment vertical="center"/>
      <protection locked="0"/>
    </xf>
    <xf numFmtId="0" fontId="8" fillId="5" borderId="0" xfId="0" applyFont="1" applyFill="1" applyBorder="1" applyAlignment="1" applyProtection="1">
      <alignment horizontal="left" vertical="center"/>
    </xf>
    <xf numFmtId="0" fontId="0" fillId="5" borderId="0" xfId="0" applyFill="1" applyBorder="1" applyAlignment="1" applyProtection="1">
      <alignment vertical="center"/>
    </xf>
    <xf numFmtId="0" fontId="8" fillId="5" borderId="0" xfId="0" quotePrefix="1" applyFont="1" applyFill="1" applyAlignment="1" applyProtection="1">
      <alignment horizontal="left" vertical="center"/>
    </xf>
    <xf numFmtId="0" fontId="15" fillId="5" borderId="0" xfId="0" applyFont="1" applyFill="1" applyAlignment="1" applyProtection="1">
      <alignment vertical="center"/>
    </xf>
    <xf numFmtId="0" fontId="0" fillId="6" borderId="16" xfId="0" applyFill="1" applyBorder="1" applyAlignment="1" applyProtection="1">
      <alignment vertical="center"/>
      <protection locked="0"/>
    </xf>
    <xf numFmtId="0" fontId="0" fillId="6" borderId="8" xfId="0" applyFill="1" applyBorder="1" applyAlignment="1" applyProtection="1">
      <alignment vertical="center"/>
      <protection locked="0"/>
    </xf>
    <xf numFmtId="0" fontId="0" fillId="8" borderId="1" xfId="0" applyFill="1" applyBorder="1" applyProtection="1"/>
    <xf numFmtId="0" fontId="5" fillId="8" borderId="0" xfId="0" applyFont="1" applyFill="1" applyBorder="1" applyProtection="1"/>
    <xf numFmtId="0" fontId="10" fillId="8" borderId="0" xfId="0" applyFont="1" applyFill="1" applyBorder="1" applyProtection="1"/>
    <xf numFmtId="0" fontId="4" fillId="8" borderId="17" xfId="0" applyFont="1" applyFill="1" applyBorder="1" applyAlignment="1" applyProtection="1">
      <alignment horizontal="left"/>
    </xf>
    <xf numFmtId="0" fontId="0" fillId="8" borderId="17" xfId="0" applyFill="1" applyBorder="1" applyProtection="1"/>
    <xf numFmtId="0" fontId="0" fillId="8" borderId="17" xfId="0" applyFill="1" applyBorder="1" applyAlignment="1" applyProtection="1">
      <alignment horizontal="right"/>
    </xf>
    <xf numFmtId="0" fontId="4" fillId="8" borderId="17" xfId="0" applyFont="1" applyFill="1" applyBorder="1" applyAlignment="1" applyProtection="1">
      <alignment horizontal="left" vertical="top" wrapText="1"/>
    </xf>
    <xf numFmtId="0" fontId="4" fillId="8" borderId="18" xfId="0" applyFont="1" applyFill="1" applyBorder="1" applyAlignment="1" applyProtection="1">
      <alignment horizontal="left" vertical="top" wrapText="1"/>
    </xf>
    <xf numFmtId="0" fontId="0" fillId="8" borderId="0" xfId="0" applyFill="1" applyAlignment="1" applyProtection="1">
      <alignment horizontal="right"/>
    </xf>
    <xf numFmtId="0" fontId="5" fillId="8" borderId="0" xfId="0" applyFont="1" applyFill="1" applyProtection="1"/>
    <xf numFmtId="0" fontId="7" fillId="8" borderId="1" xfId="0" applyFont="1" applyFill="1" applyBorder="1" applyAlignment="1" applyProtection="1">
      <alignment horizontal="right"/>
      <protection locked="0"/>
    </xf>
    <xf numFmtId="1" fontId="4" fillId="8" borderId="1" xfId="0" applyNumberFormat="1" applyFont="1" applyFill="1" applyBorder="1" applyAlignment="1" applyProtection="1">
      <alignment horizontal="right"/>
      <protection locked="0"/>
    </xf>
    <xf numFmtId="10" fontId="0" fillId="8" borderId="1" xfId="0" applyNumberFormat="1" applyFill="1" applyBorder="1" applyAlignment="1" applyProtection="1">
      <alignment horizontal="right"/>
      <protection locked="0"/>
    </xf>
    <xf numFmtId="0" fontId="3" fillId="3" borderId="19" xfId="0" applyFont="1" applyFill="1" applyBorder="1" applyAlignment="1" applyProtection="1">
      <alignment horizontal="center" vertical="center" wrapText="1"/>
    </xf>
    <xf numFmtId="0" fontId="3" fillId="3" borderId="20" xfId="0" applyFont="1" applyFill="1" applyBorder="1" applyAlignment="1" applyProtection="1">
      <alignment horizontal="center" vertical="center" wrapText="1"/>
    </xf>
    <xf numFmtId="0" fontId="0" fillId="8" borderId="0" xfId="0" applyFill="1" applyBorder="1" applyAlignment="1" applyProtection="1"/>
    <xf numFmtId="0" fontId="0" fillId="3" borderId="1" xfId="0" applyFill="1" applyBorder="1" applyAlignment="1" applyProtection="1">
      <alignment horizontal="center" vertical="center"/>
    </xf>
    <xf numFmtId="1" fontId="0" fillId="6" borderId="1" xfId="0" applyNumberFormat="1" applyFill="1" applyBorder="1" applyProtection="1">
      <protection locked="0"/>
    </xf>
    <xf numFmtId="3" fontId="3" fillId="2" borderId="2" xfId="0" applyNumberFormat="1" applyFont="1" applyFill="1" applyBorder="1" applyProtection="1"/>
    <xf numFmtId="3" fontId="2" fillId="4" borderId="6" xfId="0" applyNumberFormat="1" applyFont="1" applyFill="1" applyBorder="1" applyAlignment="1" applyProtection="1">
      <alignment vertical="center"/>
      <protection locked="0"/>
    </xf>
    <xf numFmtId="3" fontId="2" fillId="4" borderId="4" xfId="0" applyNumberFormat="1" applyFont="1" applyFill="1" applyBorder="1" applyAlignment="1" applyProtection="1">
      <alignment vertical="center"/>
      <protection locked="0"/>
    </xf>
    <xf numFmtId="3" fontId="2" fillId="2" borderId="21" xfId="0" applyNumberFormat="1" applyFont="1" applyFill="1" applyBorder="1" applyAlignment="1" applyProtection="1">
      <alignment vertical="center"/>
    </xf>
    <xf numFmtId="3" fontId="2" fillId="2" borderId="22" xfId="0" applyNumberFormat="1" applyFont="1" applyFill="1" applyBorder="1" applyAlignment="1" applyProtection="1">
      <alignment vertical="center"/>
    </xf>
    <xf numFmtId="3" fontId="2" fillId="2" borderId="23" xfId="0" applyNumberFormat="1" applyFont="1" applyFill="1" applyBorder="1" applyAlignment="1" applyProtection="1">
      <alignment vertical="center"/>
    </xf>
    <xf numFmtId="3" fontId="2" fillId="4" borderId="2" xfId="0" applyNumberFormat="1" applyFont="1" applyFill="1" applyBorder="1" applyAlignment="1" applyProtection="1">
      <alignment vertical="center"/>
      <protection locked="0"/>
    </xf>
    <xf numFmtId="3" fontId="2" fillId="4" borderId="1" xfId="0" applyNumberFormat="1" applyFont="1" applyFill="1" applyBorder="1" applyAlignment="1" applyProtection="1">
      <alignment vertical="center"/>
      <protection locked="0"/>
    </xf>
    <xf numFmtId="3" fontId="2" fillId="2" borderId="3" xfId="0" applyNumberFormat="1" applyFont="1" applyFill="1" applyBorder="1" applyAlignment="1" applyProtection="1">
      <alignment vertical="center"/>
    </xf>
    <xf numFmtId="3" fontId="2" fillId="2" borderId="16" xfId="0" applyNumberFormat="1" applyFont="1" applyFill="1" applyBorder="1" applyAlignment="1" applyProtection="1">
      <alignment vertical="center"/>
    </xf>
    <xf numFmtId="3" fontId="2" fillId="2" borderId="5" xfId="0" applyNumberFormat="1" applyFont="1" applyFill="1" applyBorder="1" applyAlignment="1" applyProtection="1">
      <alignment vertical="center"/>
    </xf>
    <xf numFmtId="3" fontId="2" fillId="4" borderId="24" xfId="0" applyNumberFormat="1" applyFont="1" applyFill="1" applyBorder="1" applyAlignment="1" applyProtection="1">
      <alignment vertical="center"/>
      <protection locked="0"/>
    </xf>
    <xf numFmtId="3" fontId="2" fillId="4" borderId="9" xfId="0" applyNumberFormat="1" applyFont="1" applyFill="1" applyBorder="1" applyAlignment="1" applyProtection="1">
      <alignment vertical="center"/>
      <protection locked="0"/>
    </xf>
    <xf numFmtId="3" fontId="2" fillId="2" borderId="25" xfId="0" applyNumberFormat="1" applyFont="1" applyFill="1" applyBorder="1" applyAlignment="1" applyProtection="1">
      <alignment vertical="center"/>
    </xf>
    <xf numFmtId="3" fontId="2" fillId="2" borderId="8" xfId="0" applyNumberFormat="1" applyFont="1" applyFill="1" applyBorder="1" applyAlignment="1" applyProtection="1">
      <alignment vertical="center"/>
    </xf>
    <xf numFmtId="3" fontId="2" fillId="2" borderId="10" xfId="0" applyNumberFormat="1" applyFont="1" applyFill="1" applyBorder="1" applyAlignment="1" applyProtection="1">
      <alignment vertical="center"/>
    </xf>
    <xf numFmtId="3" fontId="2" fillId="4" borderId="22" xfId="0" applyNumberFormat="1" applyFont="1" applyFill="1" applyBorder="1" applyAlignment="1" applyProtection="1">
      <alignment vertical="center"/>
      <protection locked="0"/>
    </xf>
    <xf numFmtId="3" fontId="2" fillId="4" borderId="23" xfId="0" applyNumberFormat="1" applyFont="1" applyFill="1" applyBorder="1" applyAlignment="1" applyProtection="1">
      <alignment vertical="center"/>
      <protection locked="0"/>
    </xf>
    <xf numFmtId="3" fontId="2" fillId="4" borderId="16" xfId="0" applyNumberFormat="1" applyFont="1" applyFill="1" applyBorder="1" applyAlignment="1" applyProtection="1">
      <alignment vertical="center"/>
      <protection locked="0"/>
    </xf>
    <xf numFmtId="3" fontId="2" fillId="4" borderId="5" xfId="0" applyNumberFormat="1" applyFont="1" applyFill="1" applyBorder="1" applyAlignment="1" applyProtection="1">
      <alignment vertical="center"/>
      <protection locked="0"/>
    </xf>
    <xf numFmtId="3" fontId="2" fillId="4" borderId="8" xfId="0" applyNumberFormat="1" applyFont="1" applyFill="1" applyBorder="1" applyAlignment="1" applyProtection="1">
      <alignment vertical="center"/>
      <protection locked="0"/>
    </xf>
    <xf numFmtId="3" fontId="2" fillId="4" borderId="10" xfId="0" applyNumberFormat="1" applyFont="1" applyFill="1" applyBorder="1" applyAlignment="1" applyProtection="1">
      <alignment vertical="center"/>
      <protection locked="0"/>
    </xf>
    <xf numFmtId="0" fontId="8" fillId="5" borderId="0" xfId="0" applyFont="1" applyFill="1" applyAlignment="1" applyProtection="1">
      <alignment vertical="center"/>
    </xf>
    <xf numFmtId="0" fontId="0" fillId="6" borderId="1" xfId="0" applyFill="1" applyBorder="1" applyAlignment="1" applyProtection="1">
      <alignment horizontal="center" vertical="center"/>
      <protection locked="0"/>
    </xf>
    <xf numFmtId="0" fontId="0" fillId="6" borderId="5" xfId="0" applyFill="1" applyBorder="1" applyAlignment="1" applyProtection="1">
      <alignment horizontal="center" vertical="center"/>
      <protection locked="0"/>
    </xf>
    <xf numFmtId="0" fontId="0" fillId="6" borderId="9" xfId="0" applyFill="1" applyBorder="1" applyAlignment="1" applyProtection="1">
      <alignment horizontal="center" vertical="center"/>
      <protection locked="0"/>
    </xf>
    <xf numFmtId="0" fontId="0" fillId="6" borderId="10" xfId="0" applyFill="1" applyBorder="1" applyAlignment="1" applyProtection="1">
      <alignment horizontal="center" vertical="center"/>
      <protection locked="0"/>
    </xf>
    <xf numFmtId="0" fontId="0" fillId="8" borderId="0" xfId="0" applyFill="1" applyAlignment="1" applyProtection="1"/>
    <xf numFmtId="0" fontId="3" fillId="8" borderId="0" xfId="0" applyFont="1" applyFill="1" applyAlignment="1" applyProtection="1"/>
    <xf numFmtId="0" fontId="3" fillId="8" borderId="0" xfId="0" quotePrefix="1" applyFont="1" applyFill="1" applyAlignment="1" applyProtection="1"/>
    <xf numFmtId="0" fontId="0" fillId="6" borderId="1" xfId="0" applyFill="1" applyBorder="1" applyAlignment="1" applyProtection="1">
      <alignment horizontal="right" vertical="center"/>
      <protection locked="0"/>
    </xf>
    <xf numFmtId="0" fontId="3" fillId="0" borderId="0" xfId="0" applyFont="1" applyProtection="1"/>
    <xf numFmtId="0" fontId="3" fillId="3" borderId="1" xfId="0" applyFont="1" applyFill="1" applyBorder="1" applyAlignment="1" applyProtection="1">
      <alignment horizontal="center" vertical="center"/>
    </xf>
    <xf numFmtId="0" fontId="3" fillId="3" borderId="2" xfId="2" applyFill="1" applyBorder="1" applyAlignment="1" applyProtection="1">
      <alignment horizontal="center" vertical="center" wrapText="1"/>
    </xf>
    <xf numFmtId="0" fontId="3" fillId="3" borderId="9" xfId="0" applyFont="1" applyFill="1" applyBorder="1" applyAlignment="1" applyProtection="1">
      <alignment horizontal="center" vertical="center" wrapText="1"/>
    </xf>
    <xf numFmtId="0" fontId="4" fillId="3" borderId="26" xfId="0" applyFont="1" applyFill="1" applyBorder="1" applyAlignment="1" applyProtection="1">
      <alignment horizontal="left" vertical="center"/>
    </xf>
    <xf numFmtId="0" fontId="4" fillId="3" borderId="27" xfId="2" applyFont="1" applyFill="1" applyBorder="1" applyAlignment="1" applyProtection="1">
      <alignment horizontal="center" vertical="center"/>
    </xf>
    <xf numFmtId="0" fontId="4" fillId="3" borderId="28" xfId="2" applyFont="1" applyFill="1" applyBorder="1" applyAlignment="1" applyProtection="1">
      <alignment horizontal="center" vertical="center"/>
    </xf>
    <xf numFmtId="0" fontId="4" fillId="3" borderId="27" xfId="0" applyFont="1" applyFill="1" applyBorder="1" applyAlignment="1" applyProtection="1">
      <alignment horizontal="center" vertical="center" wrapText="1"/>
    </xf>
    <xf numFmtId="0" fontId="4" fillId="3" borderId="16" xfId="2" applyFont="1" applyFill="1" applyBorder="1" applyAlignment="1" applyProtection="1">
      <alignment vertical="center"/>
    </xf>
    <xf numFmtId="0" fontId="4" fillId="3" borderId="8" xfId="2" applyFont="1" applyFill="1" applyBorder="1" applyAlignment="1" applyProtection="1">
      <alignment vertical="center"/>
    </xf>
    <xf numFmtId="0" fontId="4" fillId="3" borderId="22" xfId="2" applyFont="1" applyFill="1" applyBorder="1" applyAlignment="1" applyProtection="1">
      <alignment horizontal="left" vertical="center"/>
    </xf>
    <xf numFmtId="0" fontId="3" fillId="8" borderId="0" xfId="2" applyFill="1" applyAlignment="1" applyProtection="1">
      <alignment wrapText="1"/>
    </xf>
    <xf numFmtId="0" fontId="3" fillId="8" borderId="0" xfId="2" applyFont="1" applyFill="1" applyAlignment="1" applyProtection="1"/>
    <xf numFmtId="0" fontId="3" fillId="8" borderId="0" xfId="2" applyFont="1" applyFill="1" applyAlignment="1" applyProtection="1">
      <alignment wrapText="1"/>
    </xf>
    <xf numFmtId="0" fontId="3" fillId="3" borderId="1" xfId="0" applyFont="1" applyFill="1" applyBorder="1" applyAlignment="1" applyProtection="1">
      <alignment horizontal="center" vertical="center" wrapText="1"/>
    </xf>
    <xf numFmtId="0" fontId="2" fillId="3" borderId="1" xfId="0" applyFont="1" applyFill="1" applyBorder="1" applyAlignment="1" applyProtection="1">
      <alignment horizontal="center"/>
    </xf>
    <xf numFmtId="0" fontId="3" fillId="8" borderId="0" xfId="0" applyFont="1" applyFill="1" applyBorder="1" applyAlignment="1" applyProtection="1">
      <alignment horizontal="left" wrapText="1"/>
    </xf>
    <xf numFmtId="0" fontId="3" fillId="8" borderId="0" xfId="0" applyFont="1" applyFill="1" applyBorder="1" applyAlignment="1" applyProtection="1">
      <alignment horizontal="left"/>
    </xf>
    <xf numFmtId="0" fontId="0" fillId="6" borderId="29" xfId="0" applyFill="1" applyBorder="1" applyAlignment="1" applyProtection="1">
      <alignment vertical="center"/>
      <protection locked="0"/>
    </xf>
    <xf numFmtId="1" fontId="3" fillId="0" borderId="6" xfId="0" applyNumberFormat="1" applyFont="1" applyFill="1" applyBorder="1" applyAlignment="1" applyProtection="1">
      <alignment horizontal="center" vertical="center"/>
      <protection locked="0"/>
    </xf>
    <xf numFmtId="0" fontId="3" fillId="6" borderId="14" xfId="0" applyFont="1" applyFill="1" applyBorder="1" applyAlignment="1" applyProtection="1">
      <alignment vertical="center"/>
      <protection locked="0"/>
    </xf>
    <xf numFmtId="0" fontId="4" fillId="3" borderId="29" xfId="0" applyFont="1" applyFill="1" applyBorder="1" applyAlignment="1" applyProtection="1">
      <alignment horizontal="center" vertical="center" wrapText="1"/>
    </xf>
    <xf numFmtId="0" fontId="4" fillId="9" borderId="0" xfId="0" applyFont="1" applyFill="1" applyBorder="1" applyAlignment="1" applyProtection="1">
      <alignment wrapText="1"/>
    </xf>
    <xf numFmtId="0" fontId="3" fillId="9" borderId="0" xfId="0" applyFont="1" applyFill="1" applyBorder="1" applyAlignment="1" applyProtection="1">
      <alignment horizontal="left" wrapText="1"/>
    </xf>
    <xf numFmtId="0" fontId="4" fillId="9" borderId="0" xfId="0" applyFont="1" applyFill="1" applyBorder="1" applyAlignment="1" applyProtection="1">
      <alignment horizontal="left"/>
    </xf>
    <xf numFmtId="0" fontId="0" fillId="9" borderId="0" xfId="0" applyFill="1" applyBorder="1" applyAlignment="1" applyProtection="1">
      <alignment horizontal="left"/>
      <protection locked="0"/>
    </xf>
    <xf numFmtId="3" fontId="2" fillId="0" borderId="1" xfId="2" applyNumberFormat="1" applyFont="1" applyFill="1" applyBorder="1" applyAlignment="1" applyProtection="1">
      <alignment horizontal="center" vertical="center"/>
      <protection locked="0"/>
    </xf>
    <xf numFmtId="3" fontId="2" fillId="0" borderId="9" xfId="2" applyNumberFormat="1" applyFont="1" applyFill="1" applyBorder="1" applyAlignment="1" applyProtection="1">
      <alignment horizontal="center" vertical="center"/>
      <protection locked="0"/>
    </xf>
    <xf numFmtId="0" fontId="3" fillId="6" borderId="1" xfId="2" applyFill="1" applyBorder="1" applyAlignment="1" applyProtection="1">
      <alignment vertical="center"/>
      <protection locked="0"/>
    </xf>
    <xf numFmtId="0" fontId="3" fillId="6" borderId="9" xfId="2" applyFill="1" applyBorder="1" applyAlignment="1" applyProtection="1">
      <alignment vertical="center"/>
      <protection locked="0"/>
    </xf>
    <xf numFmtId="0" fontId="3" fillId="6" borderId="5" xfId="2" applyFill="1" applyBorder="1" applyAlignment="1" applyProtection="1">
      <alignment vertical="center"/>
      <protection locked="0"/>
    </xf>
    <xf numFmtId="0" fontId="3" fillId="6" borderId="10" xfId="2" applyFill="1" applyBorder="1" applyAlignment="1" applyProtection="1">
      <alignment vertical="center"/>
      <protection locked="0"/>
    </xf>
    <xf numFmtId="0" fontId="10" fillId="9" borderId="0" xfId="2" applyFont="1" applyFill="1" applyAlignment="1" applyProtection="1">
      <alignment vertical="center"/>
    </xf>
    <xf numFmtId="0" fontId="8" fillId="9" borderId="0" xfId="2" quotePrefix="1" applyFont="1" applyFill="1" applyAlignment="1" applyProtection="1">
      <alignment horizontal="left" vertical="center"/>
    </xf>
    <xf numFmtId="0" fontId="8" fillId="5" borderId="0" xfId="2" quotePrefix="1" applyFont="1" applyFill="1" applyAlignment="1" applyProtection="1">
      <alignment horizontal="left" vertical="center"/>
    </xf>
    <xf numFmtId="0" fontId="10" fillId="5" borderId="0" xfId="2" applyFont="1" applyFill="1" applyAlignment="1" applyProtection="1">
      <alignment vertical="center"/>
    </xf>
    <xf numFmtId="0" fontId="4" fillId="3" borderId="27" xfId="2" applyFont="1" applyFill="1" applyBorder="1" applyAlignment="1" applyProtection="1">
      <alignment horizontal="center"/>
    </xf>
    <xf numFmtId="0" fontId="4" fillId="3" borderId="30" xfId="2" applyFont="1" applyFill="1" applyBorder="1" applyAlignment="1" applyProtection="1">
      <alignment horizontal="center"/>
    </xf>
    <xf numFmtId="0" fontId="4" fillId="3" borderId="28" xfId="2" applyFont="1" applyFill="1" applyBorder="1" applyAlignment="1" applyProtection="1">
      <alignment horizontal="center"/>
    </xf>
    <xf numFmtId="0" fontId="0" fillId="9" borderId="0" xfId="0" applyFill="1" applyBorder="1" applyProtection="1"/>
    <xf numFmtId="0" fontId="3" fillId="0" borderId="0" xfId="2"/>
    <xf numFmtId="0" fontId="3" fillId="3" borderId="1" xfId="2" applyFont="1" applyFill="1" applyBorder="1" applyAlignment="1" applyProtection="1">
      <alignment horizontal="center"/>
    </xf>
    <xf numFmtId="1" fontId="3" fillId="6" borderId="1" xfId="2" applyNumberFormat="1" applyFont="1" applyFill="1" applyBorder="1" applyProtection="1">
      <protection locked="0"/>
    </xf>
    <xf numFmtId="0" fontId="3" fillId="3" borderId="2" xfId="2" applyFont="1" applyFill="1" applyBorder="1" applyAlignment="1" applyProtection="1">
      <alignment horizontal="center"/>
    </xf>
    <xf numFmtId="0" fontId="3" fillId="0" borderId="4" xfId="2" applyBorder="1" applyProtection="1"/>
    <xf numFmtId="1" fontId="3" fillId="6" borderId="2" xfId="2" applyNumberFormat="1" applyFont="1" applyFill="1" applyBorder="1" applyProtection="1">
      <protection locked="0"/>
    </xf>
    <xf numFmtId="1" fontId="3" fillId="6" borderId="5" xfId="2" applyNumberFormat="1" applyFont="1" applyFill="1" applyBorder="1" applyProtection="1">
      <protection locked="0"/>
    </xf>
    <xf numFmtId="0" fontId="3" fillId="3" borderId="5" xfId="2" applyFont="1" applyFill="1" applyBorder="1" applyAlignment="1" applyProtection="1">
      <alignment horizontal="center"/>
    </xf>
    <xf numFmtId="0" fontId="3" fillId="0" borderId="6" xfId="2" applyBorder="1" applyProtection="1"/>
    <xf numFmtId="0" fontId="3" fillId="0" borderId="5" xfId="2" applyBorder="1" applyProtection="1"/>
    <xf numFmtId="0" fontId="0" fillId="0" borderId="5" xfId="0" applyBorder="1" applyProtection="1"/>
    <xf numFmtId="0" fontId="3" fillId="3" borderId="30" xfId="2" applyFont="1" applyFill="1" applyBorder="1" applyAlignment="1" applyProtection="1">
      <alignment horizontal="center" vertical="center" wrapText="1"/>
    </xf>
    <xf numFmtId="0" fontId="3" fillId="3" borderId="28" xfId="2" applyFont="1" applyFill="1" applyBorder="1" applyAlignment="1" applyProtection="1">
      <alignment horizontal="center" vertical="center" wrapText="1"/>
    </xf>
    <xf numFmtId="0" fontId="0" fillId="6" borderId="4" xfId="0" applyFill="1" applyBorder="1" applyAlignment="1" applyProtection="1">
      <alignment horizontal="center" vertical="center"/>
      <protection locked="0"/>
    </xf>
    <xf numFmtId="0" fontId="0" fillId="6" borderId="31" xfId="0" applyFill="1" applyBorder="1" applyAlignment="1" applyProtection="1">
      <alignment vertical="center"/>
      <protection locked="0"/>
    </xf>
    <xf numFmtId="0" fontId="0" fillId="6" borderId="7" xfId="0" applyFill="1" applyBorder="1" applyAlignment="1" applyProtection="1">
      <alignment horizontal="center" vertical="center"/>
      <protection locked="0"/>
    </xf>
    <xf numFmtId="0" fontId="0" fillId="6" borderId="22" xfId="0" applyFill="1" applyBorder="1" applyAlignment="1" applyProtection="1">
      <alignment vertical="center"/>
      <protection locked="0"/>
    </xf>
    <xf numFmtId="3" fontId="2" fillId="0" borderId="32" xfId="2" applyNumberFormat="1" applyFont="1" applyFill="1" applyBorder="1" applyAlignment="1" applyProtection="1">
      <alignment horizontal="center" vertical="center"/>
      <protection locked="0"/>
    </xf>
    <xf numFmtId="0" fontId="3" fillId="6" borderId="32" xfId="2" applyFill="1" applyBorder="1" applyAlignment="1" applyProtection="1">
      <alignment vertical="center"/>
      <protection locked="0"/>
    </xf>
    <xf numFmtId="0" fontId="3" fillId="6" borderId="23" xfId="2" applyFill="1" applyBorder="1" applyAlignment="1" applyProtection="1">
      <alignment vertical="center"/>
      <protection locked="0"/>
    </xf>
    <xf numFmtId="0" fontId="17" fillId="8" borderId="32" xfId="1" applyFill="1" applyBorder="1" applyAlignment="1" applyProtection="1">
      <alignment horizontal="left" vertical="center"/>
      <protection locked="0"/>
    </xf>
    <xf numFmtId="14" fontId="2" fillId="8" borderId="23" xfId="0" applyNumberFormat="1" applyFont="1" applyFill="1" applyBorder="1" applyAlignment="1" applyProtection="1">
      <alignment horizontal="left" vertical="center"/>
      <protection locked="0"/>
    </xf>
    <xf numFmtId="0" fontId="17" fillId="8" borderId="1" xfId="1" applyFill="1" applyBorder="1" applyAlignment="1" applyProtection="1">
      <alignment horizontal="left" vertical="center"/>
      <protection locked="0"/>
    </xf>
    <xf numFmtId="14" fontId="2" fillId="8" borderId="5" xfId="0" applyNumberFormat="1" applyFont="1" applyFill="1" applyBorder="1" applyAlignment="1" applyProtection="1">
      <alignment horizontal="left" vertical="center"/>
      <protection locked="0"/>
    </xf>
    <xf numFmtId="0" fontId="17" fillId="8" borderId="9" xfId="1" applyFill="1" applyBorder="1" applyAlignment="1" applyProtection="1">
      <alignment horizontal="left" vertical="center"/>
      <protection locked="0"/>
    </xf>
    <xf numFmtId="0" fontId="0" fillId="8" borderId="0" xfId="0" applyFill="1" applyBorder="1" applyAlignment="1" applyProtection="1"/>
    <xf numFmtId="0" fontId="0" fillId="8" borderId="0" xfId="0" applyFill="1" applyAlignment="1" applyProtection="1"/>
    <xf numFmtId="0" fontId="3" fillId="8" borderId="17" xfId="0" applyFont="1" applyFill="1" applyBorder="1" applyAlignment="1" applyProtection="1">
      <alignment horizontal="left" vertical="top" wrapText="1" indent="1"/>
    </xf>
    <xf numFmtId="0" fontId="0" fillId="8" borderId="17" xfId="0" applyFill="1" applyBorder="1" applyAlignment="1" applyProtection="1">
      <alignment horizontal="left" vertical="top" wrapText="1" indent="1"/>
    </xf>
    <xf numFmtId="0" fontId="13" fillId="8" borderId="0" xfId="0" applyFont="1" applyFill="1" applyBorder="1" applyAlignment="1" applyProtection="1">
      <alignment horizontal="left"/>
    </xf>
    <xf numFmtId="0" fontId="13" fillId="8" borderId="0" xfId="0" applyFont="1" applyFill="1" applyAlignment="1" applyProtection="1"/>
    <xf numFmtId="0" fontId="3" fillId="8" borderId="0" xfId="0" applyFont="1" applyFill="1" applyBorder="1" applyAlignment="1" applyProtection="1">
      <alignment horizontal="left" vertical="top" wrapText="1" indent="1"/>
    </xf>
    <xf numFmtId="0" fontId="0" fillId="8" borderId="0" xfId="0" applyFill="1" applyAlignment="1" applyProtection="1">
      <alignment horizontal="left" vertical="top" wrapText="1" indent="1"/>
    </xf>
    <xf numFmtId="0" fontId="19" fillId="5" borderId="0" xfId="0" applyFont="1" applyFill="1" applyBorder="1" applyAlignment="1" applyProtection="1">
      <alignment horizontal="center" vertical="center"/>
    </xf>
    <xf numFmtId="0" fontId="20" fillId="5" borderId="0" xfId="0" applyFont="1" applyFill="1" applyAlignment="1" applyProtection="1">
      <alignment horizontal="center" vertical="center"/>
    </xf>
    <xf numFmtId="0" fontId="3" fillId="8" borderId="0" xfId="0" applyFont="1" applyFill="1" applyBorder="1" applyAlignment="1" applyProtection="1">
      <alignment horizontal="justify" vertical="center" wrapText="1"/>
    </xf>
    <xf numFmtId="0" fontId="3" fillId="8" borderId="0" xfId="0" applyFont="1" applyFill="1" applyBorder="1" applyAlignment="1" applyProtection="1">
      <alignment horizontal="justify" vertical="center"/>
    </xf>
    <xf numFmtId="0" fontId="13" fillId="8" borderId="0" xfId="0" applyFont="1" applyFill="1" applyBorder="1" applyAlignment="1" applyProtection="1"/>
    <xf numFmtId="0" fontId="3" fillId="8" borderId="0" xfId="0" applyFont="1" applyFill="1" applyBorder="1" applyAlignment="1" applyProtection="1"/>
    <xf numFmtId="0" fontId="3" fillId="8" borderId="0" xfId="0" applyFont="1" applyFill="1" applyBorder="1" applyAlignment="1" applyProtection="1">
      <alignment wrapText="1"/>
    </xf>
    <xf numFmtId="0" fontId="0" fillId="8" borderId="0" xfId="0" applyFill="1" applyAlignment="1" applyProtection="1">
      <alignment wrapText="1"/>
    </xf>
    <xf numFmtId="0" fontId="3" fillId="8" borderId="18" xfId="0" applyFont="1" applyFill="1" applyBorder="1" applyAlignment="1" applyProtection="1">
      <alignment horizontal="left" vertical="top" wrapText="1" indent="1"/>
    </xf>
    <xf numFmtId="0" fontId="0" fillId="8" borderId="18" xfId="0" applyFill="1" applyBorder="1" applyAlignment="1" applyProtection="1">
      <alignment horizontal="left" vertical="top" wrapText="1" indent="1"/>
    </xf>
    <xf numFmtId="0" fontId="3" fillId="3" borderId="3" xfId="0" applyFont="1" applyFill="1" applyBorder="1" applyAlignment="1" applyProtection="1">
      <alignment horizontal="right"/>
    </xf>
    <xf numFmtId="0" fontId="3" fillId="3" borderId="2" xfId="0" applyFont="1" applyFill="1" applyBorder="1" applyAlignment="1" applyProtection="1">
      <alignment horizontal="right"/>
    </xf>
    <xf numFmtId="0" fontId="3" fillId="8" borderId="0" xfId="0" applyFont="1" applyFill="1" applyBorder="1" applyAlignment="1" applyProtection="1">
      <alignment vertical="center" wrapText="1"/>
    </xf>
    <xf numFmtId="0" fontId="3" fillId="3" borderId="3" xfId="0" applyFont="1" applyFill="1" applyBorder="1" applyAlignment="1" applyProtection="1"/>
    <xf numFmtId="0" fontId="3" fillId="3" borderId="2" xfId="0" applyFont="1" applyFill="1" applyBorder="1" applyAlignment="1" applyProtection="1"/>
    <xf numFmtId="0" fontId="7" fillId="3" borderId="3" xfId="0" applyFont="1" applyFill="1" applyBorder="1" applyAlignment="1" applyProtection="1"/>
    <xf numFmtId="0" fontId="0" fillId="3" borderId="2" xfId="0" applyFill="1" applyBorder="1" applyAlignment="1" applyProtection="1"/>
    <xf numFmtId="0" fontId="3" fillId="8" borderId="33" xfId="0" applyFont="1" applyFill="1" applyBorder="1" applyAlignment="1" applyProtection="1">
      <alignment horizontal="left" vertical="top" indent="1"/>
    </xf>
    <xf numFmtId="0" fontId="0" fillId="8" borderId="0" xfId="0" applyFill="1" applyAlignment="1" applyProtection="1">
      <alignment horizontal="left" vertical="top" indent="1"/>
    </xf>
    <xf numFmtId="0" fontId="0" fillId="2" borderId="2" xfId="0" applyFill="1" applyBorder="1" applyAlignment="1" applyProtection="1">
      <alignment horizontal="center"/>
    </xf>
    <xf numFmtId="0" fontId="0" fillId="2" borderId="1" xfId="0" applyFill="1" applyBorder="1" applyAlignment="1" applyProtection="1">
      <alignment horizontal="center"/>
    </xf>
    <xf numFmtId="0" fontId="0" fillId="2" borderId="5" xfId="0" applyFill="1" applyBorder="1" applyAlignment="1" applyProtection="1">
      <alignment horizontal="center"/>
    </xf>
    <xf numFmtId="0" fontId="4" fillId="3" borderId="1" xfId="0" applyFont="1" applyFill="1" applyBorder="1" applyAlignment="1" applyProtection="1">
      <alignment vertical="center"/>
    </xf>
    <xf numFmtId="0" fontId="4" fillId="3" borderId="5" xfId="0" applyFont="1" applyFill="1" applyBorder="1" applyAlignment="1" applyProtection="1">
      <alignment vertical="center"/>
    </xf>
    <xf numFmtId="0" fontId="3" fillId="2" borderId="2" xfId="2" applyFill="1" applyBorder="1" applyAlignment="1" applyProtection="1">
      <alignment horizontal="center"/>
    </xf>
    <xf numFmtId="0" fontId="3" fillId="2" borderId="1" xfId="2" applyFill="1" applyBorder="1" applyAlignment="1" applyProtection="1">
      <alignment horizontal="center"/>
    </xf>
    <xf numFmtId="0" fontId="3" fillId="2" borderId="5" xfId="2" applyFill="1" applyBorder="1" applyAlignment="1" applyProtection="1">
      <alignment horizontal="center"/>
    </xf>
    <xf numFmtId="0" fontId="4" fillId="3" borderId="2" xfId="2" applyFont="1" applyFill="1" applyBorder="1" applyAlignment="1" applyProtection="1">
      <alignment horizontal="center" wrapText="1"/>
    </xf>
    <xf numFmtId="0" fontId="4" fillId="3" borderId="1" xfId="2" applyFont="1" applyFill="1" applyBorder="1" applyAlignment="1" applyProtection="1">
      <alignment horizontal="center"/>
    </xf>
    <xf numFmtId="0" fontId="4" fillId="3" borderId="5" xfId="2" applyFont="1" applyFill="1" applyBorder="1" applyAlignment="1" applyProtection="1">
      <alignment horizontal="center"/>
    </xf>
    <xf numFmtId="0" fontId="3" fillId="3" borderId="4" xfId="0" applyFont="1" applyFill="1" applyBorder="1" applyAlignment="1" applyProtection="1">
      <protection locked="0"/>
    </xf>
    <xf numFmtId="0" fontId="0" fillId="0" borderId="4" xfId="0" applyBorder="1" applyAlignment="1" applyProtection="1">
      <protection locked="0"/>
    </xf>
    <xf numFmtId="0" fontId="4" fillId="3" borderId="2"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5" xfId="0" applyFont="1" applyFill="1" applyBorder="1" applyAlignment="1" applyProtection="1">
      <alignment horizontal="center" vertical="center"/>
    </xf>
    <xf numFmtId="0" fontId="4" fillId="3" borderId="34" xfId="0" applyFont="1" applyFill="1" applyBorder="1" applyAlignment="1" applyProtection="1">
      <alignment horizontal="center" vertical="center"/>
    </xf>
    <xf numFmtId="0" fontId="4" fillId="3" borderId="18" xfId="0" applyFont="1" applyFill="1" applyBorder="1" applyAlignment="1" applyProtection="1">
      <alignment horizontal="center" vertical="center"/>
    </xf>
    <xf numFmtId="0" fontId="4" fillId="3" borderId="35" xfId="0" applyFont="1" applyFill="1" applyBorder="1" applyAlignment="1" applyProtection="1">
      <alignment horizontal="center" vertical="center"/>
    </xf>
    <xf numFmtId="0" fontId="4" fillId="3" borderId="2" xfId="0" applyFont="1" applyFill="1" applyBorder="1" applyAlignment="1" applyProtection="1">
      <alignment horizontal="center" wrapText="1"/>
    </xf>
    <xf numFmtId="0" fontId="4" fillId="3" borderId="1" xfId="0" applyFont="1" applyFill="1" applyBorder="1" applyAlignment="1" applyProtection="1">
      <alignment horizontal="center"/>
    </xf>
    <xf numFmtId="0" fontId="4" fillId="3" borderId="5" xfId="0" applyFont="1" applyFill="1" applyBorder="1" applyAlignment="1" applyProtection="1">
      <alignment horizontal="center"/>
    </xf>
    <xf numFmtId="0" fontId="4" fillId="2" borderId="1" xfId="0" applyFont="1" applyFill="1" applyBorder="1" applyAlignment="1" applyProtection="1"/>
    <xf numFmtId="0" fontId="4" fillId="2" borderId="5" xfId="0" applyFont="1" applyFill="1" applyBorder="1" applyAlignment="1" applyProtection="1"/>
    <xf numFmtId="0" fontId="0" fillId="2" borderId="16" xfId="0" applyFill="1" applyBorder="1" applyAlignment="1" applyProtection="1">
      <alignment horizontal="center"/>
    </xf>
    <xf numFmtId="0" fontId="3" fillId="3" borderId="1" xfId="2" applyFont="1" applyFill="1" applyBorder="1" applyAlignment="1" applyProtection="1">
      <alignment horizontal="center" vertical="center" wrapText="1"/>
    </xf>
    <xf numFmtId="0" fontId="3" fillId="0" borderId="1" xfId="2" applyBorder="1" applyAlignment="1" applyProtection="1">
      <alignment vertical="center" wrapText="1"/>
    </xf>
    <xf numFmtId="0" fontId="3" fillId="3" borderId="1" xfId="0" applyFont="1" applyFill="1" applyBorder="1" applyAlignment="1" applyProtection="1">
      <alignment horizontal="center" vertical="center" wrapText="1"/>
    </xf>
    <xf numFmtId="0" fontId="0" fillId="0" borderId="1" xfId="0" applyBorder="1" applyAlignment="1" applyProtection="1">
      <alignment vertical="center" wrapText="1"/>
    </xf>
    <xf numFmtId="0" fontId="0" fillId="3" borderId="1" xfId="0" applyFill="1" applyBorder="1" applyAlignment="1" applyProtection="1">
      <alignment horizontal="center" vertical="center" wrapText="1"/>
    </xf>
    <xf numFmtId="0" fontId="3" fillId="3" borderId="18" xfId="0" applyFont="1" applyFill="1" applyBorder="1" applyAlignment="1" applyProtection="1"/>
    <xf numFmtId="0" fontId="0" fillId="3" borderId="1" xfId="0" applyFill="1" applyBorder="1" applyAlignment="1" applyProtection="1">
      <alignment horizontal="left" vertical="center" wrapText="1"/>
    </xf>
    <xf numFmtId="0" fontId="0" fillId="0" borderId="1" xfId="0" applyBorder="1" applyAlignment="1" applyProtection="1">
      <alignment horizontal="left" vertical="center" wrapText="1"/>
    </xf>
    <xf numFmtId="0" fontId="3" fillId="3" borderId="1" xfId="0" applyFont="1" applyFill="1" applyBorder="1" applyAlignment="1" applyProtection="1">
      <alignment horizontal="left" vertical="center" wrapText="1"/>
    </xf>
    <xf numFmtId="0" fontId="3" fillId="3" borderId="2" xfId="0" applyFont="1" applyFill="1" applyBorder="1" applyAlignment="1" applyProtection="1">
      <alignment horizontal="center"/>
    </xf>
    <xf numFmtId="0" fontId="3" fillId="3" borderId="1" xfId="0" applyFont="1" applyFill="1" applyBorder="1" applyAlignment="1" applyProtection="1">
      <alignment horizontal="center"/>
    </xf>
    <xf numFmtId="0" fontId="4" fillId="3" borderId="3" xfId="0" applyFont="1" applyFill="1" applyBorder="1" applyAlignment="1" applyProtection="1">
      <alignment horizontal="center"/>
    </xf>
    <xf numFmtId="0" fontId="4" fillId="3" borderId="18" xfId="0" applyFont="1" applyFill="1" applyBorder="1" applyAlignment="1" applyProtection="1">
      <alignment horizontal="center"/>
    </xf>
    <xf numFmtId="0" fontId="4" fillId="0" borderId="2" xfId="0" applyFont="1" applyBorder="1" applyAlignment="1" applyProtection="1"/>
    <xf numFmtId="0" fontId="0" fillId="0" borderId="18" xfId="0" applyBorder="1"/>
    <xf numFmtId="0" fontId="0" fillId="0" borderId="2" xfId="0" applyBorder="1"/>
    <xf numFmtId="0" fontId="4" fillId="3" borderId="3" xfId="0" applyFont="1" applyFill="1" applyBorder="1" applyAlignment="1">
      <alignment horizontal="center"/>
    </xf>
    <xf numFmtId="0" fontId="4" fillId="3" borderId="18" xfId="0" applyFont="1" applyFill="1" applyBorder="1" applyAlignment="1">
      <alignment horizontal="center"/>
    </xf>
    <xf numFmtId="0" fontId="4" fillId="3" borderId="2" xfId="0" applyFont="1" applyFill="1" applyBorder="1" applyAlignment="1">
      <alignment horizontal="center"/>
    </xf>
    <xf numFmtId="0" fontId="3" fillId="3" borderId="37" xfId="2" applyFont="1" applyFill="1" applyBorder="1" applyAlignment="1" applyProtection="1">
      <alignment horizontal="center" vertical="center" wrapText="1"/>
    </xf>
    <xf numFmtId="0" fontId="3" fillId="0" borderId="4" xfId="2" applyBorder="1"/>
    <xf numFmtId="3" fontId="4" fillId="2" borderId="3" xfId="0" applyNumberFormat="1" applyFont="1" applyFill="1" applyBorder="1" applyAlignment="1" applyProtection="1"/>
    <xf numFmtId="0" fontId="0" fillId="0" borderId="2" xfId="0" applyBorder="1" applyAlignment="1" applyProtection="1"/>
    <xf numFmtId="0" fontId="2" fillId="3" borderId="3" xfId="0" applyFont="1" applyFill="1" applyBorder="1" applyAlignment="1" applyProtection="1">
      <alignment horizontal="center"/>
    </xf>
    <xf numFmtId="0" fontId="2" fillId="3" borderId="2" xfId="0" applyFont="1" applyFill="1" applyBorder="1" applyAlignment="1" applyProtection="1">
      <alignment horizontal="center"/>
    </xf>
    <xf numFmtId="0" fontId="2" fillId="3" borderId="3" xfId="0" applyFont="1" applyFill="1" applyBorder="1" applyAlignment="1" applyProtection="1">
      <alignment horizontal="center" wrapText="1"/>
    </xf>
    <xf numFmtId="0" fontId="2" fillId="0" borderId="18" xfId="0" applyFont="1" applyBorder="1"/>
    <xf numFmtId="0" fontId="2" fillId="0" borderId="2" xfId="0" applyFont="1" applyBorder="1"/>
    <xf numFmtId="0" fontId="3" fillId="3" borderId="36" xfId="0" applyFont="1" applyFill="1" applyBorder="1" applyAlignment="1" applyProtection="1">
      <alignment vertical="center"/>
    </xf>
    <xf numFmtId="0" fontId="0" fillId="0" borderId="21" xfId="0" applyBorder="1" applyAlignment="1">
      <alignment vertical="center"/>
    </xf>
    <xf numFmtId="0" fontId="3" fillId="3" borderId="36" xfId="0" applyFont="1" applyFill="1" applyBorder="1" applyAlignment="1" applyProtection="1">
      <alignment horizontal="center" vertical="center"/>
    </xf>
    <xf numFmtId="0" fontId="0" fillId="0" borderId="21" xfId="0" applyBorder="1" applyAlignment="1">
      <alignment horizontal="center" vertical="center"/>
    </xf>
    <xf numFmtId="0" fontId="0" fillId="3" borderId="3" xfId="0" applyFill="1" applyBorder="1" applyAlignment="1" applyProtection="1">
      <alignment horizontal="center"/>
    </xf>
    <xf numFmtId="0" fontId="0" fillId="3" borderId="18" xfId="0" applyFill="1" applyBorder="1" applyAlignment="1" applyProtection="1">
      <alignment horizontal="center"/>
    </xf>
    <xf numFmtId="0" fontId="0" fillId="3" borderId="2" xfId="0" applyFill="1" applyBorder="1" applyAlignment="1" applyProtection="1">
      <alignment horizontal="center"/>
    </xf>
    <xf numFmtId="0" fontId="3" fillId="3" borderId="37" xfId="0" applyFont="1" applyFill="1" applyBorder="1" applyAlignment="1" applyProtection="1">
      <alignment horizontal="center" vertical="center" wrapText="1"/>
    </xf>
    <xf numFmtId="0" fontId="0" fillId="0" borderId="38" xfId="0" applyBorder="1"/>
    <xf numFmtId="0" fontId="0" fillId="0" borderId="4" xfId="0" applyBorder="1"/>
    <xf numFmtId="0" fontId="3" fillId="3" borderId="3" xfId="0" applyFont="1" applyFill="1" applyBorder="1" applyAlignment="1" applyProtection="1">
      <alignment horizontal="center"/>
    </xf>
    <xf numFmtId="0" fontId="0" fillId="0" borderId="38" xfId="0" applyBorder="1" applyAlignment="1">
      <alignment vertical="center"/>
    </xf>
    <xf numFmtId="0" fontId="0" fillId="0" borderId="4" xfId="0" applyBorder="1" applyAlignment="1">
      <alignment vertical="center"/>
    </xf>
    <xf numFmtId="0" fontId="4" fillId="0" borderId="2" xfId="0" applyFont="1" applyBorder="1" applyAlignment="1"/>
    <xf numFmtId="0" fontId="3" fillId="3" borderId="36" xfId="0" applyFont="1" applyFill="1" applyBorder="1" applyAlignment="1" applyProtection="1">
      <alignment horizontal="center" vertical="center" wrapText="1"/>
    </xf>
    <xf numFmtId="0" fontId="2" fillId="3" borderId="1" xfId="0" applyFont="1" applyFill="1" applyBorder="1" applyAlignment="1" applyProtection="1">
      <alignment horizontal="center"/>
    </xf>
    <xf numFmtId="0" fontId="0" fillId="3" borderId="1" xfId="0" applyFill="1" applyBorder="1" applyAlignment="1" applyProtection="1">
      <alignment horizontal="center"/>
    </xf>
    <xf numFmtId="0" fontId="0" fillId="0" borderId="21" xfId="0" applyBorder="1" applyAlignment="1">
      <alignment horizontal="center" vertical="center" wrapText="1"/>
    </xf>
    <xf numFmtId="0" fontId="0" fillId="0" borderId="4" xfId="0" applyBorder="1" applyAlignment="1">
      <alignment horizontal="center" vertical="center" wrapText="1"/>
    </xf>
    <xf numFmtId="0" fontId="4" fillId="0" borderId="2" xfId="0" applyFont="1" applyBorder="1" applyAlignment="1">
      <alignment horizontal="center"/>
    </xf>
    <xf numFmtId="0" fontId="3" fillId="0" borderId="4" xfId="2" applyBorder="1" applyAlignment="1">
      <alignment horizontal="center" vertical="center" wrapText="1"/>
    </xf>
    <xf numFmtId="0" fontId="3" fillId="3" borderId="36" xfId="2" applyFont="1" applyFill="1" applyBorder="1" applyAlignment="1" applyProtection="1">
      <alignment horizontal="center" vertical="center"/>
    </xf>
    <xf numFmtId="0" fontId="3" fillId="0" borderId="21" xfId="2" applyBorder="1" applyAlignment="1">
      <alignment horizontal="center" vertical="center"/>
    </xf>
    <xf numFmtId="0" fontId="3" fillId="3" borderId="36" xfId="2" applyFont="1" applyFill="1" applyBorder="1" applyAlignment="1" applyProtection="1">
      <alignment horizontal="center" vertical="center" wrapText="1"/>
    </xf>
    <xf numFmtId="0" fontId="3" fillId="0" borderId="21" xfId="2" applyBorder="1" applyAlignment="1">
      <alignment horizontal="center" vertical="center" wrapText="1"/>
    </xf>
    <xf numFmtId="0" fontId="3" fillId="3" borderId="1" xfId="0" applyFont="1" applyFill="1" applyBorder="1" applyAlignment="1" applyProtection="1"/>
    <xf numFmtId="0" fontId="3" fillId="3" borderId="37" xfId="0" applyFont="1" applyFill="1" applyBorder="1" applyAlignment="1" applyProtection="1">
      <alignment horizontal="center" vertical="center"/>
    </xf>
    <xf numFmtId="0" fontId="2" fillId="8" borderId="2" xfId="0" applyFont="1" applyFill="1" applyBorder="1" applyAlignment="1" applyProtection="1">
      <alignment horizontal="left" vertical="center"/>
      <protection locked="0"/>
    </xf>
    <xf numFmtId="0" fontId="2" fillId="8" borderId="1" xfId="0" applyFont="1" applyFill="1" applyBorder="1" applyAlignment="1" applyProtection="1">
      <alignment horizontal="left" vertical="center"/>
      <protection locked="0"/>
    </xf>
    <xf numFmtId="0" fontId="2" fillId="8" borderId="3" xfId="0" applyFont="1" applyFill="1" applyBorder="1" applyAlignment="1" applyProtection="1">
      <alignment horizontal="left" vertical="center"/>
      <protection locked="0"/>
    </xf>
    <xf numFmtId="0" fontId="2" fillId="0" borderId="1" xfId="2" applyFont="1" applyBorder="1" applyAlignment="1" applyProtection="1">
      <alignment horizontal="left" vertical="center"/>
      <protection locked="0"/>
    </xf>
    <xf numFmtId="0" fontId="2" fillId="0" borderId="3" xfId="2" applyFont="1" applyBorder="1" applyAlignment="1" applyProtection="1">
      <alignment horizontal="left" vertical="center"/>
      <protection locked="0"/>
    </xf>
    <xf numFmtId="0" fontId="3" fillId="3" borderId="47" xfId="2" applyFont="1" applyFill="1" applyBorder="1" applyAlignment="1" applyProtection="1">
      <alignment horizontal="center" vertical="center" wrapText="1"/>
    </xf>
    <xf numFmtId="0" fontId="3" fillId="3" borderId="11" xfId="2" applyFont="1" applyFill="1" applyBorder="1" applyAlignment="1" applyProtection="1">
      <alignment horizontal="center" vertical="center" wrapText="1"/>
    </xf>
    <xf numFmtId="0" fontId="2" fillId="0" borderId="32" xfId="2" applyFont="1" applyBorder="1" applyAlignment="1" applyProtection="1">
      <alignment horizontal="left" vertical="center"/>
      <protection locked="0"/>
    </xf>
    <xf numFmtId="0" fontId="2" fillId="0" borderId="49" xfId="2" applyFont="1" applyBorder="1" applyAlignment="1" applyProtection="1">
      <alignment horizontal="left" vertical="center"/>
      <protection locked="0"/>
    </xf>
    <xf numFmtId="0" fontId="2" fillId="8" borderId="49" xfId="0" applyFont="1" applyFill="1" applyBorder="1" applyAlignment="1" applyProtection="1">
      <alignment horizontal="left" vertical="center"/>
      <protection locked="0"/>
    </xf>
    <xf numFmtId="0" fontId="2" fillId="8" borderId="50" xfId="0" applyFont="1" applyFill="1" applyBorder="1" applyAlignment="1" applyProtection="1">
      <alignment horizontal="left" vertical="center"/>
      <protection locked="0"/>
    </xf>
    <xf numFmtId="0" fontId="0" fillId="8" borderId="0" xfId="0" applyFill="1" applyBorder="1" applyAlignment="1" applyProtection="1">
      <alignment wrapText="1"/>
    </xf>
    <xf numFmtId="0" fontId="21" fillId="3" borderId="26" xfId="0" applyFont="1" applyFill="1" applyBorder="1" applyAlignment="1" applyProtection="1">
      <alignment horizontal="center" vertical="center"/>
    </xf>
    <xf numFmtId="0" fontId="21" fillId="3" borderId="11" xfId="0" applyFont="1" applyFill="1" applyBorder="1" applyAlignment="1" applyProtection="1">
      <alignment horizontal="center" vertical="center"/>
    </xf>
    <xf numFmtId="0" fontId="21" fillId="3" borderId="12" xfId="0" applyFont="1" applyFill="1" applyBorder="1" applyAlignment="1" applyProtection="1">
      <alignment horizontal="center" vertical="center"/>
    </xf>
    <xf numFmtId="0" fontId="2" fillId="8" borderId="8" xfId="0" applyFont="1" applyFill="1" applyBorder="1" applyAlignment="1" applyProtection="1">
      <alignment horizontal="left" vertical="center" wrapText="1" indent="1"/>
      <protection locked="0"/>
    </xf>
    <xf numFmtId="0" fontId="2" fillId="0" borderId="9" xfId="0" applyFont="1" applyBorder="1" applyAlignment="1" applyProtection="1">
      <alignment horizontal="left" vertical="center" indent="1"/>
      <protection locked="0"/>
    </xf>
    <xf numFmtId="0" fontId="2" fillId="0" borderId="10" xfId="0" applyFont="1" applyBorder="1" applyAlignment="1" applyProtection="1">
      <alignment horizontal="left" vertical="center" indent="1"/>
      <protection locked="0"/>
    </xf>
    <xf numFmtId="0" fontId="3" fillId="9" borderId="0" xfId="0" applyFont="1" applyFill="1" applyBorder="1" applyAlignment="1" applyProtection="1">
      <alignment horizontal="left" wrapText="1"/>
    </xf>
    <xf numFmtId="0" fontId="3" fillId="8" borderId="0" xfId="0" applyFont="1" applyFill="1" applyBorder="1" applyAlignment="1" applyProtection="1">
      <alignment horizontal="left"/>
    </xf>
    <xf numFmtId="0" fontId="4" fillId="9" borderId="0" xfId="0" applyFont="1" applyFill="1" applyBorder="1" applyAlignment="1" applyProtection="1">
      <alignment wrapText="1"/>
    </xf>
    <xf numFmtId="0" fontId="0" fillId="0" borderId="0" xfId="0" applyBorder="1" applyAlignment="1">
      <alignment wrapText="1"/>
    </xf>
    <xf numFmtId="0" fontId="4" fillId="3" borderId="47" xfId="2" applyFont="1" applyFill="1" applyBorder="1" applyAlignment="1" applyProtection="1">
      <alignment horizontal="center"/>
    </xf>
    <xf numFmtId="0" fontId="3" fillId="3" borderId="11" xfId="2" applyFill="1" applyBorder="1" applyAlignment="1" applyProtection="1">
      <alignment horizontal="center"/>
    </xf>
    <xf numFmtId="0" fontId="4" fillId="3" borderId="30" xfId="2" applyFont="1" applyFill="1" applyBorder="1" applyAlignment="1" applyProtection="1">
      <alignment horizontal="center"/>
    </xf>
    <xf numFmtId="0" fontId="3" fillId="3" borderId="30" xfId="2" applyFill="1" applyBorder="1" applyAlignment="1" applyProtection="1">
      <alignment horizontal="center"/>
    </xf>
    <xf numFmtId="0" fontId="2" fillId="8" borderId="24" xfId="0" applyFont="1" applyFill="1" applyBorder="1" applyAlignment="1" applyProtection="1">
      <alignment horizontal="left" vertical="center"/>
      <protection locked="0"/>
    </xf>
    <xf numFmtId="0" fontId="2" fillId="8" borderId="9" xfId="0" applyFont="1" applyFill="1" applyBorder="1" applyAlignment="1" applyProtection="1">
      <alignment horizontal="left" vertical="center"/>
      <protection locked="0"/>
    </xf>
    <xf numFmtId="0" fontId="2" fillId="8" borderId="25" xfId="0" applyFont="1" applyFill="1" applyBorder="1" applyAlignment="1" applyProtection="1">
      <alignment horizontal="left" vertical="center"/>
      <protection locked="0"/>
    </xf>
    <xf numFmtId="0" fontId="2" fillId="8" borderId="32" xfId="0" applyFont="1" applyFill="1" applyBorder="1" applyAlignment="1" applyProtection="1">
      <alignment horizontal="left" vertical="center"/>
      <protection locked="0"/>
    </xf>
    <xf numFmtId="0" fontId="3" fillId="7" borderId="11" xfId="0" applyFont="1" applyFill="1" applyBorder="1" applyAlignment="1" applyProtection="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8" borderId="11" xfId="0" applyFill="1" applyBorder="1" applyAlignment="1" applyProtection="1"/>
    <xf numFmtId="0" fontId="2" fillId="8" borderId="22" xfId="0" applyFont="1" applyFill="1" applyBorder="1" applyAlignment="1" applyProtection="1">
      <alignment horizontal="left" vertical="center" wrapText="1" indent="1"/>
      <protection locked="0"/>
    </xf>
    <xf numFmtId="0" fontId="2" fillId="0" borderId="32" xfId="0" applyFont="1" applyBorder="1" applyAlignment="1" applyProtection="1">
      <alignment horizontal="left" vertical="center" indent="1"/>
      <protection locked="0"/>
    </xf>
    <xf numFmtId="0" fontId="2" fillId="0" borderId="23" xfId="0" applyFont="1" applyBorder="1" applyAlignment="1" applyProtection="1">
      <alignment horizontal="left" vertical="center" indent="1"/>
      <protection locked="0"/>
    </xf>
    <xf numFmtId="0" fontId="2" fillId="8" borderId="16" xfId="0" applyFont="1" applyFill="1" applyBorder="1" applyAlignment="1" applyProtection="1">
      <alignment horizontal="left" vertical="center" wrapText="1" indent="1"/>
      <protection locked="0"/>
    </xf>
    <xf numFmtId="0" fontId="2" fillId="0" borderId="1" xfId="0" applyFont="1" applyBorder="1" applyAlignment="1" applyProtection="1">
      <alignment horizontal="left" vertical="center" indent="1"/>
      <protection locked="0"/>
    </xf>
    <xf numFmtId="0" fontId="2" fillId="0" borderId="5" xfId="0" applyFont="1" applyBorder="1" applyAlignment="1" applyProtection="1">
      <alignment horizontal="left" vertical="center" indent="1"/>
      <protection locked="0"/>
    </xf>
    <xf numFmtId="0" fontId="8" fillId="8" borderId="0" xfId="0" applyFont="1" applyFill="1" applyBorder="1" applyAlignment="1" applyProtection="1"/>
    <xf numFmtId="0" fontId="3" fillId="8" borderId="0" xfId="0" applyFont="1" applyFill="1" applyBorder="1" applyAlignment="1" applyProtection="1">
      <alignment horizontal="left" wrapText="1" indent="3"/>
    </xf>
    <xf numFmtId="0" fontId="1" fillId="8" borderId="0" xfId="0" applyFont="1" applyFill="1" applyBorder="1" applyAlignment="1" applyProtection="1">
      <alignment horizontal="left" wrapText="1" indent="3"/>
    </xf>
    <xf numFmtId="0" fontId="1" fillId="8" borderId="0" xfId="0" applyFont="1" applyFill="1" applyBorder="1" applyAlignment="1" applyProtection="1">
      <alignment horizontal="left" indent="3"/>
    </xf>
    <xf numFmtId="0" fontId="4" fillId="8" borderId="0" xfId="0" applyFont="1" applyFill="1" applyBorder="1" applyAlignment="1" applyProtection="1"/>
    <xf numFmtId="179" fontId="3" fillId="8" borderId="17" xfId="0" applyNumberFormat="1" applyFont="1" applyFill="1" applyBorder="1" applyAlignment="1" applyProtection="1">
      <alignment horizontal="left" wrapText="1" indent="1"/>
      <protection locked="0"/>
    </xf>
    <xf numFmtId="179" fontId="0" fillId="0" borderId="17" xfId="0" applyNumberFormat="1" applyBorder="1" applyAlignment="1" applyProtection="1">
      <alignment horizontal="left" indent="1"/>
      <protection locked="0"/>
    </xf>
    <xf numFmtId="0" fontId="0" fillId="0" borderId="0" xfId="0" applyAlignment="1"/>
    <xf numFmtId="0" fontId="3" fillId="3" borderId="41" xfId="0" applyFont="1" applyFill="1" applyBorder="1" applyAlignment="1" applyProtection="1">
      <alignment horizontal="center" vertical="center" wrapText="1"/>
    </xf>
    <xf numFmtId="0" fontId="0" fillId="0" borderId="43" xfId="0" applyBorder="1" applyAlignment="1">
      <alignment horizontal="center" vertical="center" wrapText="1"/>
    </xf>
    <xf numFmtId="0" fontId="0" fillId="0" borderId="0" xfId="0" applyAlignment="1">
      <alignment horizontal="left"/>
    </xf>
    <xf numFmtId="0" fontId="3" fillId="8" borderId="17" xfId="0" applyFont="1" applyFill="1" applyBorder="1" applyAlignment="1" applyProtection="1">
      <alignment horizontal="left" wrapText="1" indent="1"/>
      <protection locked="0"/>
    </xf>
    <xf numFmtId="0" fontId="0" fillId="0" borderId="17" xfId="0" applyBorder="1" applyAlignment="1" applyProtection="1">
      <alignment horizontal="left" indent="1"/>
      <protection locked="0"/>
    </xf>
    <xf numFmtId="0" fontId="4" fillId="8" borderId="0" xfId="0" applyFont="1" applyFill="1" applyBorder="1" applyAlignment="1" applyProtection="1">
      <alignment horizontal="left" wrapText="1"/>
    </xf>
    <xf numFmtId="0" fontId="2" fillId="0" borderId="9" xfId="2" applyFont="1" applyBorder="1" applyAlignment="1" applyProtection="1">
      <alignment horizontal="left" vertical="center"/>
      <protection locked="0"/>
    </xf>
    <xf numFmtId="0" fontId="2" fillId="0" borderId="25" xfId="2" applyFont="1" applyBorder="1" applyAlignment="1" applyProtection="1">
      <alignment horizontal="left" vertical="center"/>
      <protection locked="0"/>
    </xf>
    <xf numFmtId="0" fontId="3" fillId="3" borderId="43" xfId="0" applyFont="1" applyFill="1" applyBorder="1" applyAlignment="1" applyProtection="1">
      <alignment horizontal="center" vertical="center" wrapText="1"/>
    </xf>
    <xf numFmtId="0" fontId="3" fillId="0" borderId="48" xfId="0" applyFont="1" applyBorder="1" applyAlignment="1">
      <alignment horizontal="center" vertical="center" wrapText="1"/>
    </xf>
    <xf numFmtId="0" fontId="3" fillId="8" borderId="0" xfId="0" applyFont="1" applyFill="1" applyBorder="1" applyAlignment="1" applyProtection="1">
      <alignment horizontal="justify" wrapText="1"/>
    </xf>
    <xf numFmtId="0" fontId="4" fillId="8" borderId="0" xfId="0" quotePrefix="1" applyFont="1" applyFill="1" applyAlignment="1" applyProtection="1">
      <alignment horizontal="left" vertical="justify" wrapText="1"/>
    </xf>
    <xf numFmtId="0" fontId="4" fillId="8" borderId="0" xfId="0" applyFont="1" applyFill="1" applyAlignment="1" applyProtection="1">
      <alignment vertical="justify" wrapText="1"/>
    </xf>
    <xf numFmtId="0" fontId="0" fillId="8" borderId="0" xfId="0" applyFill="1" applyBorder="1" applyAlignment="1" applyProtection="1">
      <alignment horizontal="left" wrapText="1" indent="3"/>
    </xf>
    <xf numFmtId="0" fontId="0" fillId="8" borderId="0" xfId="0" applyFill="1" applyBorder="1" applyAlignment="1" applyProtection="1">
      <alignment horizontal="left" indent="3"/>
    </xf>
    <xf numFmtId="0" fontId="0" fillId="0" borderId="42" xfId="0" applyBorder="1" applyAlignment="1">
      <alignment horizontal="center" vertical="center" wrapText="1"/>
    </xf>
    <xf numFmtId="0" fontId="8" fillId="5" borderId="0" xfId="2" applyFont="1" applyFill="1" applyAlignment="1" applyProtection="1">
      <alignment vertical="center" wrapText="1"/>
    </xf>
    <xf numFmtId="0" fontId="4" fillId="8" borderId="0" xfId="0" applyFont="1" applyFill="1" applyBorder="1" applyAlignment="1" applyProtection="1">
      <alignment horizontal="left" vertical="top" wrapText="1" indent="1"/>
    </xf>
    <xf numFmtId="0" fontId="0" fillId="8" borderId="0" xfId="0" applyFill="1" applyBorder="1" applyAlignment="1" applyProtection="1">
      <alignment horizontal="left" vertical="top" wrapText="1" indent="1"/>
    </xf>
    <xf numFmtId="0" fontId="20" fillId="5" borderId="0" xfId="0" applyFont="1" applyFill="1" applyAlignment="1" applyProtection="1">
      <alignment vertical="center"/>
    </xf>
    <xf numFmtId="0" fontId="1" fillId="8" borderId="0" xfId="0" applyFont="1" applyFill="1" applyBorder="1" applyAlignment="1" applyProtection="1">
      <alignment horizontal="justify" vertical="center"/>
    </xf>
    <xf numFmtId="0" fontId="0" fillId="8" borderId="0" xfId="0" applyFill="1" applyAlignment="1" applyProtection="1">
      <alignment horizontal="justify" vertical="center"/>
    </xf>
    <xf numFmtId="0" fontId="4" fillId="3" borderId="39" xfId="0" applyFont="1" applyFill="1" applyBorder="1" applyAlignment="1" applyProtection="1">
      <alignment horizontal="center" vertical="center" wrapText="1"/>
    </xf>
    <xf numFmtId="0" fontId="4" fillId="3" borderId="40" xfId="0" applyFont="1" applyFill="1" applyBorder="1" applyAlignment="1" applyProtection="1">
      <alignment horizontal="center" vertical="center" wrapText="1"/>
    </xf>
    <xf numFmtId="3" fontId="4" fillId="3" borderId="22" xfId="0" applyNumberFormat="1" applyFont="1" applyFill="1" applyBorder="1" applyAlignment="1" applyProtection="1">
      <alignment horizontal="center" vertical="center"/>
    </xf>
    <xf numFmtId="3" fontId="4" fillId="3" borderId="32" xfId="0" applyNumberFormat="1" applyFont="1" applyFill="1" applyBorder="1" applyAlignment="1" applyProtection="1">
      <alignment horizontal="center" vertical="center"/>
    </xf>
    <xf numFmtId="3" fontId="4" fillId="3" borderId="23" xfId="0" applyNumberFormat="1" applyFont="1" applyFill="1" applyBorder="1" applyAlignment="1" applyProtection="1">
      <alignment horizontal="center" vertical="center"/>
    </xf>
    <xf numFmtId="3" fontId="4" fillId="3" borderId="22" xfId="0" applyNumberFormat="1" applyFont="1" applyFill="1" applyBorder="1" applyAlignment="1" applyProtection="1">
      <alignment horizontal="center" vertical="center" wrapText="1"/>
    </xf>
    <xf numFmtId="0" fontId="0" fillId="3" borderId="23" xfId="0" applyFill="1" applyBorder="1" applyAlignment="1" applyProtection="1">
      <alignment horizontal="center" vertical="center" wrapText="1"/>
    </xf>
    <xf numFmtId="0" fontId="7" fillId="2" borderId="1" xfId="0" applyFont="1" applyFill="1" applyBorder="1" applyAlignment="1" applyProtection="1">
      <alignment horizontal="center" vertical="center"/>
    </xf>
    <xf numFmtId="0" fontId="2" fillId="8" borderId="36" xfId="0" applyFont="1" applyFill="1" applyBorder="1" applyAlignment="1" applyProtection="1">
      <alignment horizontal="left" vertical="top" wrapText="1"/>
      <protection locked="0"/>
    </xf>
    <xf numFmtId="0" fontId="2" fillId="8" borderId="53" xfId="0" applyFont="1" applyFill="1" applyBorder="1" applyAlignment="1" applyProtection="1">
      <alignment horizontal="left" vertical="top" wrapText="1"/>
      <protection locked="0"/>
    </xf>
    <xf numFmtId="0" fontId="2" fillId="8" borderId="54" xfId="0" applyFont="1" applyFill="1" applyBorder="1" applyAlignment="1" applyProtection="1">
      <alignment horizontal="left" vertical="top" wrapText="1"/>
      <protection locked="0"/>
    </xf>
    <xf numFmtId="0" fontId="2" fillId="8" borderId="33" xfId="0" applyFont="1" applyFill="1" applyBorder="1" applyAlignment="1" applyProtection="1">
      <alignment horizontal="left" vertical="top" wrapText="1"/>
      <protection locked="0"/>
    </xf>
    <xf numFmtId="0" fontId="2" fillId="8" borderId="0" xfId="0" applyFont="1" applyFill="1" applyBorder="1" applyAlignment="1" applyProtection="1">
      <alignment horizontal="left" vertical="top" wrapText="1"/>
      <protection locked="0"/>
    </xf>
    <xf numFmtId="0" fontId="2" fillId="8" borderId="55" xfId="0" applyFont="1" applyFill="1" applyBorder="1" applyAlignment="1" applyProtection="1">
      <alignment horizontal="left" vertical="top" wrapText="1"/>
      <protection locked="0"/>
    </xf>
    <xf numFmtId="0" fontId="2" fillId="8" borderId="21" xfId="0" applyFont="1" applyFill="1" applyBorder="1" applyAlignment="1" applyProtection="1">
      <alignment horizontal="left" vertical="top" wrapText="1"/>
      <protection locked="0"/>
    </xf>
    <xf numFmtId="0" fontId="2" fillId="8" borderId="17" xfId="0" applyFont="1" applyFill="1" applyBorder="1" applyAlignment="1" applyProtection="1">
      <alignment horizontal="left" vertical="top" wrapText="1"/>
      <protection locked="0"/>
    </xf>
    <xf numFmtId="0" fontId="2" fillId="8" borderId="6" xfId="0" applyFont="1" applyFill="1" applyBorder="1" applyAlignment="1" applyProtection="1">
      <alignment horizontal="left" vertical="top" wrapText="1"/>
      <protection locked="0"/>
    </xf>
    <xf numFmtId="0" fontId="8" fillId="5" borderId="0" xfId="0" applyFont="1" applyFill="1" applyAlignment="1" applyProtection="1"/>
    <xf numFmtId="0" fontId="9" fillId="8" borderId="1" xfId="0" applyFont="1" applyFill="1" applyBorder="1" applyAlignment="1" applyProtection="1">
      <alignment horizontal="left" vertical="center"/>
      <protection locked="0"/>
    </xf>
    <xf numFmtId="0" fontId="9" fillId="8" borderId="5" xfId="0" applyFont="1" applyFill="1" applyBorder="1" applyAlignment="1" applyProtection="1">
      <alignment horizontal="left" vertical="center"/>
      <protection locked="0"/>
    </xf>
    <xf numFmtId="0" fontId="9" fillId="8" borderId="9" xfId="0" applyFont="1" applyFill="1" applyBorder="1" applyAlignment="1" applyProtection="1">
      <alignment horizontal="left" vertical="center"/>
      <protection locked="0"/>
    </xf>
    <xf numFmtId="0" fontId="9" fillId="8" borderId="10" xfId="0" applyFont="1" applyFill="1" applyBorder="1" applyAlignment="1" applyProtection="1">
      <alignment horizontal="left" vertical="center"/>
      <protection locked="0"/>
    </xf>
    <xf numFmtId="0" fontId="0" fillId="0" borderId="53" xfId="0" applyBorder="1" applyAlignment="1">
      <alignment vertical="center"/>
    </xf>
    <xf numFmtId="0" fontId="0" fillId="0" borderId="2" xfId="0" applyBorder="1" applyAlignment="1">
      <alignment vertical="center"/>
    </xf>
    <xf numFmtId="0" fontId="3" fillId="3" borderId="3" xfId="0" applyFont="1" applyFill="1" applyBorder="1" applyAlignment="1" applyProtection="1">
      <alignment vertical="center"/>
    </xf>
    <xf numFmtId="0" fontId="0" fillId="0" borderId="18" xfId="0" applyBorder="1" applyAlignment="1">
      <alignment vertical="center"/>
    </xf>
    <xf numFmtId="0" fontId="22" fillId="0" borderId="3" xfId="0" applyFont="1" applyFill="1" applyBorder="1" applyAlignment="1" applyProtection="1">
      <alignment vertical="top" wrapText="1"/>
      <protection locked="0"/>
    </xf>
    <xf numFmtId="0" fontId="22" fillId="0" borderId="18" xfId="0" applyFont="1" applyBorder="1" applyAlignment="1" applyProtection="1">
      <alignment vertical="top" wrapText="1"/>
      <protection locked="0"/>
    </xf>
    <xf numFmtId="0" fontId="22" fillId="0" borderId="2" xfId="0" applyFont="1" applyBorder="1" applyAlignment="1" applyProtection="1">
      <alignment vertical="top" wrapText="1"/>
      <protection locked="0"/>
    </xf>
    <xf numFmtId="0" fontId="3" fillId="3" borderId="3" xfId="0" applyFont="1" applyFill="1" applyBorder="1" applyAlignment="1" applyProtection="1">
      <alignment vertical="center" wrapText="1"/>
    </xf>
    <xf numFmtId="0" fontId="0" fillId="0" borderId="18" xfId="0" applyBorder="1" applyAlignment="1">
      <alignment vertical="center" wrapText="1"/>
    </xf>
    <xf numFmtId="0" fontId="0" fillId="0" borderId="2" xfId="0" applyBorder="1" applyAlignment="1">
      <alignment vertical="center" wrapText="1"/>
    </xf>
    <xf numFmtId="0" fontId="3" fillId="3" borderId="36" xfId="0" applyFont="1" applyFill="1" applyBorder="1" applyAlignment="1" applyProtection="1">
      <alignment vertical="center" wrapText="1"/>
    </xf>
    <xf numFmtId="0" fontId="0" fillId="0" borderId="53" xfId="0" applyBorder="1" applyAlignment="1">
      <alignment vertical="center" wrapText="1"/>
    </xf>
    <xf numFmtId="0" fontId="0" fillId="0" borderId="54" xfId="0" applyBorder="1" applyAlignment="1">
      <alignment vertical="center" wrapText="1"/>
    </xf>
    <xf numFmtId="0" fontId="3" fillId="0" borderId="3" xfId="0" applyFont="1" applyFill="1" applyBorder="1" applyAlignment="1" applyProtection="1">
      <alignment vertical="top" wrapText="1"/>
      <protection locked="0"/>
    </xf>
    <xf numFmtId="0" fontId="3" fillId="0" borderId="18" xfId="0" applyFont="1" applyBorder="1" applyAlignment="1" applyProtection="1">
      <alignment vertical="top" wrapText="1"/>
      <protection locked="0"/>
    </xf>
    <xf numFmtId="0" fontId="3" fillId="0" borderId="2" xfId="0" applyFont="1" applyBorder="1" applyAlignment="1" applyProtection="1">
      <alignment vertical="top" wrapText="1"/>
      <protection locked="0"/>
    </xf>
    <xf numFmtId="0" fontId="4" fillId="0" borderId="0" xfId="0" applyFont="1" applyFill="1" applyBorder="1" applyAlignment="1" applyProtection="1">
      <alignment horizontal="left" vertical="center"/>
    </xf>
    <xf numFmtId="0" fontId="0" fillId="0" borderId="0" xfId="0" applyAlignment="1">
      <alignment horizontal="left" vertical="center"/>
    </xf>
    <xf numFmtId="0" fontId="9" fillId="8" borderId="4" xfId="0" applyFont="1" applyFill="1" applyBorder="1" applyAlignment="1" applyProtection="1">
      <alignment horizontal="left" vertical="center"/>
      <protection locked="0"/>
    </xf>
    <xf numFmtId="0" fontId="9" fillId="8" borderId="7" xfId="0" applyFont="1" applyFill="1" applyBorder="1" applyAlignment="1" applyProtection="1">
      <alignment horizontal="left" vertical="center"/>
      <protection locked="0"/>
    </xf>
    <xf numFmtId="0" fontId="2" fillId="8" borderId="4" xfId="0" applyFont="1" applyFill="1" applyBorder="1" applyAlignment="1" applyProtection="1">
      <alignment horizontal="left" vertical="center"/>
      <protection locked="0"/>
    </xf>
    <xf numFmtId="0" fontId="2" fillId="8" borderId="10" xfId="0" applyFont="1" applyFill="1" applyBorder="1" applyAlignment="1" applyProtection="1">
      <alignment horizontal="left" vertical="center"/>
      <protection locked="0"/>
    </xf>
    <xf numFmtId="0" fontId="2" fillId="8" borderId="5" xfId="0" applyFont="1" applyFill="1" applyBorder="1" applyAlignment="1" applyProtection="1">
      <alignment horizontal="left" vertical="center"/>
      <protection locked="0"/>
    </xf>
    <xf numFmtId="0" fontId="4" fillId="3" borderId="51" xfId="0" applyFont="1" applyFill="1" applyBorder="1" applyAlignment="1" applyProtection="1">
      <alignment horizontal="center" vertical="center"/>
    </xf>
    <xf numFmtId="0" fontId="4" fillId="3" borderId="51" xfId="0" applyFont="1" applyFill="1" applyBorder="1" applyAlignment="1" applyProtection="1">
      <alignment horizontal="center" vertical="center" wrapText="1"/>
    </xf>
    <xf numFmtId="0" fontId="3" fillId="3" borderId="51" xfId="0" applyFont="1" applyFill="1" applyBorder="1" applyAlignment="1" applyProtection="1">
      <alignment horizontal="center" vertical="center"/>
    </xf>
    <xf numFmtId="0" fontId="3" fillId="3" borderId="52" xfId="0" applyFont="1" applyFill="1" applyBorder="1" applyAlignment="1" applyProtection="1">
      <alignment horizontal="center" vertical="center"/>
    </xf>
    <xf numFmtId="0" fontId="2" fillId="8" borderId="7" xfId="0" applyFont="1" applyFill="1" applyBorder="1" applyAlignment="1" applyProtection="1">
      <alignment horizontal="left" vertical="center"/>
      <protection locked="0"/>
    </xf>
  </cellXfs>
  <cellStyles count="3">
    <cellStyle name="Hyperlink" xfId="1" builtinId="8"/>
    <cellStyle name="Normal" xfId="0" builtinId="0"/>
    <cellStyle name="Normal 2" xfId="2"/>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50</xdr:row>
          <xdr:rowOff>45720</xdr:rowOff>
        </xdr:from>
        <xdr:to>
          <xdr:col>5</xdr:col>
          <xdr:colOff>0</xdr:colOff>
          <xdr:row>51</xdr:row>
          <xdr:rowOff>99060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46A294FC-9244-4A1A-9C7F-459F0A013FC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Générer nouveaux formulaires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1783080</xdr:colOff>
          <xdr:row>50</xdr:row>
          <xdr:rowOff>45720</xdr:rowOff>
        </xdr:from>
        <xdr:to>
          <xdr:col>3</xdr:col>
          <xdr:colOff>0</xdr:colOff>
          <xdr:row>51</xdr:row>
          <xdr:rowOff>99060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322B4B7C-5BDB-443F-95F0-6F2CA7CF0901}"/>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Réinitialiser les formulaires</a:t>
              </a:r>
            </a:p>
          </xdr:txBody>
        </xdr:sp>
        <xdr:clientData fPrintsWithSheet="0"/>
      </xdr:twoCellAnchor>
    </mc:Choice>
    <mc:Fallback/>
  </mc:AlternateContent>
  <xdr:twoCellAnchor editAs="oneCell">
    <xdr:from>
      <xdr:col>1</xdr:col>
      <xdr:colOff>0</xdr:colOff>
      <xdr:row>0</xdr:row>
      <xdr:rowOff>26670</xdr:rowOff>
    </xdr:from>
    <xdr:to>
      <xdr:col>2</xdr:col>
      <xdr:colOff>274320</xdr:colOff>
      <xdr:row>0</xdr:row>
      <xdr:rowOff>361950</xdr:rowOff>
    </xdr:to>
    <xdr:pic>
      <xdr:nvPicPr>
        <xdr:cNvPr id="1231" name="Picture 4">
          <a:extLst>
            <a:ext uri="{FF2B5EF4-FFF2-40B4-BE49-F238E27FC236}">
              <a16:creationId xmlns:a16="http://schemas.microsoft.com/office/drawing/2014/main" id="{B93657E6-EE13-4309-A48D-18809EFFB5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7630" y="26670"/>
          <a:ext cx="135255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11430</xdr:colOff>
          <xdr:row>0</xdr:row>
          <xdr:rowOff>0</xdr:rowOff>
        </xdr:from>
        <xdr:to>
          <xdr:col>8</xdr:col>
          <xdr:colOff>11430</xdr:colOff>
          <xdr:row>0</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D963B95E-94A7-45AA-884A-391B2119E28D}"/>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xdr:colOff>
          <xdr:row>0</xdr:row>
          <xdr:rowOff>0</xdr:rowOff>
        </xdr:from>
        <xdr:to>
          <xdr:col>8</xdr:col>
          <xdr:colOff>0</xdr:colOff>
          <xdr:row>0</xdr:row>
          <xdr:rowOff>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1190B3C4-1426-4B52-B8AB-3C715B59B09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1017270</xdr:colOff>
      <xdr:row>0</xdr:row>
      <xdr:rowOff>0</xdr:rowOff>
    </xdr:to>
    <xdr:pic>
      <xdr:nvPicPr>
        <xdr:cNvPr id="6515" name="Picture 2" descr="WHO-EN-C-H.jpg">
          <a:extLst>
            <a:ext uri="{FF2B5EF4-FFF2-40B4-BE49-F238E27FC236}">
              <a16:creationId xmlns:a16="http://schemas.microsoft.com/office/drawing/2014/main" id="{3B1C21AE-BFEE-438E-8D70-8CC8AC8CAB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80" y="0"/>
          <a:ext cx="99822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0</xdr:colOff>
          <xdr:row>25</xdr:row>
          <xdr:rowOff>57150</xdr:rowOff>
        </xdr:from>
        <xdr:to>
          <xdr:col>8</xdr:col>
          <xdr:colOff>0</xdr:colOff>
          <xdr:row>26</xdr:row>
          <xdr:rowOff>228600</xdr:rowOff>
        </xdr:to>
        <xdr:sp macro="" textlink="">
          <xdr:nvSpPr>
            <xdr:cNvPr id="6199" name="Button 55" hidden="1">
              <a:extLst>
                <a:ext uri="{63B3BB69-23CF-44E3-9099-C40C66FF867C}">
                  <a14:compatExt spid="_x0000_s6199"/>
                </a:ext>
                <a:ext uri="{FF2B5EF4-FFF2-40B4-BE49-F238E27FC236}">
                  <a16:creationId xmlns:a16="http://schemas.microsoft.com/office/drawing/2014/main" id="{EB9A8336-808A-4422-B2B5-DE23FF1DF63E}"/>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Générer rapport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87630</xdr:colOff>
          <xdr:row>55</xdr:row>
          <xdr:rowOff>640080</xdr:rowOff>
        </xdr:from>
        <xdr:to>
          <xdr:col>1</xdr:col>
          <xdr:colOff>400050</xdr:colOff>
          <xdr:row>57</xdr:row>
          <xdr:rowOff>19050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DFD38922-8C80-45B0-889B-7DFF7590EA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87630</xdr:colOff>
          <xdr:row>56</xdr:row>
          <xdr:rowOff>129540</xdr:rowOff>
        </xdr:from>
        <xdr:to>
          <xdr:col>1</xdr:col>
          <xdr:colOff>400050</xdr:colOff>
          <xdr:row>58</xdr:row>
          <xdr:rowOff>26670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ED9DF009-CC1A-4C09-A870-C257FC460D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87630</xdr:colOff>
          <xdr:row>57</xdr:row>
          <xdr:rowOff>129540</xdr:rowOff>
        </xdr:from>
        <xdr:to>
          <xdr:col>1</xdr:col>
          <xdr:colOff>400050</xdr:colOff>
          <xdr:row>59</xdr:row>
          <xdr:rowOff>30480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304CA523-BE5F-4844-8D3F-CF9B505766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0</xdr:row>
      <xdr:rowOff>26670</xdr:rowOff>
    </xdr:from>
    <xdr:to>
      <xdr:col>1</xdr:col>
      <xdr:colOff>1352550</xdr:colOff>
      <xdr:row>0</xdr:row>
      <xdr:rowOff>361950</xdr:rowOff>
    </xdr:to>
    <xdr:pic>
      <xdr:nvPicPr>
        <xdr:cNvPr id="6516" name="Picture 16">
          <a:extLst>
            <a:ext uri="{FF2B5EF4-FFF2-40B4-BE49-F238E27FC236}">
              <a16:creationId xmlns:a16="http://schemas.microsoft.com/office/drawing/2014/main" id="{6DD64F4C-B467-4159-B352-6E2610F430E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630" y="26670"/>
          <a:ext cx="135255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11430</xdr:colOff>
          <xdr:row>83</xdr:row>
          <xdr:rowOff>76200</xdr:rowOff>
        </xdr:from>
        <xdr:to>
          <xdr:col>8</xdr:col>
          <xdr:colOff>11430</xdr:colOff>
          <xdr:row>84</xdr:row>
          <xdr:rowOff>160020</xdr:rowOff>
        </xdr:to>
        <xdr:sp macro="" textlink="">
          <xdr:nvSpPr>
            <xdr:cNvPr id="6467" name="Button 323" hidden="1">
              <a:extLst>
                <a:ext uri="{63B3BB69-23CF-44E3-9099-C40C66FF867C}">
                  <a14:compatExt spid="_x0000_s6467"/>
                </a:ext>
                <a:ext uri="{FF2B5EF4-FFF2-40B4-BE49-F238E27FC236}">
                  <a16:creationId xmlns:a16="http://schemas.microsoft.com/office/drawing/2014/main" id="{659436F0-B2AF-417D-B822-E6A31E71ADC5}"/>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Imprimer rapport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11430</xdr:colOff>
          <xdr:row>0</xdr:row>
          <xdr:rowOff>0</xdr:rowOff>
        </xdr:from>
        <xdr:to>
          <xdr:col>8</xdr:col>
          <xdr:colOff>11430</xdr:colOff>
          <xdr:row>0</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F63CE18E-4419-46B8-98E4-CFB0184B298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xdr:colOff>
          <xdr:row>0</xdr:row>
          <xdr:rowOff>0</xdr:rowOff>
        </xdr:from>
        <xdr:to>
          <xdr:col>8</xdr:col>
          <xdr:colOff>0</xdr:colOff>
          <xdr:row>0</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B536F09A-B097-45B8-8098-D16D549F364F}"/>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1017270</xdr:colOff>
      <xdr:row>0</xdr:row>
      <xdr:rowOff>0</xdr:rowOff>
    </xdr:to>
    <xdr:pic>
      <xdr:nvPicPr>
        <xdr:cNvPr id="3342" name="Picture 2" descr="WHO-EN-C-H.jpg">
          <a:extLst>
            <a:ext uri="{FF2B5EF4-FFF2-40B4-BE49-F238E27FC236}">
              <a16:creationId xmlns:a16="http://schemas.microsoft.com/office/drawing/2014/main" id="{891A16A2-D3D7-4B81-BE35-D28C83973C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80" y="0"/>
          <a:ext cx="99822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26670</xdr:rowOff>
    </xdr:from>
    <xdr:to>
      <xdr:col>1</xdr:col>
      <xdr:colOff>1352550</xdr:colOff>
      <xdr:row>0</xdr:row>
      <xdr:rowOff>361950</xdr:rowOff>
    </xdr:to>
    <xdr:pic>
      <xdr:nvPicPr>
        <xdr:cNvPr id="3343" name="Picture 8">
          <a:extLst>
            <a:ext uri="{FF2B5EF4-FFF2-40B4-BE49-F238E27FC236}">
              <a16:creationId xmlns:a16="http://schemas.microsoft.com/office/drawing/2014/main" id="{DD511073-EE1C-4C01-A8F7-8243E3D8085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630" y="26670"/>
          <a:ext cx="135255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hyperlink" Target="mailto:traore.oumou94@yahoo.fr" TargetMode="External"/><Relationship Id="rId7" Type="http://schemas.openxmlformats.org/officeDocument/2006/relationships/vmlDrawing" Target="../drawings/vmlDrawing7.vml"/><Relationship Id="rId12" Type="http://schemas.openxmlformats.org/officeDocument/2006/relationships/ctrlProp" Target="../ctrlProps/ctrlProp7.xml"/><Relationship Id="rId2" Type="http://schemas.openxmlformats.org/officeDocument/2006/relationships/hyperlink" Target="mailto:mottraore88@gmail.com" TargetMode="External"/><Relationship Id="rId1" Type="http://schemas.openxmlformats.org/officeDocument/2006/relationships/hyperlink" Target="mailto:traormahamadou18@gmail.com" TargetMode="External"/><Relationship Id="rId6" Type="http://schemas.openxmlformats.org/officeDocument/2006/relationships/drawing" Target="../drawings/drawing2.xml"/><Relationship Id="rId11" Type="http://schemas.openxmlformats.org/officeDocument/2006/relationships/ctrlProp" Target="../ctrlProps/ctrlProp6.xml"/><Relationship Id="rId5" Type="http://schemas.openxmlformats.org/officeDocument/2006/relationships/printerSettings" Target="../printerSettings/printerSettings7.bin"/><Relationship Id="rId15" Type="http://schemas.openxmlformats.org/officeDocument/2006/relationships/comments" Target="../comments7.xml"/><Relationship Id="rId10" Type="http://schemas.openxmlformats.org/officeDocument/2006/relationships/ctrlProp" Target="../ctrlProps/ctrlProp5.xml"/><Relationship Id="rId4" Type="http://schemas.openxmlformats.org/officeDocument/2006/relationships/hyperlink" Target="mailto:masdembele@yahoo.fr" TargetMode="Externa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mments" Target="../comments8.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50"/>
  <sheetViews>
    <sheetView showRowColHeaders="0" topLeftCell="A17" zoomScaleNormal="100" zoomScaleSheetLayoutView="100" workbookViewId="0">
      <selection activeCell="E33" sqref="E33"/>
    </sheetView>
  </sheetViews>
  <sheetFormatPr defaultColWidth="9.1640625" defaultRowHeight="12.3" x14ac:dyDescent="0.4"/>
  <cols>
    <col min="1" max="1" width="1.27734375" style="52" customWidth="1"/>
    <col min="2" max="2" width="15.71875" style="52" customWidth="1"/>
    <col min="3" max="3" width="56.27734375" style="52" customWidth="1"/>
    <col min="4" max="4" width="0.83203125" style="52" customWidth="1"/>
    <col min="5" max="5" width="31.5546875" style="89" customWidth="1"/>
    <col min="6" max="6" width="1.1640625" style="52" customWidth="1"/>
    <col min="7" max="16384" width="9.1640625" style="52"/>
  </cols>
  <sheetData>
    <row r="1" spans="1:10" ht="30" customHeight="1" x14ac:dyDescent="0.4">
      <c r="A1" s="54"/>
      <c r="B1" s="195"/>
      <c r="C1" s="196"/>
      <c r="D1" s="196"/>
      <c r="E1" s="196"/>
      <c r="F1" s="54"/>
    </row>
    <row r="2" spans="1:10" ht="25.2" x14ac:dyDescent="0.85">
      <c r="A2" s="82"/>
      <c r="B2" s="203" t="s">
        <v>24</v>
      </c>
      <c r="C2" s="204"/>
      <c r="D2" s="204"/>
      <c r="E2" s="204"/>
      <c r="F2" s="83"/>
      <c r="G2" s="83"/>
      <c r="H2" s="53"/>
      <c r="I2" s="54"/>
      <c r="J2" s="54"/>
    </row>
    <row r="3" spans="1:10" ht="3" customHeight="1" x14ac:dyDescent="0.4">
      <c r="A3" s="54"/>
      <c r="B3" s="195"/>
      <c r="C3" s="196"/>
      <c r="D3" s="196"/>
      <c r="E3" s="196"/>
      <c r="F3" s="54"/>
      <c r="G3" s="54"/>
      <c r="H3" s="54"/>
      <c r="I3" s="54"/>
      <c r="J3" s="54"/>
    </row>
    <row r="4" spans="1:10" ht="171" customHeight="1" x14ac:dyDescent="0.4">
      <c r="B4" s="205" t="s">
        <v>47</v>
      </c>
      <c r="C4" s="206"/>
      <c r="D4" s="206"/>
      <c r="E4" s="206"/>
      <c r="I4" s="54"/>
      <c r="J4" s="54"/>
    </row>
    <row r="5" spans="1:10" ht="3" customHeight="1" x14ac:dyDescent="0.5">
      <c r="B5" s="199"/>
      <c r="C5" s="200"/>
      <c r="D5" s="200"/>
      <c r="E5" s="200"/>
      <c r="I5" s="54"/>
      <c r="J5" s="54"/>
    </row>
    <row r="6" spans="1:10" ht="15" x14ac:dyDescent="0.5">
      <c r="B6" s="199" t="s">
        <v>25</v>
      </c>
      <c r="C6" s="200"/>
      <c r="D6" s="200"/>
      <c r="E6" s="200"/>
    </row>
    <row r="7" spans="1:10" ht="3" customHeight="1" x14ac:dyDescent="0.4">
      <c r="B7" s="84"/>
      <c r="C7" s="85"/>
      <c r="D7" s="85"/>
      <c r="E7" s="86"/>
    </row>
    <row r="8" spans="1:10" ht="40.5" customHeight="1" x14ac:dyDescent="0.4">
      <c r="B8" s="87" t="s">
        <v>15</v>
      </c>
      <c r="C8" s="197" t="s">
        <v>26</v>
      </c>
      <c r="D8" s="198"/>
      <c r="E8" s="198"/>
    </row>
    <row r="9" spans="1:10" ht="40.5" customHeight="1" x14ac:dyDescent="0.4">
      <c r="B9" s="87" t="s">
        <v>12</v>
      </c>
      <c r="C9" s="197" t="s">
        <v>27</v>
      </c>
      <c r="D9" s="198"/>
      <c r="E9" s="198"/>
    </row>
    <row r="10" spans="1:10" ht="40.5" customHeight="1" x14ac:dyDescent="0.4">
      <c r="B10" s="88" t="s">
        <v>133</v>
      </c>
      <c r="C10" s="211" t="s">
        <v>28</v>
      </c>
      <c r="D10" s="212"/>
      <c r="E10" s="212"/>
    </row>
    <row r="11" spans="1:10" ht="90.75" customHeight="1" x14ac:dyDescent="0.4">
      <c r="B11" s="87" t="s">
        <v>13</v>
      </c>
      <c r="C11" s="197" t="s">
        <v>48</v>
      </c>
      <c r="D11" s="198"/>
      <c r="E11" s="198"/>
    </row>
    <row r="12" spans="1:10" ht="3" customHeight="1" x14ac:dyDescent="0.4">
      <c r="B12" s="195"/>
      <c r="C12" s="196"/>
      <c r="D12" s="196"/>
      <c r="E12" s="196"/>
    </row>
    <row r="13" spans="1:10" ht="15" x14ac:dyDescent="0.5">
      <c r="B13" s="207" t="s">
        <v>29</v>
      </c>
      <c r="C13" s="200"/>
      <c r="D13" s="200"/>
      <c r="E13" s="200"/>
    </row>
    <row r="14" spans="1:10" ht="3" customHeight="1" x14ac:dyDescent="0.4">
      <c r="B14" s="195"/>
      <c r="C14" s="196"/>
      <c r="D14" s="196"/>
      <c r="E14" s="196"/>
    </row>
    <row r="15" spans="1:10" ht="38.25" customHeight="1" x14ac:dyDescent="0.4">
      <c r="B15" s="209" t="s">
        <v>30</v>
      </c>
      <c r="C15" s="210"/>
      <c r="D15" s="210"/>
      <c r="E15" s="210"/>
    </row>
    <row r="16" spans="1:10" ht="3" customHeight="1" x14ac:dyDescent="0.4">
      <c r="B16" s="195"/>
      <c r="C16" s="196"/>
      <c r="D16" s="196"/>
      <c r="E16" s="196"/>
    </row>
    <row r="17" spans="2:10" x14ac:dyDescent="0.4">
      <c r="B17" s="208" t="s">
        <v>31</v>
      </c>
      <c r="C17" s="196"/>
      <c r="D17" s="196"/>
      <c r="E17" s="196"/>
    </row>
    <row r="18" spans="2:10" ht="3" customHeight="1" x14ac:dyDescent="0.4">
      <c r="B18" s="195"/>
      <c r="C18" s="196"/>
      <c r="D18" s="196"/>
      <c r="E18" s="196"/>
    </row>
    <row r="19" spans="2:10" ht="12.75" customHeight="1" x14ac:dyDescent="0.4">
      <c r="B19" s="81"/>
      <c r="C19" s="201" t="s">
        <v>33</v>
      </c>
      <c r="D19" s="202"/>
      <c r="E19" s="202"/>
    </row>
    <row r="20" spans="2:10" ht="3" customHeight="1" x14ac:dyDescent="0.4">
      <c r="B20" s="195"/>
      <c r="C20" s="196"/>
      <c r="D20" s="196"/>
      <c r="E20" s="196"/>
    </row>
    <row r="21" spans="2:10" ht="12.75" customHeight="1" x14ac:dyDescent="0.4">
      <c r="B21" s="29"/>
      <c r="C21" s="201" t="s">
        <v>32</v>
      </c>
      <c r="D21" s="202"/>
      <c r="E21" s="202"/>
    </row>
    <row r="22" spans="2:10" ht="3" customHeight="1" x14ac:dyDescent="0.4">
      <c r="B22" s="195"/>
      <c r="C22" s="196"/>
      <c r="D22" s="196"/>
      <c r="E22" s="196"/>
    </row>
    <row r="23" spans="2:10" ht="12.75" customHeight="1" x14ac:dyDescent="0.4">
      <c r="B23" s="28"/>
      <c r="C23" s="201" t="s">
        <v>34</v>
      </c>
      <c r="D23" s="202"/>
      <c r="E23" s="202"/>
    </row>
    <row r="24" spans="2:10" ht="12.75" customHeight="1" x14ac:dyDescent="0.4">
      <c r="B24" s="54"/>
      <c r="C24" s="202"/>
      <c r="D24" s="202"/>
      <c r="E24" s="202"/>
    </row>
    <row r="25" spans="2:10" ht="3" customHeight="1" x14ac:dyDescent="0.4">
      <c r="B25" s="195"/>
      <c r="C25" s="196"/>
      <c r="D25" s="196"/>
      <c r="E25" s="196"/>
    </row>
    <row r="26" spans="2:10" ht="12.75" customHeight="1" x14ac:dyDescent="0.4">
      <c r="B26" s="30"/>
      <c r="C26" s="201" t="s">
        <v>35</v>
      </c>
      <c r="D26" s="202"/>
      <c r="E26" s="202"/>
    </row>
    <row r="27" spans="2:10" ht="12.75" customHeight="1" x14ac:dyDescent="0.4">
      <c r="B27" s="54"/>
      <c r="C27" s="202"/>
      <c r="D27" s="202"/>
      <c r="E27" s="202"/>
    </row>
    <row r="28" spans="2:10" ht="3" customHeight="1" x14ac:dyDescent="0.4">
      <c r="B28" s="195"/>
      <c r="C28" s="196"/>
      <c r="D28" s="196"/>
      <c r="E28" s="196"/>
    </row>
    <row r="29" spans="2:10" ht="12.75" customHeight="1" x14ac:dyDescent="0.4">
      <c r="B29" s="12"/>
      <c r="C29" s="220" t="s">
        <v>36</v>
      </c>
      <c r="D29" s="221"/>
      <c r="E29" s="221"/>
    </row>
    <row r="30" spans="2:10" ht="3" customHeight="1" x14ac:dyDescent="0.4">
      <c r="B30" s="195"/>
      <c r="C30" s="196"/>
      <c r="D30" s="196"/>
      <c r="E30" s="196"/>
    </row>
    <row r="31" spans="2:10" ht="15" x14ac:dyDescent="0.5">
      <c r="B31" s="207" t="s">
        <v>37</v>
      </c>
      <c r="C31" s="200"/>
      <c r="D31" s="200"/>
      <c r="E31" s="200"/>
    </row>
    <row r="32" spans="2:10" ht="3" customHeight="1" x14ac:dyDescent="0.4">
      <c r="I32" s="54"/>
      <c r="J32" s="54"/>
    </row>
    <row r="33" spans="2:5" ht="20.25" customHeight="1" x14ac:dyDescent="0.75">
      <c r="B33" s="218" t="s">
        <v>38</v>
      </c>
      <c r="C33" s="219"/>
      <c r="D33" s="90"/>
      <c r="E33" s="91" t="s">
        <v>164</v>
      </c>
    </row>
    <row r="34" spans="2:5" ht="3" customHeight="1" x14ac:dyDescent="0.4"/>
    <row r="35" spans="2:5" x14ac:dyDescent="0.4">
      <c r="B35" s="216" t="s">
        <v>39</v>
      </c>
      <c r="C35" s="217"/>
      <c r="E35" s="92">
        <v>2018</v>
      </c>
    </row>
    <row r="36" spans="2:5" ht="3" customHeight="1" x14ac:dyDescent="0.4"/>
    <row r="37" spans="2:5" x14ac:dyDescent="0.4">
      <c r="B37" s="216" t="s">
        <v>40</v>
      </c>
      <c r="C37" s="217"/>
      <c r="E37" s="129" t="s">
        <v>165</v>
      </c>
    </row>
    <row r="38" spans="2:5" ht="3" customHeight="1" x14ac:dyDescent="0.4"/>
    <row r="39" spans="2:5" x14ac:dyDescent="0.4">
      <c r="B39" s="216" t="s">
        <v>41</v>
      </c>
      <c r="C39" s="217"/>
      <c r="E39" s="129" t="s">
        <v>165</v>
      </c>
    </row>
    <row r="40" spans="2:5" ht="3" customHeight="1" x14ac:dyDescent="0.4"/>
    <row r="41" spans="2:5" x14ac:dyDescent="0.4">
      <c r="B41" s="216" t="s">
        <v>42</v>
      </c>
      <c r="C41" s="217"/>
      <c r="E41" s="129" t="s">
        <v>165</v>
      </c>
    </row>
    <row r="42" spans="2:5" ht="3" customHeight="1" x14ac:dyDescent="0.4"/>
    <row r="43" spans="2:5" x14ac:dyDescent="0.4">
      <c r="B43" s="216" t="s">
        <v>43</v>
      </c>
      <c r="C43" s="217"/>
      <c r="E43" s="129" t="s">
        <v>165</v>
      </c>
    </row>
    <row r="44" spans="2:5" ht="3" customHeight="1" x14ac:dyDescent="0.4"/>
    <row r="45" spans="2:5" x14ac:dyDescent="0.4">
      <c r="B45" s="216" t="s">
        <v>44</v>
      </c>
      <c r="C45" s="217"/>
      <c r="E45" s="92">
        <v>75</v>
      </c>
    </row>
    <row r="46" spans="2:5" ht="3" customHeight="1" x14ac:dyDescent="0.4"/>
    <row r="47" spans="2:5" ht="31.5" customHeight="1" x14ac:dyDescent="0.4">
      <c r="B47" s="215" t="s">
        <v>46</v>
      </c>
      <c r="C47" s="195"/>
      <c r="D47" s="195"/>
      <c r="E47" s="195"/>
    </row>
    <row r="48" spans="2:5" x14ac:dyDescent="0.4">
      <c r="B48" s="213" t="s">
        <v>53</v>
      </c>
      <c r="C48" s="214"/>
      <c r="E48" s="93">
        <v>0.14000000000000001</v>
      </c>
    </row>
    <row r="49" spans="2:5" x14ac:dyDescent="0.4">
      <c r="B49" s="213" t="s">
        <v>52</v>
      </c>
      <c r="C49" s="214"/>
      <c r="E49" s="93">
        <v>0.28000000000000003</v>
      </c>
    </row>
    <row r="50" spans="2:5" x14ac:dyDescent="0.4">
      <c r="B50" s="213" t="s">
        <v>45</v>
      </c>
      <c r="C50" s="214"/>
      <c r="E50" s="93">
        <v>0.51500000000000001</v>
      </c>
    </row>
  </sheetData>
  <sheetProtection password="CDCA" sheet="1" formatCells="0" formatColumns="0" formatRows="0" insertColumns="0" insertRows="0" insertHyperlinks="0" deleteColumns="0" deleteRows="0" sort="0" autoFilter="0" pivotTables="0"/>
  <mergeCells count="39">
    <mergeCell ref="B37:C37"/>
    <mergeCell ref="C23:E24"/>
    <mergeCell ref="C26:E27"/>
    <mergeCell ref="B28:E28"/>
    <mergeCell ref="B33:C33"/>
    <mergeCell ref="B30:E30"/>
    <mergeCell ref="B31:E31"/>
    <mergeCell ref="C29:E29"/>
    <mergeCell ref="B25:E25"/>
    <mergeCell ref="C10:E10"/>
    <mergeCell ref="B50:C50"/>
    <mergeCell ref="B47:E47"/>
    <mergeCell ref="B39:C39"/>
    <mergeCell ref="B41:C41"/>
    <mergeCell ref="B43:C43"/>
    <mergeCell ref="B48:C48"/>
    <mergeCell ref="B45:C45"/>
    <mergeCell ref="B49:C49"/>
    <mergeCell ref="B35:C35"/>
    <mergeCell ref="B1:E1"/>
    <mergeCell ref="B3:E3"/>
    <mergeCell ref="B2:E2"/>
    <mergeCell ref="B6:E6"/>
    <mergeCell ref="B4:E4"/>
    <mergeCell ref="B20:E20"/>
    <mergeCell ref="B13:E13"/>
    <mergeCell ref="B17:E17"/>
    <mergeCell ref="B15:E15"/>
    <mergeCell ref="B16:E16"/>
    <mergeCell ref="B22:E22"/>
    <mergeCell ref="C8:E8"/>
    <mergeCell ref="B12:E12"/>
    <mergeCell ref="B5:E5"/>
    <mergeCell ref="C11:E11"/>
    <mergeCell ref="C21:E21"/>
    <mergeCell ref="B18:E18"/>
    <mergeCell ref="B14:E14"/>
    <mergeCell ref="C19:E19"/>
    <mergeCell ref="C9:E9"/>
  </mergeCells>
  <phoneticPr fontId="2" type="noConversion"/>
  <dataValidations count="1">
    <dataValidation type="list" allowBlank="1" showInputMessage="1" showErrorMessage="1" sqref="E37 E39 E41 E43">
      <formula1>"Endémique,Endémique mais pas de CP,Non endémique"</formula1>
    </dataValidation>
  </dataValidations>
  <pageMargins left="0.32" right="0.27" top="0.43" bottom="0.37" header="0.39" footer="0.34"/>
  <pageSetup paperSize="9" scale="91"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91" r:id="rId4" name="Button 67">
              <controlPr defaultSize="0" print="0" autoFill="0" autoPict="0" macro="[0]!Sheet1.DISTRICT">
                <anchor moveWithCells="1" sizeWithCells="1">
                  <from>
                    <xdr:col>3</xdr:col>
                    <xdr:colOff>45720</xdr:colOff>
                    <xdr:row>50</xdr:row>
                    <xdr:rowOff>45720</xdr:rowOff>
                  </from>
                  <to>
                    <xdr:col>5</xdr:col>
                    <xdr:colOff>0</xdr:colOff>
                    <xdr:row>51</xdr:row>
                    <xdr:rowOff>99060</xdr:rowOff>
                  </to>
                </anchor>
              </controlPr>
            </control>
          </mc:Choice>
        </mc:AlternateContent>
        <mc:AlternateContent xmlns:mc="http://schemas.openxmlformats.org/markup-compatibility/2006">
          <mc:Choice Requires="x14">
            <control shapeId="1093" r:id="rId5" name="Button 69">
              <controlPr defaultSize="0" print="0" autoFill="0" autoPict="0" macro="[0]!Sheet1.DISTRICT_DEL">
                <anchor moveWithCells="1" sizeWithCells="1">
                  <from>
                    <xdr:col>2</xdr:col>
                    <xdr:colOff>1783080</xdr:colOff>
                    <xdr:row>50</xdr:row>
                    <xdr:rowOff>45720</xdr:rowOff>
                  </from>
                  <to>
                    <xdr:col>3</xdr:col>
                    <xdr:colOff>0</xdr:colOff>
                    <xdr:row>51</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1000"/>
  <sheetViews>
    <sheetView zoomScaleNormal="100" workbookViewId="0">
      <pane xSplit="3" ySplit="8" topLeftCell="T9" activePane="bottomRight" state="frozen"/>
      <selection pane="topRight" activeCell="D1" sqref="D1"/>
      <selection pane="bottomLeft" activeCell="A9" sqref="A9"/>
      <selection pane="bottomRight" activeCell="AD25" sqref="AD25:AF94"/>
    </sheetView>
  </sheetViews>
  <sheetFormatPr defaultColWidth="7.71875" defaultRowHeight="12.3" x14ac:dyDescent="0.4"/>
  <cols>
    <col min="1" max="1" width="18.27734375" style="1" customWidth="1"/>
    <col min="2" max="3" width="23.44140625" style="1" customWidth="1"/>
    <col min="4" max="4" width="12.5546875" style="1" customWidth="1"/>
    <col min="5" max="7" width="11.71875" style="1" customWidth="1"/>
    <col min="8" max="11" width="6.71875" style="1" customWidth="1"/>
    <col min="12" max="15" width="10.71875" style="1" customWidth="1"/>
    <col min="16" max="19" width="7.71875" style="1" customWidth="1"/>
    <col min="20" max="20" width="8.27734375" style="1" customWidth="1"/>
    <col min="21" max="29" width="7.71875" style="1"/>
    <col min="31" max="16384" width="7.71875" style="1"/>
  </cols>
  <sheetData>
    <row r="1" spans="1:25" ht="22.5" x14ac:dyDescent="0.75">
      <c r="A1" s="4" t="s">
        <v>49</v>
      </c>
      <c r="B1" s="5"/>
      <c r="C1" s="5"/>
      <c r="D1" s="5"/>
      <c r="E1" s="5"/>
      <c r="F1" s="5"/>
      <c r="G1" s="5"/>
      <c r="H1" s="5"/>
      <c r="I1" s="5"/>
      <c r="J1" s="5"/>
      <c r="K1" s="5"/>
      <c r="L1" s="5"/>
      <c r="M1" s="5"/>
      <c r="N1" s="5"/>
      <c r="O1" s="5"/>
      <c r="P1" s="5"/>
      <c r="Q1" s="5"/>
      <c r="R1" s="5"/>
      <c r="S1" s="5"/>
    </row>
    <row r="2" spans="1:25" x14ac:dyDescent="0.4">
      <c r="A2" s="130" t="s">
        <v>50</v>
      </c>
      <c r="B2" s="5"/>
      <c r="C2" s="5"/>
      <c r="D2" s="5"/>
      <c r="E2" s="5"/>
      <c r="F2" s="5"/>
      <c r="G2" s="5"/>
      <c r="H2" s="5"/>
      <c r="I2" s="5"/>
      <c r="J2" s="5"/>
      <c r="K2" s="5"/>
      <c r="L2" s="5"/>
      <c r="M2" s="5"/>
      <c r="N2" s="5"/>
      <c r="O2" s="5"/>
      <c r="P2" s="5"/>
      <c r="Q2" s="5"/>
      <c r="R2" s="5"/>
      <c r="S2" s="5"/>
    </row>
    <row r="3" spans="1:25" x14ac:dyDescent="0.4">
      <c r="A3" s="35"/>
      <c r="B3" s="35"/>
      <c r="C3" s="35"/>
      <c r="D3" s="35"/>
      <c r="E3" s="35"/>
      <c r="F3" s="35"/>
      <c r="G3" s="35"/>
      <c r="H3" s="35"/>
      <c r="I3" s="35"/>
      <c r="J3" s="35"/>
      <c r="K3" s="35"/>
      <c r="L3" s="35"/>
      <c r="M3" s="35"/>
      <c r="N3" s="35"/>
      <c r="O3" s="35"/>
      <c r="P3" s="35"/>
      <c r="Q3" s="35"/>
      <c r="R3" s="35"/>
      <c r="S3" s="35"/>
    </row>
    <row r="4" spans="1:25" x14ac:dyDescent="0.4">
      <c r="A4" s="244" t="s">
        <v>7</v>
      </c>
      <c r="B4" s="244"/>
      <c r="C4" s="245"/>
      <c r="D4" s="33">
        <f>SUM(D$9:D$1000)</f>
        <v>19747160</v>
      </c>
      <c r="E4" s="33">
        <f>SUM(E$9:E$1000)</f>
        <v>2764601</v>
      </c>
      <c r="F4" s="33">
        <f>SUM(F$9:F$1000)</f>
        <v>5529206</v>
      </c>
      <c r="G4" s="33">
        <f>SUM(G$9:G$1000)</f>
        <v>10169780</v>
      </c>
      <c r="H4" s="246"/>
      <c r="I4" s="223"/>
      <c r="J4" s="223"/>
      <c r="K4" s="224"/>
      <c r="L4" s="33">
        <f>SUM(L$9:L$1000)</f>
        <v>2618729</v>
      </c>
      <c r="M4" s="33">
        <f>SUM(M$9:M$1000)</f>
        <v>5894346</v>
      </c>
      <c r="N4" s="33">
        <f>SUM(N$9:N$1000)</f>
        <v>1503385</v>
      </c>
      <c r="O4" s="45">
        <f>SUM(O$9:O$1000)</f>
        <v>1480170.12</v>
      </c>
      <c r="P4" s="222"/>
      <c r="Q4" s="223"/>
      <c r="R4" s="223"/>
      <c r="S4" s="224"/>
      <c r="T4" s="227"/>
      <c r="U4" s="228"/>
      <c r="V4" s="228"/>
      <c r="W4" s="229"/>
    </row>
    <row r="5" spans="1:25" ht="2.25" customHeight="1" x14ac:dyDescent="0.4">
      <c r="A5" s="36"/>
      <c r="B5" s="36"/>
      <c r="C5" s="47"/>
      <c r="D5" s="46"/>
      <c r="E5" s="36"/>
      <c r="F5" s="36"/>
      <c r="G5" s="47"/>
      <c r="H5" s="46"/>
      <c r="I5" s="36"/>
      <c r="J5" s="36"/>
      <c r="K5" s="47"/>
      <c r="L5" s="46"/>
      <c r="M5" s="36"/>
      <c r="N5" s="36"/>
      <c r="O5" s="47"/>
      <c r="P5" s="46"/>
      <c r="Q5" s="36"/>
      <c r="R5" s="36"/>
      <c r="S5" s="180"/>
      <c r="T5" s="178"/>
      <c r="U5" s="174"/>
      <c r="V5" s="174"/>
      <c r="W5" s="179"/>
    </row>
    <row r="6" spans="1:25" ht="25.5" customHeight="1" x14ac:dyDescent="0.4">
      <c r="A6" s="225" t="s">
        <v>51</v>
      </c>
      <c r="B6" s="225"/>
      <c r="C6" s="226"/>
      <c r="D6" s="235" t="s">
        <v>1</v>
      </c>
      <c r="E6" s="236"/>
      <c r="F6" s="236"/>
      <c r="G6" s="237"/>
      <c r="H6" s="238" t="s">
        <v>60</v>
      </c>
      <c r="I6" s="239"/>
      <c r="J6" s="239"/>
      <c r="K6" s="240"/>
      <c r="L6" s="235" t="s">
        <v>61</v>
      </c>
      <c r="M6" s="236"/>
      <c r="N6" s="236"/>
      <c r="O6" s="237"/>
      <c r="P6" s="241" t="s">
        <v>62</v>
      </c>
      <c r="Q6" s="242"/>
      <c r="R6" s="242"/>
      <c r="S6" s="243"/>
      <c r="T6" s="230" t="s">
        <v>142</v>
      </c>
      <c r="U6" s="231"/>
      <c r="V6" s="231"/>
      <c r="W6" s="232"/>
    </row>
    <row r="7" spans="1:25" x14ac:dyDescent="0.4">
      <c r="A7" s="11" t="s">
        <v>54</v>
      </c>
      <c r="B7" s="11" t="s">
        <v>55</v>
      </c>
      <c r="C7" s="43" t="s">
        <v>0</v>
      </c>
      <c r="D7" s="34" t="s">
        <v>2</v>
      </c>
      <c r="E7" s="10" t="s">
        <v>57</v>
      </c>
      <c r="F7" s="10" t="s">
        <v>58</v>
      </c>
      <c r="G7" s="44" t="s">
        <v>56</v>
      </c>
      <c r="H7" s="34" t="s">
        <v>59</v>
      </c>
      <c r="I7" s="10" t="s">
        <v>3</v>
      </c>
      <c r="J7" s="10" t="s">
        <v>4</v>
      </c>
      <c r="K7" s="44" t="s">
        <v>5</v>
      </c>
      <c r="L7" s="34" t="s">
        <v>59</v>
      </c>
      <c r="M7" s="10" t="s">
        <v>3</v>
      </c>
      <c r="N7" s="10" t="s">
        <v>4</v>
      </c>
      <c r="O7" s="44" t="s">
        <v>5</v>
      </c>
      <c r="P7" s="34" t="s">
        <v>59</v>
      </c>
      <c r="Q7" s="10" t="s">
        <v>3</v>
      </c>
      <c r="R7" s="10" t="s">
        <v>4</v>
      </c>
      <c r="S7" s="44" t="s">
        <v>5</v>
      </c>
      <c r="T7" s="173" t="s">
        <v>59</v>
      </c>
      <c r="U7" s="171" t="s">
        <v>3</v>
      </c>
      <c r="V7" s="171" t="s">
        <v>4</v>
      </c>
      <c r="W7" s="177" t="s">
        <v>5</v>
      </c>
      <c r="X7" s="1" t="s">
        <v>293</v>
      </c>
      <c r="Y7" s="1" t="s">
        <v>294</v>
      </c>
    </row>
    <row r="8" spans="1:25" ht="3" customHeight="1" x14ac:dyDescent="0.4">
      <c r="A8" s="233"/>
      <c r="B8" s="234"/>
      <c r="C8" s="234"/>
      <c r="D8" s="234"/>
      <c r="E8" s="234"/>
      <c r="F8" s="234"/>
      <c r="G8" s="234"/>
      <c r="H8" s="234"/>
      <c r="I8" s="234"/>
      <c r="J8" s="234"/>
      <c r="K8" s="234"/>
      <c r="L8" s="234"/>
      <c r="M8" s="234"/>
      <c r="N8" s="234"/>
      <c r="O8" s="234"/>
      <c r="P8" s="234"/>
      <c r="Q8" s="234"/>
      <c r="R8" s="234"/>
      <c r="S8" s="234"/>
      <c r="T8" s="170"/>
      <c r="U8" s="170"/>
      <c r="V8" s="170"/>
      <c r="W8" s="170"/>
    </row>
    <row r="9" spans="1:25" s="17" customFormat="1" x14ac:dyDescent="0.4">
      <c r="A9" s="23" t="str">
        <f>IF(INTRO!$E$33&lt;&gt;0,INTRO!$E$33, " ")</f>
        <v>Mali</v>
      </c>
      <c r="B9" s="16" t="s">
        <v>166</v>
      </c>
      <c r="C9" s="38" t="s">
        <v>167</v>
      </c>
      <c r="D9" s="37">
        <v>172888</v>
      </c>
      <c r="E9" s="19">
        <f>IF(INTRO!$E$48="","",ROUND($D9*INTRO!$E$48,0))</f>
        <v>24204</v>
      </c>
      <c r="F9" s="19">
        <f>IF(INTRO!$E$49="","",ROUND($D9*INTRO!$E$49,0))</f>
        <v>48409</v>
      </c>
      <c r="G9" s="40">
        <f>IF(INTRO!$E$50="","",ROUND($D9*INTRO!$E$50,0))</f>
        <v>89037</v>
      </c>
      <c r="H9" s="39">
        <v>99</v>
      </c>
      <c r="I9" s="26">
        <v>1</v>
      </c>
      <c r="J9" s="26">
        <v>0</v>
      </c>
      <c r="K9" s="41">
        <v>1</v>
      </c>
      <c r="L9" s="99" t="str">
        <f>IF(INTRO!$E$37="Endémique",IF($H9&gt;0,IF($H9=4,"Inconnu",IF($H9=99,"Interrompu",$D9)),0),"Non requis")</f>
        <v>Interrompu</v>
      </c>
      <c r="M9" s="19">
        <f>IF(INTRO!$E$39="Endémique", IF($I9&gt;0, IF($I9=4,"Inconnu",IF($I9=99,"Interrompu",$D9)), 0),"Non requis")</f>
        <v>172888</v>
      </c>
      <c r="N9" s="13">
        <v>0</v>
      </c>
      <c r="O9" s="42">
        <f>IF(INTRO!$E$43="Endémique", IF(AND($K9&gt;0,$K9&lt;5), IF($K9=4,"Inconnu", IF($K9=1, $F9*0.33, IF($K9=2, $F9*0.5+$G9*0.2, SUM(F9:G9)))), 0),"Non requis")</f>
        <v>15974.970000000001</v>
      </c>
      <c r="P9" s="39"/>
      <c r="Q9" s="26">
        <v>1</v>
      </c>
      <c r="R9" s="26">
        <v>0</v>
      </c>
      <c r="S9" s="41">
        <v>1</v>
      </c>
      <c r="T9" s="175"/>
      <c r="U9" s="172" t="s">
        <v>243</v>
      </c>
      <c r="V9" s="172"/>
      <c r="W9" s="176"/>
      <c r="X9" s="17">
        <v>29982</v>
      </c>
      <c r="Y9" s="17" t="s">
        <v>167</v>
      </c>
    </row>
    <row r="10" spans="1:25" x14ac:dyDescent="0.4">
      <c r="A10" s="23" t="str">
        <f>IF(INTRO!$E$33&lt;&gt;0,INTRO!$E$33, " ")</f>
        <v>Mali</v>
      </c>
      <c r="B10" s="16" t="s">
        <v>166</v>
      </c>
      <c r="C10" s="38" t="s">
        <v>168</v>
      </c>
      <c r="D10" s="37">
        <v>141453</v>
      </c>
      <c r="E10" s="19">
        <f>IF(INTRO!$E$48="","",ROUND($D10*INTRO!$E$48,0))</f>
        <v>19803</v>
      </c>
      <c r="F10" s="19">
        <f>IF(INTRO!$E$49="","",ROUND($D10*INTRO!$E$49,0))</f>
        <v>39607</v>
      </c>
      <c r="G10" s="40">
        <f>IF(INTRO!$E$50="","",ROUND($D10*INTRO!$E$50,0))</f>
        <v>72848</v>
      </c>
      <c r="H10" s="39">
        <v>99</v>
      </c>
      <c r="I10" s="26">
        <v>1</v>
      </c>
      <c r="J10" s="26">
        <v>0</v>
      </c>
      <c r="K10" s="41">
        <v>1</v>
      </c>
      <c r="L10" s="99" t="str">
        <f>IF(INTRO!$E$37="Endémique",IF($H10&gt;0,IF($H10=4,"Inconnu",IF($H10=99,"Interrompu",$D10)),0),"Non requis")</f>
        <v>Interrompu</v>
      </c>
      <c r="M10" s="19">
        <f>IF(INTRO!$E$39="Endémique", IF($I10&gt;0, IF($I10=4,"Inconnu",IF($I10=99,"Interrompu",$D10)), 0),"Non requis")</f>
        <v>141453</v>
      </c>
      <c r="N10" s="13">
        <v>0</v>
      </c>
      <c r="O10" s="42">
        <f>IF(INTRO!$E$43="Endémique", IF(AND($K10&gt;0,$K10&lt;5), IF($K10=4,"Inconnu", IF($K10=1, $F10*0.33, IF($K10=2, $F10*0.5+$G10*0.2, SUM(F10:G10)))), 0),"Non requis")</f>
        <v>13070.310000000001</v>
      </c>
      <c r="P10" s="39"/>
      <c r="Q10" s="26">
        <v>1</v>
      </c>
      <c r="R10" s="26">
        <v>0</v>
      </c>
      <c r="S10" s="41">
        <v>1</v>
      </c>
      <c r="T10" s="175"/>
      <c r="U10" s="172" t="s">
        <v>243</v>
      </c>
      <c r="V10" s="172"/>
      <c r="W10" s="176"/>
      <c r="X10" s="17">
        <v>29988</v>
      </c>
      <c r="Y10" s="17" t="s">
        <v>168</v>
      </c>
    </row>
    <row r="11" spans="1:25" x14ac:dyDescent="0.4">
      <c r="A11" s="23" t="str">
        <f>IF(INTRO!$E$33&lt;&gt;0,INTRO!$E$33, " ")</f>
        <v>Mali</v>
      </c>
      <c r="B11" s="16" t="s">
        <v>166</v>
      </c>
      <c r="C11" s="38" t="s">
        <v>169</v>
      </c>
      <c r="D11" s="37">
        <v>284961</v>
      </c>
      <c r="E11" s="19">
        <f>IF(INTRO!$E$48="","",ROUND($D11*INTRO!$E$48,0))</f>
        <v>39895</v>
      </c>
      <c r="F11" s="19">
        <f>IF(INTRO!$E$49="","",ROUND($D11*INTRO!$E$49,0))</f>
        <v>79789</v>
      </c>
      <c r="G11" s="40">
        <f>IF(INTRO!$E$50="","",ROUND($D11*INTRO!$E$50,0))</f>
        <v>146755</v>
      </c>
      <c r="H11" s="39">
        <v>99</v>
      </c>
      <c r="I11" s="26">
        <v>0</v>
      </c>
      <c r="J11" s="26">
        <v>0</v>
      </c>
      <c r="K11" s="41">
        <v>1</v>
      </c>
      <c r="L11" s="99" t="str">
        <f>IF(INTRO!$E$37="Endémique",IF($H11&gt;0,IF($H11=4,"Inconnu",IF($H11=99,"Interrompu",$D11)),0),"Non requis")</f>
        <v>Interrompu</v>
      </c>
      <c r="M11" s="19">
        <f>IF(INTRO!$E$39="Endémique", IF($I11&gt;0, IF($I11=4,"Inconnu",IF($I11=99,"Interrompu",$D11)), 0),"Non requis")</f>
        <v>0</v>
      </c>
      <c r="N11" s="13">
        <v>0</v>
      </c>
      <c r="O11" s="42">
        <f>IF(INTRO!$E$43="Endémique", IF(AND($K11&gt;0,$K11&lt;5), IF($K11=4,"Inconnu", IF($K11=1, $F11*0.33, IF($K11=2, $F11*0.5+$G11*0.2, SUM(F11:G11)))), 0),"Non requis")</f>
        <v>26330.370000000003</v>
      </c>
      <c r="P11" s="39"/>
      <c r="Q11" s="26"/>
      <c r="R11" s="26">
        <v>0</v>
      </c>
      <c r="S11" s="41">
        <v>1</v>
      </c>
      <c r="T11" s="175"/>
      <c r="U11" s="172"/>
      <c r="V11" s="172"/>
      <c r="W11" s="176"/>
      <c r="X11" s="17">
        <v>29983</v>
      </c>
      <c r="Y11" s="17" t="s">
        <v>169</v>
      </c>
    </row>
    <row r="12" spans="1:25" x14ac:dyDescent="0.4">
      <c r="A12" s="23" t="str">
        <f>IF(INTRO!$E$33&lt;&gt;0,INTRO!$E$33, " ")</f>
        <v>Mali</v>
      </c>
      <c r="B12" s="16" t="s">
        <v>166</v>
      </c>
      <c r="C12" s="38" t="s">
        <v>166</v>
      </c>
      <c r="D12" s="37">
        <v>689836</v>
      </c>
      <c r="E12" s="19">
        <f>IF(INTRO!$E$48="","",ROUND($D12*INTRO!$E$48,0))</f>
        <v>96577</v>
      </c>
      <c r="F12" s="19">
        <f>IF(INTRO!$E$49="","",ROUND($D12*INTRO!$E$49,0))</f>
        <v>193154</v>
      </c>
      <c r="G12" s="40">
        <f>IF(INTRO!$E$50="","",ROUND($D12*INTRO!$E$50,0))</f>
        <v>355266</v>
      </c>
      <c r="H12" s="39">
        <v>99</v>
      </c>
      <c r="I12" s="26">
        <v>1</v>
      </c>
      <c r="J12" s="26">
        <v>0</v>
      </c>
      <c r="K12" s="41">
        <v>1</v>
      </c>
      <c r="L12" s="99" t="str">
        <f>IF(INTRO!$E$37="Endémique",IF($H12&gt;0,IF($H12=4,"Inconnu",IF($H12=99,"Interrompu",$D12)),0),"Non requis")</f>
        <v>Interrompu</v>
      </c>
      <c r="M12" s="19">
        <f>IF(INTRO!$E$39="Endémique", IF($I12&gt;0, IF($I12=4,"Inconnu",IF($I12=99,"Interrompu",$D12)), 0),"Non requis")</f>
        <v>689836</v>
      </c>
      <c r="N12" s="13">
        <v>0</v>
      </c>
      <c r="O12" s="42">
        <f>IF(INTRO!$E$43="Endémique", IF(AND($K12&gt;0,$K12&lt;5), IF($K12=4,"Inconnu", IF($K12=1, $F12*0.33, IF($K12=2, $F12*0.5+$G12*0.2, SUM(F12:G12)))), 0),"Non requis")</f>
        <v>63740.82</v>
      </c>
      <c r="P12" s="39"/>
      <c r="Q12" s="26">
        <v>1</v>
      </c>
      <c r="R12" s="26">
        <v>0</v>
      </c>
      <c r="S12" s="41">
        <v>1</v>
      </c>
      <c r="T12" s="175"/>
      <c r="U12" s="172" t="s">
        <v>243</v>
      </c>
      <c r="V12" s="172"/>
      <c r="W12" s="176"/>
      <c r="X12" s="17">
        <v>29984</v>
      </c>
      <c r="Y12" s="17" t="s">
        <v>166</v>
      </c>
    </row>
    <row r="13" spans="1:25" x14ac:dyDescent="0.4">
      <c r="A13" s="23" t="str">
        <f>IF(INTRO!$E$33&lt;&gt;0,INTRO!$E$33, " ")</f>
        <v>Mali</v>
      </c>
      <c r="B13" s="16" t="s">
        <v>166</v>
      </c>
      <c r="C13" s="38" t="s">
        <v>170</v>
      </c>
      <c r="D13" s="37">
        <v>260896</v>
      </c>
      <c r="E13" s="19">
        <f>IF(INTRO!$E$48="","",ROUND($D13*INTRO!$E$48,0))</f>
        <v>36525</v>
      </c>
      <c r="F13" s="19">
        <f>IF(INTRO!$E$49="","",ROUND($D13*INTRO!$E$49,0))</f>
        <v>73051</v>
      </c>
      <c r="G13" s="40">
        <f>IF(INTRO!$E$50="","",ROUND($D13*INTRO!$E$50,0))</f>
        <v>134361</v>
      </c>
      <c r="H13" s="39">
        <v>99</v>
      </c>
      <c r="I13" s="26">
        <v>1</v>
      </c>
      <c r="J13" s="26">
        <v>0</v>
      </c>
      <c r="K13" s="41">
        <v>1</v>
      </c>
      <c r="L13" s="99" t="str">
        <f>IF(INTRO!$E$37="Endémique",IF($H13&gt;0,IF($H13=4,"Inconnu",IF($H13=99,"Interrompu",$D13)),0),"Non requis")</f>
        <v>Interrompu</v>
      </c>
      <c r="M13" s="19">
        <f>IF(INTRO!$E$39="Endémique", IF($I13&gt;0, IF($I13=4,"Inconnu",IF($I13=99,"Interrompu",$D13)), 0),"Non requis")</f>
        <v>260896</v>
      </c>
      <c r="N13" s="13">
        <v>0</v>
      </c>
      <c r="O13" s="42">
        <f>IF(INTRO!$E$43="Endémique", IF(AND($K13&gt;0,$K13&lt;5), IF($K13=4,"Inconnu", IF($K13=1, $F13*0.33, IF($K13=2, $F13*0.5+$G13*0.2, SUM(F13:G13)))), 0),"Non requis")</f>
        <v>24106.83</v>
      </c>
      <c r="P13" s="39"/>
      <c r="Q13" s="26">
        <v>1</v>
      </c>
      <c r="R13" s="26">
        <v>0</v>
      </c>
      <c r="S13" s="41">
        <v>1</v>
      </c>
      <c r="T13" s="175"/>
      <c r="U13" s="172" t="s">
        <v>243</v>
      </c>
      <c r="V13" s="172"/>
      <c r="W13" s="176"/>
      <c r="X13" s="17">
        <v>29985</v>
      </c>
      <c r="Y13" s="17" t="s">
        <v>170</v>
      </c>
    </row>
    <row r="14" spans="1:25" x14ac:dyDescent="0.4">
      <c r="A14" s="23" t="str">
        <f>IF(INTRO!$E$33&lt;&gt;0,INTRO!$E$33, " ")</f>
        <v>Mali</v>
      </c>
      <c r="B14" s="16" t="s">
        <v>166</v>
      </c>
      <c r="C14" s="38" t="s">
        <v>171</v>
      </c>
      <c r="D14" s="37">
        <v>464377</v>
      </c>
      <c r="E14" s="19">
        <f>IF(INTRO!$E$48="","",ROUND($D14*INTRO!$E$48,0))</f>
        <v>65013</v>
      </c>
      <c r="F14" s="19">
        <f>IF(INTRO!$E$49="","",ROUND($D14*INTRO!$E$49,0))</f>
        <v>130026</v>
      </c>
      <c r="G14" s="40">
        <f>IF(INTRO!$E$50="","",ROUND($D14*INTRO!$E$50,0))</f>
        <v>239154</v>
      </c>
      <c r="H14" s="39">
        <v>99</v>
      </c>
      <c r="I14" s="26">
        <v>1</v>
      </c>
      <c r="J14" s="26">
        <v>0</v>
      </c>
      <c r="K14" s="41"/>
      <c r="L14" s="99" t="str">
        <f>IF(INTRO!$E$37="Endémique",IF($H14&gt;0,IF($H14=4,"Inconnu",IF($H14=99,"Interrompu",$D14)),0),"Non requis")</f>
        <v>Interrompu</v>
      </c>
      <c r="M14" s="19">
        <f>IF(INTRO!$E$39="Endémique", IF($I14&gt;0, IF($I14=4,"Inconnu",IF($I14=99,"Interrompu",$D14)), 0),"Non requis")</f>
        <v>464377</v>
      </c>
      <c r="N14" s="13">
        <v>0</v>
      </c>
      <c r="O14" s="42">
        <f>IF(INTRO!$E$43="Endémique", IF(AND($K14&gt;0,$K14&lt;5), IF($K14=4,"Inconnu", IF($K14=1, $F14*0.33, IF($K14=2, $F14*0.5+$G14*0.2, SUM(F14:G14)))), 0),"Non requis")</f>
        <v>0</v>
      </c>
      <c r="P14" s="39"/>
      <c r="Q14" s="26">
        <v>1</v>
      </c>
      <c r="R14" s="26">
        <v>0</v>
      </c>
      <c r="S14" s="41"/>
      <c r="T14" s="175"/>
      <c r="U14" s="172" t="s">
        <v>243</v>
      </c>
      <c r="V14" s="172"/>
      <c r="W14" s="176"/>
      <c r="X14" s="17">
        <v>29986</v>
      </c>
      <c r="Y14" s="17" t="s">
        <v>171</v>
      </c>
    </row>
    <row r="15" spans="1:25" x14ac:dyDescent="0.4">
      <c r="A15" s="23" t="str">
        <f>IF(INTRO!$E$33&lt;&gt;0,INTRO!$E$33, " ")</f>
        <v>Mali</v>
      </c>
      <c r="B15" s="16" t="s">
        <v>166</v>
      </c>
      <c r="C15" s="38" t="s">
        <v>172</v>
      </c>
      <c r="D15" s="37">
        <v>64841</v>
      </c>
      <c r="E15" s="19">
        <f>IF(INTRO!$E$48="","",ROUND($D15*INTRO!$E$48,0))</f>
        <v>9078</v>
      </c>
      <c r="F15" s="19">
        <f>IF(INTRO!$E$49="","",ROUND($D15*INTRO!$E$49,0))</f>
        <v>18155</v>
      </c>
      <c r="G15" s="40">
        <f>IF(INTRO!$E$50="","",ROUND($D15*INTRO!$E$50,0))</f>
        <v>33393</v>
      </c>
      <c r="H15" s="39">
        <v>99</v>
      </c>
      <c r="I15" s="26">
        <v>1</v>
      </c>
      <c r="J15" s="26">
        <v>0</v>
      </c>
      <c r="K15" s="41"/>
      <c r="L15" s="99" t="str">
        <f>IF(INTRO!$E$37="Endémique",IF($H15&gt;0,IF($H15=4,"Inconnu",IF($H15=99,"Interrompu",$D15)),0),"Non requis")</f>
        <v>Interrompu</v>
      </c>
      <c r="M15" s="19">
        <f>IF(INTRO!$E$39="Endémique", IF($I15&gt;0, IF($I15=4,"Inconnu",IF($I15=99,"Interrompu",$D15)), 0),"Non requis")</f>
        <v>64841</v>
      </c>
      <c r="N15" s="13">
        <v>0</v>
      </c>
      <c r="O15" s="42">
        <f>IF(INTRO!$E$43="Endémique", IF(AND($K15&gt;0,$K15&lt;5), IF($K15=4,"Inconnu", IF($K15=1, $F15*0.33, IF($K15=2, $F15*0.5+$G15*0.2, SUM(F15:G15)))), 0),"Non requis")</f>
        <v>0</v>
      </c>
      <c r="P15" s="39"/>
      <c r="Q15" s="26">
        <v>1</v>
      </c>
      <c r="R15" s="26">
        <v>0</v>
      </c>
      <c r="S15" s="41"/>
      <c r="T15" s="175"/>
      <c r="U15" s="172" t="s">
        <v>243</v>
      </c>
      <c r="V15" s="172"/>
      <c r="W15" s="176"/>
      <c r="X15" s="17">
        <v>30040</v>
      </c>
      <c r="Y15" s="17" t="s">
        <v>172</v>
      </c>
    </row>
    <row r="16" spans="1:25" x14ac:dyDescent="0.4">
      <c r="A16" s="23" t="str">
        <f>IF(INTRO!$E$33&lt;&gt;0,INTRO!$E$33, " ")</f>
        <v>Mali</v>
      </c>
      <c r="B16" s="16" t="s">
        <v>166</v>
      </c>
      <c r="C16" s="38" t="s">
        <v>173</v>
      </c>
      <c r="D16" s="37">
        <v>54485</v>
      </c>
      <c r="E16" s="19">
        <f>IF(INTRO!$E$48="","",ROUND($D16*INTRO!$E$48,0))</f>
        <v>7628</v>
      </c>
      <c r="F16" s="19">
        <f>IF(INTRO!$E$49="","",ROUND($D16*INTRO!$E$49,0))</f>
        <v>15256</v>
      </c>
      <c r="G16" s="40">
        <f>IF(INTRO!$E$50="","",ROUND($D16*INTRO!$E$50,0))</f>
        <v>28060</v>
      </c>
      <c r="H16" s="39">
        <v>99</v>
      </c>
      <c r="I16" s="26">
        <v>1</v>
      </c>
      <c r="J16" s="26">
        <v>0</v>
      </c>
      <c r="K16" s="41"/>
      <c r="L16" s="99" t="str">
        <f>IF(INTRO!$E$37="Endémique",IF($H16&gt;0,IF($H16=4,"Inconnu",IF($H16=99,"Interrompu",$D16)),0),"Non requis")</f>
        <v>Interrompu</v>
      </c>
      <c r="M16" s="19">
        <f>IF(INTRO!$E$39="Endémique", IF($I16&gt;0, IF($I16=4,"Inconnu",IF($I16=99,"Interrompu",$D16)), 0),"Non requis")</f>
        <v>54485</v>
      </c>
      <c r="N16" s="13">
        <v>0</v>
      </c>
      <c r="O16" s="42">
        <f>IF(INTRO!$E$43="Endémique", IF(AND($K16&gt;0,$K16&lt;5), IF($K16=4,"Inconnu", IF($K16=1, $F16*0.33, IF($K16=2, $F16*0.5+$G16*0.2, SUM(F16:G16)))), 0),"Non requis")</f>
        <v>0</v>
      </c>
      <c r="P16" s="39"/>
      <c r="Q16" s="26">
        <v>1</v>
      </c>
      <c r="R16" s="26">
        <v>0</v>
      </c>
      <c r="S16" s="41"/>
      <c r="T16" s="175"/>
      <c r="U16" s="172" t="s">
        <v>243</v>
      </c>
      <c r="V16" s="172"/>
      <c r="W16" s="176"/>
      <c r="X16" s="17">
        <v>30039</v>
      </c>
      <c r="Y16" s="17" t="s">
        <v>173</v>
      </c>
    </row>
    <row r="17" spans="1:32" x14ac:dyDescent="0.4">
      <c r="A17" s="23" t="str">
        <f>IF(INTRO!$E$33&lt;&gt;0,INTRO!$E$33, " ")</f>
        <v>Mali</v>
      </c>
      <c r="B17" s="16" t="s">
        <v>166</v>
      </c>
      <c r="C17" s="38" t="s">
        <v>174</v>
      </c>
      <c r="D17" s="37">
        <v>309720</v>
      </c>
      <c r="E17" s="19">
        <f>IF(INTRO!$E$48="","",ROUND($D17*INTRO!$E$48,0))</f>
        <v>43361</v>
      </c>
      <c r="F17" s="19">
        <f>IF(INTRO!$E$49="","",ROUND($D17*INTRO!$E$49,0))</f>
        <v>86722</v>
      </c>
      <c r="G17" s="40">
        <f>IF(INTRO!$E$50="","",ROUND($D17*INTRO!$E$50,0))</f>
        <v>159506</v>
      </c>
      <c r="H17" s="39">
        <v>99</v>
      </c>
      <c r="I17" s="26">
        <v>0</v>
      </c>
      <c r="J17" s="26">
        <v>0</v>
      </c>
      <c r="K17" s="41">
        <v>1</v>
      </c>
      <c r="L17" s="99" t="str">
        <f>IF(INTRO!$E$37="Endémique",IF($H17&gt;0,IF($H17=4,"Inconnu",IF($H17=99,"Interrompu",$D17)),0),"Non requis")</f>
        <v>Interrompu</v>
      </c>
      <c r="M17" s="19">
        <f>IF(INTRO!$E$39="Endémique", IF($I17&gt;0, IF($I17=4,"Inconnu",IF($I17=99,"Interrompu",$D17)), 0),"Non requis")</f>
        <v>0</v>
      </c>
      <c r="N17" s="13">
        <v>0</v>
      </c>
      <c r="O17" s="42">
        <f>IF(INTRO!$E$43="Endémique", IF(AND($K17&gt;0,$K17&lt;5), IF($K17=4,"Inconnu", IF($K17=1, $F17*0.33, IF($K17=2, $F17*0.5+$G17*0.2, SUM(F17:G17)))), 0),"Non requis")</f>
        <v>28618.260000000002</v>
      </c>
      <c r="P17" s="39"/>
      <c r="Q17" s="26"/>
      <c r="R17" s="26">
        <v>0</v>
      </c>
      <c r="S17" s="41">
        <v>1</v>
      </c>
      <c r="T17" s="175"/>
      <c r="U17" s="172"/>
      <c r="V17" s="172"/>
      <c r="W17" s="176"/>
      <c r="X17" s="17">
        <v>29987</v>
      </c>
      <c r="Y17" s="17" t="s">
        <v>174</v>
      </c>
    </row>
    <row r="18" spans="1:32" x14ac:dyDescent="0.4">
      <c r="A18" s="23" t="str">
        <f>IF(INTRO!$E$33&lt;&gt;0,INTRO!$E$33, " ")</f>
        <v>Mali</v>
      </c>
      <c r="B18" s="16" t="s">
        <v>166</v>
      </c>
      <c r="C18" s="38" t="s">
        <v>175</v>
      </c>
      <c r="D18" s="37">
        <v>239783</v>
      </c>
      <c r="E18" s="19">
        <f>IF(INTRO!$E$48="","",ROUND($D18*INTRO!$E$48,0))</f>
        <v>33570</v>
      </c>
      <c r="F18" s="19">
        <f>IF(INTRO!$E$49="","",ROUND($D18*INTRO!$E$49,0))</f>
        <v>67139</v>
      </c>
      <c r="G18" s="40">
        <f>IF(INTRO!$E$50="","",ROUND($D18*INTRO!$E$50,0))</f>
        <v>123488</v>
      </c>
      <c r="H18" s="39">
        <v>99</v>
      </c>
      <c r="I18" s="26">
        <v>0</v>
      </c>
      <c r="J18" s="26">
        <v>0</v>
      </c>
      <c r="K18" s="41"/>
      <c r="L18" s="99" t="str">
        <f>IF(INTRO!$E$37="Endémique",IF($H18&gt;0,IF($H18=4,"Inconnu",IF($H18=99,"Interrompu",$D18)),0),"Non requis")</f>
        <v>Interrompu</v>
      </c>
      <c r="M18" s="19">
        <f>IF(INTRO!$E$39="Endémique", IF($I18&gt;0, IF($I18=4,"Inconnu",IF($I18=99,"Interrompu",$D18)), 0),"Non requis")</f>
        <v>0</v>
      </c>
      <c r="N18" s="13">
        <v>0</v>
      </c>
      <c r="O18" s="42">
        <f>IF(INTRO!$E$43="Endémique", IF(AND($K18&gt;0,$K18&lt;5), IF($K18=4,"Inconnu", IF($K18=1, $F18*0.33, IF($K18=2, $F18*0.5+$G18*0.2, SUM(F18:G18)))), 0),"Non requis")</f>
        <v>0</v>
      </c>
      <c r="P18" s="39"/>
      <c r="Q18" s="26"/>
      <c r="R18" s="26">
        <v>0</v>
      </c>
      <c r="S18" s="41"/>
      <c r="T18" s="175"/>
      <c r="U18" s="172"/>
      <c r="V18" s="172"/>
      <c r="W18" s="176"/>
      <c r="X18" s="17">
        <v>29989</v>
      </c>
      <c r="Y18" s="17" t="s">
        <v>175</v>
      </c>
    </row>
    <row r="19" spans="1:32" x14ac:dyDescent="0.4">
      <c r="A19" s="23" t="str">
        <f>IF(INTRO!$E$33&lt;&gt;0,INTRO!$E$33, " ")</f>
        <v>Mali</v>
      </c>
      <c r="B19" s="16" t="s">
        <v>176</v>
      </c>
      <c r="C19" s="38" t="s">
        <v>177</v>
      </c>
      <c r="D19" s="37">
        <v>256470</v>
      </c>
      <c r="E19" s="19">
        <f>IF(INTRO!$E$48="","",ROUND($D19*INTRO!$E$48,0))</f>
        <v>35906</v>
      </c>
      <c r="F19" s="19">
        <f>IF(INTRO!$E$49="","",ROUND($D19*INTRO!$E$49,0))</f>
        <v>71812</v>
      </c>
      <c r="G19" s="40">
        <f>IF(INTRO!$E$50="","",ROUND($D19*INTRO!$E$50,0))</f>
        <v>132082</v>
      </c>
      <c r="H19" s="39">
        <v>99</v>
      </c>
      <c r="I19" s="26">
        <v>0</v>
      </c>
      <c r="J19" s="26">
        <v>0</v>
      </c>
      <c r="K19" s="41">
        <v>1</v>
      </c>
      <c r="L19" s="99" t="str">
        <f>IF(INTRO!$E$37="Endémique",IF($H19&gt;0,IF($H19=4,"Inconnu",IF($H19=99,"Interrompu",$D19)),0),"Non requis")</f>
        <v>Interrompu</v>
      </c>
      <c r="M19" s="19">
        <f>IF(INTRO!$E$39="Endémique", IF($I19&gt;0, IF($I19=4,"Inconnu",IF($I19=99,"Interrompu",$D19)), 0),"Non requis")</f>
        <v>0</v>
      </c>
      <c r="N19" s="13">
        <v>0</v>
      </c>
      <c r="O19" s="42">
        <f>IF(INTRO!$E$43="Endémique", IF(AND($K19&gt;0,$K19&lt;5), IF($K19=4,"Inconnu", IF($K19=1, $F19*0.33, IF($K19=2, $F19*0.5+$G19*0.2, SUM(F19:G19)))), 0),"Non requis")</f>
        <v>23697.960000000003</v>
      </c>
      <c r="P19" s="39"/>
      <c r="Q19" s="26"/>
      <c r="R19" s="26">
        <v>0</v>
      </c>
      <c r="S19" s="41">
        <v>1</v>
      </c>
      <c r="T19" s="175" t="s">
        <v>244</v>
      </c>
      <c r="U19" s="172"/>
      <c r="V19" s="172"/>
      <c r="W19" s="176"/>
      <c r="X19" s="17">
        <v>29994</v>
      </c>
      <c r="Y19" s="17" t="s">
        <v>177</v>
      </c>
    </row>
    <row r="20" spans="1:32" x14ac:dyDescent="0.4">
      <c r="A20" s="23" t="str">
        <f>IF(INTRO!$E$33&lt;&gt;0,INTRO!$E$33, " ")</f>
        <v>Mali</v>
      </c>
      <c r="B20" s="16" t="s">
        <v>176</v>
      </c>
      <c r="C20" s="38" t="s">
        <v>178</v>
      </c>
      <c r="D20" s="37">
        <v>357608</v>
      </c>
      <c r="E20" s="19">
        <f>IF(INTRO!$E$48="","",ROUND($D20*INTRO!$E$48,0))</f>
        <v>50065</v>
      </c>
      <c r="F20" s="19">
        <f>IF(INTRO!$E$49="","",ROUND($D20*INTRO!$E$49,0))</f>
        <v>100130</v>
      </c>
      <c r="G20" s="40">
        <f>IF(INTRO!$E$50="","",ROUND($D20*INTRO!$E$50,0))</f>
        <v>184168</v>
      </c>
      <c r="H20" s="39">
        <v>99</v>
      </c>
      <c r="I20" s="26">
        <v>1</v>
      </c>
      <c r="J20" s="26">
        <v>1</v>
      </c>
      <c r="K20" s="41"/>
      <c r="L20" s="99" t="str">
        <f>IF(INTRO!$E$37="Endémique",IF($H20&gt;0,IF($H20=4,"Inconnu",IF($H20=99,"Interrompu",$D20)),0),"Non requis")</f>
        <v>Interrompu</v>
      </c>
      <c r="M20" s="19">
        <f>IF(INTRO!$E$39="Endémique", IF($I20&gt;0, IF($I20=4,"Inconnu",IF($I20=99,"Interrompu",$D20)), 0),"Non requis")</f>
        <v>357608</v>
      </c>
      <c r="N20" s="13">
        <v>150195</v>
      </c>
      <c r="O20" s="42">
        <f>IF(INTRO!$E$43="Endémique", IF(AND($K20&gt;0,$K20&lt;5), IF($K20=4,"Inconnu", IF($K20=1, $F20*0.33, IF($K20=2, $F20*0.5+$G20*0.2, SUM(F20:G20)))), 0),"Non requis")</f>
        <v>0</v>
      </c>
      <c r="P20" s="39"/>
      <c r="Q20" s="26">
        <v>1</v>
      </c>
      <c r="R20" s="26">
        <v>1</v>
      </c>
      <c r="S20" s="41"/>
      <c r="T20" s="175" t="s">
        <v>244</v>
      </c>
      <c r="U20" s="172" t="s">
        <v>243</v>
      </c>
      <c r="V20" s="172"/>
      <c r="W20" s="176"/>
      <c r="X20" s="17">
        <v>29995</v>
      </c>
      <c r="Y20" s="17" t="s">
        <v>178</v>
      </c>
    </row>
    <row r="21" spans="1:32" x14ac:dyDescent="0.4">
      <c r="A21" s="23" t="str">
        <f>IF(INTRO!$E$33&lt;&gt;0,INTRO!$E$33, " ")</f>
        <v>Mali</v>
      </c>
      <c r="B21" s="16" t="s">
        <v>176</v>
      </c>
      <c r="C21" s="38" t="s">
        <v>179</v>
      </c>
      <c r="D21" s="37">
        <v>304629</v>
      </c>
      <c r="E21" s="19">
        <f>IF(INTRO!$E$48="","",ROUND($D21*INTRO!$E$48,0))</f>
        <v>42648</v>
      </c>
      <c r="F21" s="19">
        <f>IF(INTRO!$E$49="","",ROUND($D21*INTRO!$E$49,0))</f>
        <v>85296</v>
      </c>
      <c r="G21" s="40">
        <f>IF(INTRO!$E$50="","",ROUND($D21*INTRO!$E$50,0))</f>
        <v>156884</v>
      </c>
      <c r="H21" s="39">
        <v>99</v>
      </c>
      <c r="I21" s="26">
        <v>1</v>
      </c>
      <c r="J21" s="26">
        <v>0</v>
      </c>
      <c r="K21" s="41">
        <v>1</v>
      </c>
      <c r="L21" s="99" t="str">
        <f>IF(INTRO!$E$37="Endémique",IF($H21&gt;0,IF($H21=4,"Inconnu",IF($H21=99,"Interrompu",$D21)),0),"Non requis")</f>
        <v>Interrompu</v>
      </c>
      <c r="M21" s="19">
        <f>IF(INTRO!$E$39="Endémique", IF($I21&gt;0, IF($I21=4,"Inconnu",IF($I21=99,"Interrompu",$D21)), 0),"Non requis")</f>
        <v>304629</v>
      </c>
      <c r="N21" s="13">
        <v>0</v>
      </c>
      <c r="O21" s="42">
        <f>IF(INTRO!$E$43="Endémique", IF(AND($K21&gt;0,$K21&lt;5), IF($K21=4,"Inconnu", IF($K21=1, $F21*0.33, IF($K21=2, $F21*0.5+$G21*0.2, SUM(F21:G21)))), 0),"Non requis")</f>
        <v>28147.68</v>
      </c>
      <c r="P21" s="39"/>
      <c r="Q21" s="26">
        <v>1</v>
      </c>
      <c r="R21" s="26">
        <v>0</v>
      </c>
      <c r="S21" s="41">
        <v>1</v>
      </c>
      <c r="T21" s="175" t="s">
        <v>244</v>
      </c>
      <c r="U21" s="172" t="s">
        <v>243</v>
      </c>
      <c r="V21" s="172"/>
      <c r="W21" s="176"/>
      <c r="X21" s="17">
        <v>29996</v>
      </c>
      <c r="Y21" s="17" t="s">
        <v>179</v>
      </c>
    </row>
    <row r="22" spans="1:32" x14ac:dyDescent="0.4">
      <c r="A22" s="23" t="str">
        <f>IF(INTRO!$E$33&lt;&gt;0,INTRO!$E$33, " ")</f>
        <v>Mali</v>
      </c>
      <c r="B22" s="16" t="s">
        <v>176</v>
      </c>
      <c r="C22" s="38" t="s">
        <v>180</v>
      </c>
      <c r="D22" s="37">
        <v>392500</v>
      </c>
      <c r="E22" s="19">
        <f>IF(INTRO!$E$48="","",ROUND($D22*INTRO!$E$48,0))</f>
        <v>54950</v>
      </c>
      <c r="F22" s="19">
        <f>IF(INTRO!$E$49="","",ROUND($D22*INTRO!$E$49,0))</f>
        <v>109900</v>
      </c>
      <c r="G22" s="40">
        <f>IF(INTRO!$E$50="","",ROUND($D22*INTRO!$E$50,0))</f>
        <v>202138</v>
      </c>
      <c r="H22" s="39">
        <v>99</v>
      </c>
      <c r="I22" s="26">
        <v>1</v>
      </c>
      <c r="J22" s="26">
        <v>0</v>
      </c>
      <c r="K22" s="41">
        <v>1</v>
      </c>
      <c r="L22" s="99" t="str">
        <f>IF(INTRO!$E$37="Endémique",IF($H22&gt;0,IF($H22=4,"Inconnu",IF($H22=99,"Interrompu",$D22)),0),"Non requis")</f>
        <v>Interrompu</v>
      </c>
      <c r="M22" s="19">
        <f>IF(INTRO!$E$39="Endémique", IF($I22&gt;0, IF($I22=4,"Inconnu",IF($I22=99,"Interrompu",$D22)), 0),"Non requis")</f>
        <v>392500</v>
      </c>
      <c r="N22" s="13">
        <v>0</v>
      </c>
      <c r="O22" s="42">
        <f>IF(INTRO!$E$43="Endémique", IF(AND($K22&gt;0,$K22&lt;5), IF($K22=4,"Inconnu", IF($K22=1, $F22*0.33, IF($K22=2, $F22*0.5+$G22*0.2, SUM(F22:G22)))), 0),"Non requis")</f>
        <v>36267</v>
      </c>
      <c r="P22" s="39"/>
      <c r="Q22" s="26">
        <v>1</v>
      </c>
      <c r="R22" s="26">
        <v>0</v>
      </c>
      <c r="S22" s="41">
        <v>1</v>
      </c>
      <c r="T22" s="175" t="s">
        <v>244</v>
      </c>
      <c r="U22" s="172" t="s">
        <v>243</v>
      </c>
      <c r="V22" s="172"/>
      <c r="W22" s="176"/>
      <c r="X22" s="17">
        <v>29997</v>
      </c>
      <c r="Y22" s="17" t="s">
        <v>180</v>
      </c>
    </row>
    <row r="23" spans="1:32" x14ac:dyDescent="0.4">
      <c r="A23" s="23" t="str">
        <f>IF(INTRO!$E$33&lt;&gt;0,INTRO!$E$33, " ")</f>
        <v>Mali</v>
      </c>
      <c r="B23" s="16" t="s">
        <v>176</v>
      </c>
      <c r="C23" s="38" t="s">
        <v>181</v>
      </c>
      <c r="D23" s="37">
        <v>135787</v>
      </c>
      <c r="E23" s="19">
        <f>IF(INTRO!$E$48="","",ROUND($D23*INTRO!$E$48,0))</f>
        <v>19010</v>
      </c>
      <c r="F23" s="19">
        <f>IF(INTRO!$E$49="","",ROUND($D23*INTRO!$E$49,0))</f>
        <v>38020</v>
      </c>
      <c r="G23" s="40">
        <f>IF(INTRO!$E$50="","",ROUND($D23*INTRO!$E$50,0))</f>
        <v>69930</v>
      </c>
      <c r="H23" s="39">
        <v>99</v>
      </c>
      <c r="I23" s="26">
        <v>1</v>
      </c>
      <c r="J23" s="26">
        <v>0</v>
      </c>
      <c r="K23" s="41">
        <v>1</v>
      </c>
      <c r="L23" s="99" t="str">
        <f>IF(INTRO!$E$37="Endémique",IF($H23&gt;0,IF($H23=4,"Inconnu",IF($H23=99,"Interrompu",$D23)),0),"Non requis")</f>
        <v>Interrompu</v>
      </c>
      <c r="M23" s="19">
        <f>IF(INTRO!$E$39="Endémique", IF($I23&gt;0, IF($I23=4,"Inconnu",IF($I23=99,"Interrompu",$D23)), 0),"Non requis")</f>
        <v>135787</v>
      </c>
      <c r="N23" s="13">
        <v>0</v>
      </c>
      <c r="O23" s="42">
        <f>IF(INTRO!$E$43="Endémique", IF(AND($K23&gt;0,$K23&lt;5), IF($K23=4,"Inconnu", IF($K23=1, $F23*0.33, IF($K23=2, $F23*0.5+$G23*0.2, SUM(F23:G23)))), 0),"Non requis")</f>
        <v>12546.6</v>
      </c>
      <c r="P23" s="39"/>
      <c r="Q23" s="26">
        <v>1</v>
      </c>
      <c r="R23" s="26">
        <v>0</v>
      </c>
      <c r="S23" s="41">
        <v>1</v>
      </c>
      <c r="T23" s="175" t="s">
        <v>244</v>
      </c>
      <c r="U23" s="172" t="s">
        <v>243</v>
      </c>
      <c r="V23" s="172"/>
      <c r="W23" s="176"/>
      <c r="X23" s="17">
        <v>29998</v>
      </c>
      <c r="Y23" s="17" t="s">
        <v>181</v>
      </c>
    </row>
    <row r="24" spans="1:32" x14ac:dyDescent="0.4">
      <c r="A24" s="23" t="str">
        <f>IF(INTRO!$E$33&lt;&gt;0,INTRO!$E$33, " ")</f>
        <v>Mali</v>
      </c>
      <c r="B24" s="16" t="s">
        <v>176</v>
      </c>
      <c r="C24" s="38" t="s">
        <v>182</v>
      </c>
      <c r="D24" s="37">
        <v>617310</v>
      </c>
      <c r="E24" s="19">
        <f>IF(INTRO!$E$48="","",ROUND($D24*INTRO!$E$48,0))</f>
        <v>86423</v>
      </c>
      <c r="F24" s="19">
        <f>IF(INTRO!$E$49="","",ROUND($D24*INTRO!$E$49,0))</f>
        <v>172847</v>
      </c>
      <c r="G24" s="40">
        <f>IF(INTRO!$E$50="","",ROUND($D24*INTRO!$E$50,0))</f>
        <v>317915</v>
      </c>
      <c r="H24" s="39">
        <v>99</v>
      </c>
      <c r="I24" s="26">
        <v>1</v>
      </c>
      <c r="J24" s="26">
        <v>1</v>
      </c>
      <c r="K24" s="41">
        <v>1</v>
      </c>
      <c r="L24" s="99" t="str">
        <f>IF(INTRO!$E$37="Endémique",IF($H24&gt;0,IF($H24=4,"Inconnu",IF($H24=99,"Interrompu",$D24)),0),"Non requis")</f>
        <v>Interrompu</v>
      </c>
      <c r="M24" s="19">
        <f>IF(INTRO!$E$39="Endémique", IF($I24&gt;0, IF($I24=4,"Inconnu",IF($I24=99,"Interrompu",$D24)), 0),"Non requis")</f>
        <v>617310</v>
      </c>
      <c r="N24" s="13">
        <v>259270</v>
      </c>
      <c r="O24" s="42">
        <f>IF(INTRO!$E$43="Endémique", IF(AND($K24&gt;0,$K24&lt;5), IF($K24=4,"Inconnu", IF($K24=1, $F24*0.33, IF($K24=2, $F24*0.5+$G24*0.2, SUM(F24:G24)))), 0),"Non requis")</f>
        <v>57039.51</v>
      </c>
      <c r="P24" s="39"/>
      <c r="Q24" s="26">
        <v>1</v>
      </c>
      <c r="R24" s="26">
        <v>1</v>
      </c>
      <c r="S24" s="41">
        <v>1</v>
      </c>
      <c r="T24" s="175" t="s">
        <v>244</v>
      </c>
      <c r="U24" s="172" t="s">
        <v>243</v>
      </c>
      <c r="V24" s="172"/>
      <c r="W24" s="176"/>
      <c r="X24" s="17">
        <v>29999</v>
      </c>
      <c r="Y24" s="17" t="s">
        <v>182</v>
      </c>
    </row>
    <row r="25" spans="1:32" x14ac:dyDescent="0.4">
      <c r="A25" s="23" t="str">
        <f>IF(INTRO!$E$33&lt;&gt;0,INTRO!$E$33, " ")</f>
        <v>Mali</v>
      </c>
      <c r="B25" s="16" t="s">
        <v>176</v>
      </c>
      <c r="C25" s="38" t="s">
        <v>183</v>
      </c>
      <c r="D25" s="37">
        <v>315364</v>
      </c>
      <c r="E25" s="19">
        <f>IF(INTRO!$E$48="","",ROUND($D25*INTRO!$E$48,0))</f>
        <v>44151</v>
      </c>
      <c r="F25" s="19">
        <f>IF(INTRO!$E$49="","",ROUND($D25*INTRO!$E$49,0))</f>
        <v>88302</v>
      </c>
      <c r="G25" s="40">
        <f>IF(INTRO!$E$50="","",ROUND($D25*INTRO!$E$50,0))</f>
        <v>162412</v>
      </c>
      <c r="H25" s="39">
        <v>99</v>
      </c>
      <c r="I25" s="26">
        <v>1</v>
      </c>
      <c r="J25" s="26">
        <v>1</v>
      </c>
      <c r="K25" s="41">
        <v>1</v>
      </c>
      <c r="L25" s="99" t="str">
        <f>IF(INTRO!$E$37="Endémique",IF($H25&gt;0,IF($H25=4,"Inconnu",IF($H25=99,"Interrompu",$D25)),0),"Non requis")</f>
        <v>Interrompu</v>
      </c>
      <c r="M25" s="19">
        <f>IF(INTRO!$E$39="Endémique", IF($I25&gt;0, IF($I25=4,"Inconnu",IF($I25=99,"Interrompu",$D25)), 0),"Non requis")</f>
        <v>315364</v>
      </c>
      <c r="N25" s="13">
        <v>132453</v>
      </c>
      <c r="O25" s="42">
        <f>IF(INTRO!$E$43="Endémique", IF(AND($K25&gt;0,$K25&lt;5), IF($K25=4,"Inconnu", IF($K25=1, $F25*0.33, IF($K25=2, $F25*0.5+$G25*0.2, SUM(F25:G25)))), 0),"Non requis")</f>
        <v>29139.66</v>
      </c>
      <c r="P25" s="39"/>
      <c r="Q25" s="26">
        <v>1</v>
      </c>
      <c r="R25" s="26">
        <v>1</v>
      </c>
      <c r="S25" s="41">
        <v>1</v>
      </c>
      <c r="T25" s="175" t="s">
        <v>244</v>
      </c>
      <c r="U25" s="172" t="s">
        <v>243</v>
      </c>
      <c r="V25" s="172"/>
      <c r="W25" s="176"/>
      <c r="X25" s="17">
        <v>30000</v>
      </c>
      <c r="Y25" s="17" t="s">
        <v>183</v>
      </c>
      <c r="AE25"/>
      <c r="AF25"/>
    </row>
    <row r="26" spans="1:32" x14ac:dyDescent="0.4">
      <c r="A26" s="23" t="str">
        <f>IF(INTRO!$E$33&lt;&gt;0,INTRO!$E$33, " ")</f>
        <v>Mali</v>
      </c>
      <c r="B26" s="16" t="s">
        <v>176</v>
      </c>
      <c r="C26" s="38" t="s">
        <v>176</v>
      </c>
      <c r="D26" s="37">
        <v>284604</v>
      </c>
      <c r="E26" s="19">
        <f>IF(INTRO!$E$48="","",ROUND($D26*INTRO!$E$48,0))</f>
        <v>39845</v>
      </c>
      <c r="F26" s="19">
        <f>IF(INTRO!$E$49="","",ROUND($D26*INTRO!$E$49,0))</f>
        <v>79689</v>
      </c>
      <c r="G26" s="40">
        <f>IF(INTRO!$E$50="","",ROUND($D26*INTRO!$E$50,0))</f>
        <v>146571</v>
      </c>
      <c r="H26" s="39">
        <v>99</v>
      </c>
      <c r="I26" s="26">
        <v>1</v>
      </c>
      <c r="J26" s="26">
        <v>0</v>
      </c>
      <c r="K26" s="41">
        <v>1</v>
      </c>
      <c r="L26" s="99" t="str">
        <f>IF(INTRO!$E$37="Endémique",IF($H26&gt;0,IF($H26=4,"Inconnu",IF($H26=99,"Interrompu",$D26)),0),"Non requis")</f>
        <v>Interrompu</v>
      </c>
      <c r="M26" s="19">
        <f>IF(INTRO!$E$39="Endémique", IF($I26&gt;0, IF($I26=4,"Inconnu",IF($I26=99,"Interrompu",$D26)), 0),"Non requis")</f>
        <v>284604</v>
      </c>
      <c r="N26" s="13">
        <v>0</v>
      </c>
      <c r="O26" s="42">
        <f>IF(INTRO!$E$43="Endémique", IF(AND($K26&gt;0,$K26&lt;5), IF($K26=4,"Inconnu", IF($K26=1, $F26*0.33, IF($K26=2, $F26*0.5+$G26*0.2, SUM(F26:G26)))), 0),"Non requis")</f>
        <v>26297.370000000003</v>
      </c>
      <c r="P26" s="39"/>
      <c r="Q26" s="26">
        <v>1</v>
      </c>
      <c r="R26" s="26">
        <v>0</v>
      </c>
      <c r="S26" s="41">
        <v>1</v>
      </c>
      <c r="T26" s="175" t="s">
        <v>244</v>
      </c>
      <c r="U26" s="172" t="s">
        <v>243</v>
      </c>
      <c r="V26" s="172"/>
      <c r="W26" s="176"/>
      <c r="X26" s="17">
        <v>30001</v>
      </c>
      <c r="Y26" s="17" t="s">
        <v>176</v>
      </c>
      <c r="AE26"/>
      <c r="AF26"/>
    </row>
    <row r="27" spans="1:32" x14ac:dyDescent="0.4">
      <c r="A27" s="23" t="str">
        <f>IF(INTRO!$E$33&lt;&gt;0,INTRO!$E$33, " ")</f>
        <v>Mali</v>
      </c>
      <c r="B27" s="16" t="s">
        <v>176</v>
      </c>
      <c r="C27" s="38" t="s">
        <v>184</v>
      </c>
      <c r="D27" s="37">
        <v>327593</v>
      </c>
      <c r="E27" s="19">
        <f>IF(INTRO!$E$48="","",ROUND($D27*INTRO!$E$48,0))</f>
        <v>45863</v>
      </c>
      <c r="F27" s="19">
        <f>IF(INTRO!$E$49="","",ROUND($D27*INTRO!$E$49,0))</f>
        <v>91726</v>
      </c>
      <c r="G27" s="40">
        <f>IF(INTRO!$E$50="","",ROUND($D27*INTRO!$E$50,0))</f>
        <v>168710</v>
      </c>
      <c r="H27" s="39">
        <v>99</v>
      </c>
      <c r="I27" s="26">
        <v>0</v>
      </c>
      <c r="J27" s="26">
        <v>0</v>
      </c>
      <c r="K27" s="41">
        <v>1</v>
      </c>
      <c r="L27" s="99" t="str">
        <f>IF(INTRO!$E$37="Endémique",IF($H27&gt;0,IF($H27=4,"Inconnu",IF($H27=99,"Interrompu",$D27)),0),"Non requis")</f>
        <v>Interrompu</v>
      </c>
      <c r="M27" s="19">
        <f>IF(INTRO!$E$39="Endémique", IF($I27&gt;0, IF($I27=4,"Inconnu",IF($I27=99,"Interrompu",$D27)), 0),"Non requis")</f>
        <v>0</v>
      </c>
      <c r="N27" s="13">
        <v>0</v>
      </c>
      <c r="O27" s="42">
        <f>IF(INTRO!$E$43="Endémique", IF(AND($K27&gt;0,$K27&lt;5), IF($K27=4,"Inconnu", IF($K27=1, $F27*0.33, IF($K27=2, $F27*0.5+$G27*0.2, SUM(F27:G27)))), 0),"Non requis")</f>
        <v>30269.58</v>
      </c>
      <c r="P27" s="39"/>
      <c r="Q27" s="26"/>
      <c r="R27" s="26">
        <v>0</v>
      </c>
      <c r="S27" s="41">
        <v>1</v>
      </c>
      <c r="T27" s="175" t="s">
        <v>244</v>
      </c>
      <c r="U27" s="172"/>
      <c r="V27" s="172"/>
      <c r="W27" s="176"/>
      <c r="X27" s="17">
        <v>30002</v>
      </c>
      <c r="Y27" s="17" t="s">
        <v>184</v>
      </c>
      <c r="AE27"/>
      <c r="AF27"/>
    </row>
    <row r="28" spans="1:32" x14ac:dyDescent="0.4">
      <c r="A28" s="23" t="str">
        <f>IF(INTRO!$E$33&lt;&gt;0,INTRO!$E$33, " ")</f>
        <v>Mali</v>
      </c>
      <c r="B28" s="16" t="s">
        <v>176</v>
      </c>
      <c r="C28" s="38" t="s">
        <v>185</v>
      </c>
      <c r="D28" s="37">
        <v>268430</v>
      </c>
      <c r="E28" s="19">
        <f>IF(INTRO!$E$48="","",ROUND($D28*INTRO!$E$48,0))</f>
        <v>37580</v>
      </c>
      <c r="F28" s="19">
        <f>IF(INTRO!$E$49="","",ROUND($D28*INTRO!$E$49,0))</f>
        <v>75160</v>
      </c>
      <c r="G28" s="40">
        <f>IF(INTRO!$E$50="","",ROUND($D28*INTRO!$E$50,0))</f>
        <v>138241</v>
      </c>
      <c r="H28" s="39">
        <v>99</v>
      </c>
      <c r="I28" s="26">
        <v>1</v>
      </c>
      <c r="J28" s="26">
        <v>0</v>
      </c>
      <c r="K28" s="41">
        <v>1</v>
      </c>
      <c r="L28" s="99" t="str">
        <f>IF(INTRO!$E$37="Endémique",IF($H28&gt;0,IF($H28=4,"Inconnu",IF($H28=99,"Interrompu",$D28)),0),"Non requis")</f>
        <v>Interrompu</v>
      </c>
      <c r="M28" s="19">
        <f>IF(INTRO!$E$39="Endémique", IF($I28&gt;0, IF($I28=4,"Inconnu",IF($I28=99,"Interrompu",$D28)), 0),"Non requis")</f>
        <v>268430</v>
      </c>
      <c r="N28" s="13">
        <v>0</v>
      </c>
      <c r="O28" s="42">
        <f>IF(INTRO!$E$43="Endémique", IF(AND($K28&gt;0,$K28&lt;5), IF($K28=4,"Inconnu", IF($K28=1, $F28*0.33, IF($K28=2, $F28*0.5+$G28*0.2, SUM(F28:G28)))), 0),"Non requis")</f>
        <v>24802.800000000003</v>
      </c>
      <c r="P28" s="39"/>
      <c r="Q28" s="26">
        <v>1</v>
      </c>
      <c r="R28" s="26">
        <v>0</v>
      </c>
      <c r="S28" s="41">
        <v>1</v>
      </c>
      <c r="T28" s="175" t="s">
        <v>244</v>
      </c>
      <c r="U28" s="172" t="s">
        <v>243</v>
      </c>
      <c r="V28" s="172"/>
      <c r="W28" s="176"/>
      <c r="X28" s="17">
        <v>30003</v>
      </c>
      <c r="Y28" s="17" t="s">
        <v>185</v>
      </c>
      <c r="AE28"/>
      <c r="AF28"/>
    </row>
    <row r="29" spans="1:32" x14ac:dyDescent="0.4">
      <c r="A29" s="23" t="str">
        <f>IF(INTRO!$E$33&lt;&gt;0,INTRO!$E$33, " ")</f>
        <v>Mali</v>
      </c>
      <c r="B29" s="16" t="s">
        <v>186</v>
      </c>
      <c r="C29" s="38" t="s">
        <v>187</v>
      </c>
      <c r="D29" s="37">
        <v>622548</v>
      </c>
      <c r="E29" s="19">
        <f>IF(INTRO!$E$48="","",ROUND($D29*INTRO!$E$48,0))</f>
        <v>87157</v>
      </c>
      <c r="F29" s="19">
        <f>IF(INTRO!$E$49="","",ROUND($D29*INTRO!$E$49,0))</f>
        <v>174313</v>
      </c>
      <c r="G29" s="40">
        <f>IF(INTRO!$E$50="","",ROUND($D29*INTRO!$E$50,0))</f>
        <v>320612</v>
      </c>
      <c r="H29" s="39">
        <v>99</v>
      </c>
      <c r="I29" s="26">
        <v>99</v>
      </c>
      <c r="J29" s="26">
        <v>0</v>
      </c>
      <c r="K29" s="41">
        <v>1</v>
      </c>
      <c r="L29" s="99" t="str">
        <f>IF(INTRO!$E$37="Endémique",IF($H29&gt;0,IF($H29=4,"Inconnu",IF($H29=99,"Interrompu",$D29)),0),"Non requis")</f>
        <v>Interrompu</v>
      </c>
      <c r="M29" s="19" t="str">
        <f>IF(INTRO!$E$39="Endémique", IF($I29&gt;0, IF($I29=4,"Inconnu",IF($I29=99,"Interrompu",$D29)), 0),"Non requis")</f>
        <v>Interrompu</v>
      </c>
      <c r="N29" s="13">
        <v>0</v>
      </c>
      <c r="O29" s="42">
        <f>IF(INTRO!$E$43="Endémique", IF(AND($K29&gt;0,$K29&lt;5), IF($K29=4,"Inconnu", IF($K29=1, $F29*0.33, IF($K29=2, $F29*0.5+$G29*0.2, SUM(F29:G29)))), 0),"Non requis")</f>
        <v>57523.29</v>
      </c>
      <c r="P29" s="39"/>
      <c r="Q29" s="26"/>
      <c r="R29" s="26">
        <v>0</v>
      </c>
      <c r="S29" s="41">
        <v>1</v>
      </c>
      <c r="T29" s="175" t="s">
        <v>244</v>
      </c>
      <c r="U29" s="172"/>
      <c r="V29" s="172"/>
      <c r="W29" s="176"/>
      <c r="X29" s="17">
        <v>30020</v>
      </c>
      <c r="Y29" s="17" t="s">
        <v>187</v>
      </c>
      <c r="AE29"/>
      <c r="AF29"/>
    </row>
    <row r="30" spans="1:32" x14ac:dyDescent="0.4">
      <c r="A30" s="23" t="str">
        <f>IF(INTRO!$E$33&lt;&gt;0,INTRO!$E$33, " ")</f>
        <v>Mali</v>
      </c>
      <c r="B30" s="16" t="s">
        <v>186</v>
      </c>
      <c r="C30" s="38" t="s">
        <v>188</v>
      </c>
      <c r="D30" s="37">
        <v>324766</v>
      </c>
      <c r="E30" s="19">
        <f>IF(INTRO!$E$48="","",ROUND($D30*INTRO!$E$48,0))</f>
        <v>45467</v>
      </c>
      <c r="F30" s="19">
        <f>IF(INTRO!$E$49="","",ROUND($D30*INTRO!$E$49,0))</f>
        <v>90934</v>
      </c>
      <c r="G30" s="40">
        <f>IF(INTRO!$E$50="","",ROUND($D30*INTRO!$E$50,0))</f>
        <v>167254</v>
      </c>
      <c r="H30" s="39">
        <v>99</v>
      </c>
      <c r="I30" s="26">
        <v>0</v>
      </c>
      <c r="J30" s="26">
        <v>0</v>
      </c>
      <c r="K30" s="41">
        <v>1</v>
      </c>
      <c r="L30" s="99" t="str">
        <f>IF(INTRO!$E$37="Endémique",IF($H30&gt;0,IF($H30=4,"Inconnu",IF($H30=99,"Interrompu",$D30)),0),"Non requis")</f>
        <v>Interrompu</v>
      </c>
      <c r="M30" s="19">
        <f>IF(INTRO!$E$39="Endémique", IF($I30&gt;0, IF($I30=4,"Inconnu",IF($I30=99,"Interrompu",$D30)), 0),"Non requis")</f>
        <v>0</v>
      </c>
      <c r="N30" s="13">
        <v>0</v>
      </c>
      <c r="O30" s="42">
        <f>IF(INTRO!$E$43="Endémique", IF(AND($K30&gt;0,$K30&lt;5), IF($K30=4,"Inconnu", IF($K30=1, $F30*0.33, IF($K30=2, $F30*0.5+$G30*0.2, SUM(F30:G30)))), 0),"Non requis")</f>
        <v>30008.22</v>
      </c>
      <c r="P30" s="39"/>
      <c r="Q30" s="26"/>
      <c r="R30" s="26">
        <v>0</v>
      </c>
      <c r="S30" s="41">
        <v>1</v>
      </c>
      <c r="T30" s="175"/>
      <c r="U30" s="172"/>
      <c r="V30" s="172"/>
      <c r="W30" s="176"/>
      <c r="X30" s="17">
        <v>30021</v>
      </c>
      <c r="Y30" s="17" t="s">
        <v>188</v>
      </c>
      <c r="AE30"/>
      <c r="AF30"/>
    </row>
    <row r="31" spans="1:32" x14ac:dyDescent="0.4">
      <c r="A31" s="23" t="str">
        <f>IF(INTRO!$E$33&lt;&gt;0,INTRO!$E$33, " ")</f>
        <v>Mali</v>
      </c>
      <c r="B31" s="16" t="s">
        <v>186</v>
      </c>
      <c r="C31" s="38" t="s">
        <v>189</v>
      </c>
      <c r="D31" s="37">
        <v>157265</v>
      </c>
      <c r="E31" s="19">
        <f>IF(INTRO!$E$48="","",ROUND($D31*INTRO!$E$48,0))</f>
        <v>22017</v>
      </c>
      <c r="F31" s="19">
        <f>IF(INTRO!$E$49="","",ROUND($D31*INTRO!$E$49,0))</f>
        <v>44034</v>
      </c>
      <c r="G31" s="40">
        <f>IF(INTRO!$E$50="","",ROUND($D31*INTRO!$E$50,0))</f>
        <v>80991</v>
      </c>
      <c r="H31" s="39">
        <v>99</v>
      </c>
      <c r="I31" s="26">
        <v>1</v>
      </c>
      <c r="J31" s="26">
        <v>0</v>
      </c>
      <c r="K31" s="41"/>
      <c r="L31" s="99" t="str">
        <f>IF(INTRO!$E$37="Endémique",IF($H31&gt;0,IF($H31=4,"Inconnu",IF($H31=99,"Interrompu",$D31)),0),"Non requis")</f>
        <v>Interrompu</v>
      </c>
      <c r="M31" s="19">
        <f>IF(INTRO!$E$39="Endémique", IF($I31&gt;0, IF($I31=4,"Inconnu",IF($I31=99,"Interrompu",$D31)), 0),"Non requis")</f>
        <v>157265</v>
      </c>
      <c r="N31" s="13">
        <v>0</v>
      </c>
      <c r="O31" s="42">
        <f>IF(INTRO!$E$43="Endémique", IF(AND($K31&gt;0,$K31&lt;5), IF($K31=4,"Inconnu", IF($K31=1, $F31*0.33, IF($K31=2, $F31*0.5+$G31*0.2, SUM(F31:G31)))), 0),"Non requis")</f>
        <v>0</v>
      </c>
      <c r="P31" s="39"/>
      <c r="Q31" s="26">
        <v>1</v>
      </c>
      <c r="R31" s="26">
        <v>0</v>
      </c>
      <c r="S31" s="41"/>
      <c r="T31" s="175" t="s">
        <v>244</v>
      </c>
      <c r="U31" s="172" t="s">
        <v>243</v>
      </c>
      <c r="V31" s="172"/>
      <c r="W31" s="176"/>
      <c r="X31" s="17">
        <v>30022</v>
      </c>
      <c r="Y31" s="17" t="s">
        <v>189</v>
      </c>
      <c r="AE31"/>
      <c r="AF31"/>
    </row>
    <row r="32" spans="1:32" x14ac:dyDescent="0.4">
      <c r="A32" s="23" t="str">
        <f>IF(INTRO!$E$33&lt;&gt;0,INTRO!$E$33, " ")</f>
        <v>Mali</v>
      </c>
      <c r="B32" s="16" t="s">
        <v>186</v>
      </c>
      <c r="C32" s="38" t="s">
        <v>190</v>
      </c>
      <c r="D32" s="37">
        <v>274509</v>
      </c>
      <c r="E32" s="19">
        <f>IF(INTRO!$E$48="","",ROUND($D32*INTRO!$E$48,0))</f>
        <v>38431</v>
      </c>
      <c r="F32" s="19">
        <f>IF(INTRO!$E$49="","",ROUND($D32*INTRO!$E$49,0))</f>
        <v>76863</v>
      </c>
      <c r="G32" s="40">
        <f>IF(INTRO!$E$50="","",ROUND($D32*INTRO!$E$50,0))</f>
        <v>141372</v>
      </c>
      <c r="H32" s="39">
        <v>99</v>
      </c>
      <c r="I32" s="26">
        <v>1</v>
      </c>
      <c r="J32" s="26">
        <v>0</v>
      </c>
      <c r="K32" s="41"/>
      <c r="L32" s="99" t="str">
        <f>IF(INTRO!$E$37="Endémique",IF($H32&gt;0,IF($H32=4,"Inconnu",IF($H32=99,"Interrompu",$D32)),0),"Non requis")</f>
        <v>Interrompu</v>
      </c>
      <c r="M32" s="19">
        <f>IF(INTRO!$E$39="Endémique", IF($I32&gt;0, IF($I32=4,"Inconnu",IF($I32=99,"Interrompu",$D32)), 0),"Non requis")</f>
        <v>274509</v>
      </c>
      <c r="N32" s="13">
        <v>0</v>
      </c>
      <c r="O32" s="42">
        <f>IF(INTRO!$E$43="Endémique", IF(AND($K32&gt;0,$K32&lt;5), IF($K32=4,"Inconnu", IF($K32=1, $F32*0.33, IF($K32=2, $F32*0.5+$G32*0.2, SUM(F32:G32)))), 0),"Non requis")</f>
        <v>0</v>
      </c>
      <c r="P32" s="39"/>
      <c r="Q32" s="26">
        <v>1</v>
      </c>
      <c r="R32" s="26">
        <v>0</v>
      </c>
      <c r="S32" s="41"/>
      <c r="T32" s="175"/>
      <c r="U32" s="172" t="s">
        <v>243</v>
      </c>
      <c r="V32" s="172"/>
      <c r="W32" s="176"/>
      <c r="X32" s="17">
        <v>30023</v>
      </c>
      <c r="Y32" s="17" t="s">
        <v>190</v>
      </c>
      <c r="AE32"/>
      <c r="AF32"/>
    </row>
    <row r="33" spans="1:32" x14ac:dyDescent="0.4">
      <c r="A33" s="23" t="str">
        <f>IF(INTRO!$E$33&lt;&gt;0,INTRO!$E$33, " ")</f>
        <v>Mali</v>
      </c>
      <c r="B33" s="16" t="s">
        <v>186</v>
      </c>
      <c r="C33" s="38" t="s">
        <v>191</v>
      </c>
      <c r="D33" s="37">
        <v>779359</v>
      </c>
      <c r="E33" s="19">
        <f>IF(INTRO!$E$48="","",ROUND($D33*INTRO!$E$48,0))</f>
        <v>109110</v>
      </c>
      <c r="F33" s="19">
        <f>IF(INTRO!$E$49="","",ROUND($D33*INTRO!$E$49,0))</f>
        <v>218221</v>
      </c>
      <c r="G33" s="40">
        <f>IF(INTRO!$E$50="","",ROUND($D33*INTRO!$E$50,0))</f>
        <v>401370</v>
      </c>
      <c r="H33" s="39">
        <v>99</v>
      </c>
      <c r="I33" s="26">
        <v>0</v>
      </c>
      <c r="J33" s="26">
        <v>1</v>
      </c>
      <c r="K33" s="41"/>
      <c r="L33" s="99" t="str">
        <f>IF(INTRO!$E$37="Endémique",IF($H33&gt;0,IF($H33=4,"Inconnu",IF($H33=99,"Interrompu",$D33)),0),"Non requis")</f>
        <v>Interrompu</v>
      </c>
      <c r="M33" s="19">
        <f>IF(INTRO!$E$39="Endémique", IF($I33&gt;0, IF($I33=4,"Inconnu",IF($I33=99,"Interrompu",$D33)), 0),"Non requis")</f>
        <v>0</v>
      </c>
      <c r="N33" s="13">
        <v>327331</v>
      </c>
      <c r="O33" s="42">
        <f>IF(INTRO!$E$43="Endémique", IF(AND($K33&gt;0,$K33&lt;5), IF($K33=4,"Inconnu", IF($K33=1, $F33*0.33, IF($K33=2, $F33*0.5+$G33*0.2, SUM(F33:G33)))), 0),"Non requis")</f>
        <v>0</v>
      </c>
      <c r="P33" s="39"/>
      <c r="Q33" s="26"/>
      <c r="R33" s="26">
        <v>1</v>
      </c>
      <c r="S33" s="41"/>
      <c r="T33" s="175"/>
      <c r="U33" s="172"/>
      <c r="V33" s="172"/>
      <c r="W33" s="176"/>
      <c r="X33" s="17">
        <v>30024</v>
      </c>
      <c r="Y33" s="17" t="s">
        <v>191</v>
      </c>
      <c r="AE33"/>
      <c r="AF33"/>
    </row>
    <row r="34" spans="1:32" x14ac:dyDescent="0.4">
      <c r="A34" s="23" t="str">
        <f>IF(INTRO!$E$33&lt;&gt;0,INTRO!$E$33, " ")</f>
        <v>Mali</v>
      </c>
      <c r="B34" s="16" t="s">
        <v>186</v>
      </c>
      <c r="C34" s="38" t="s">
        <v>192</v>
      </c>
      <c r="D34" s="37">
        <v>165128</v>
      </c>
      <c r="E34" s="19">
        <f>IF(INTRO!$E$48="","",ROUND($D34*INTRO!$E$48,0))</f>
        <v>23118</v>
      </c>
      <c r="F34" s="19">
        <f>IF(INTRO!$E$49="","",ROUND($D34*INTRO!$E$49,0))</f>
        <v>46236</v>
      </c>
      <c r="G34" s="40">
        <f>IF(INTRO!$E$50="","",ROUND($D34*INTRO!$E$50,0))</f>
        <v>85041</v>
      </c>
      <c r="H34" s="39">
        <v>99</v>
      </c>
      <c r="I34" s="26">
        <v>1</v>
      </c>
      <c r="J34" s="26"/>
      <c r="K34" s="41">
        <v>1</v>
      </c>
      <c r="L34" s="99" t="str">
        <f>IF(INTRO!$E$37="Endémique",IF($H34&gt;0,IF($H34=4,"Inconnu",IF($H34=99,"Interrompu",$D34)),0),"Non requis")</f>
        <v>Interrompu</v>
      </c>
      <c r="M34" s="19">
        <f>IF(INTRO!$E$39="Endémique", IF($I34&gt;0, IF($I34=4,"Inconnu",IF($I34=99,"Interrompu",$D34)), 0),"Non requis")</f>
        <v>165128</v>
      </c>
      <c r="N34" s="13">
        <v>0</v>
      </c>
      <c r="O34" s="42">
        <f>IF(INTRO!$E$43="Endémique", IF(AND($K34&gt;0,$K34&lt;5), IF($K34=4,"Inconnu", IF($K34=1, $F34*0.33, IF($K34=2, $F34*0.5+$G34*0.2, SUM(F34:G34)))), 0),"Non requis")</f>
        <v>15257.880000000001</v>
      </c>
      <c r="P34" s="39"/>
      <c r="Q34" s="26">
        <v>1</v>
      </c>
      <c r="R34" s="26">
        <v>1</v>
      </c>
      <c r="S34" s="41">
        <v>1</v>
      </c>
      <c r="T34" s="175" t="s">
        <v>244</v>
      </c>
      <c r="U34" s="172" t="s">
        <v>243</v>
      </c>
      <c r="V34" s="172"/>
      <c r="W34" s="176"/>
      <c r="X34" s="17">
        <v>30025</v>
      </c>
      <c r="Y34" s="17" t="s">
        <v>192</v>
      </c>
      <c r="AE34"/>
      <c r="AF34"/>
    </row>
    <row r="35" spans="1:32" x14ac:dyDescent="0.4">
      <c r="A35" s="23" t="str">
        <f>IF(INTRO!$E$33&lt;&gt;0,INTRO!$E$33, " ")</f>
        <v>Mali</v>
      </c>
      <c r="B35" s="16" t="s">
        <v>186</v>
      </c>
      <c r="C35" s="38" t="s">
        <v>193</v>
      </c>
      <c r="D35" s="37">
        <v>111922</v>
      </c>
      <c r="E35" s="19">
        <f>IF(INTRO!$E$48="","",ROUND($D35*INTRO!$E$48,0))</f>
        <v>15669</v>
      </c>
      <c r="F35" s="19">
        <f>IF(INTRO!$E$49="","",ROUND($D35*INTRO!$E$49,0))</f>
        <v>31338</v>
      </c>
      <c r="G35" s="40">
        <f>IF(INTRO!$E$50="","",ROUND($D35*INTRO!$E$50,0))</f>
        <v>57640</v>
      </c>
      <c r="H35" s="39">
        <v>99</v>
      </c>
      <c r="I35" s="26">
        <v>1</v>
      </c>
      <c r="J35" s="26">
        <v>0</v>
      </c>
      <c r="K35" s="41">
        <v>1</v>
      </c>
      <c r="L35" s="99" t="str">
        <f>IF(INTRO!$E$37="Endémique",IF($H35&gt;0,IF($H35=4,"Inconnu",IF($H35=99,"Interrompu",$D35)),0),"Non requis")</f>
        <v>Interrompu</v>
      </c>
      <c r="M35" s="19">
        <f>IF(INTRO!$E$39="Endémique", IF($I35&gt;0, IF($I35=4,"Inconnu",IF($I35=99,"Interrompu",$D35)), 0),"Non requis")</f>
        <v>111922</v>
      </c>
      <c r="N35" s="13">
        <v>0</v>
      </c>
      <c r="O35" s="42">
        <f>IF(INTRO!$E$43="Endémique", IF(AND($K35&gt;0,$K35&lt;5), IF($K35=4,"Inconnu", IF($K35=1, $F35*0.33, IF($K35=2, $F35*0.5+$G35*0.2, SUM(F35:G35)))), 0),"Non requis")</f>
        <v>10341.540000000001</v>
      </c>
      <c r="P35" s="39"/>
      <c r="Q35" s="26">
        <v>1</v>
      </c>
      <c r="R35" s="26">
        <v>0</v>
      </c>
      <c r="S35" s="41">
        <v>1</v>
      </c>
      <c r="T35" s="175" t="s">
        <v>244</v>
      </c>
      <c r="U35" s="172" t="s">
        <v>243</v>
      </c>
      <c r="V35" s="172"/>
      <c r="W35" s="176"/>
      <c r="X35" s="17">
        <v>30027</v>
      </c>
      <c r="Y35" s="17" t="s">
        <v>193</v>
      </c>
      <c r="AE35"/>
      <c r="AF35"/>
    </row>
    <row r="36" spans="1:32" x14ac:dyDescent="0.4">
      <c r="A36" s="23" t="str">
        <f>IF(INTRO!$E$33&lt;&gt;0,INTRO!$E$33, " ")</f>
        <v>Mali</v>
      </c>
      <c r="B36" s="16" t="s">
        <v>186</v>
      </c>
      <c r="C36" s="38" t="s">
        <v>186</v>
      </c>
      <c r="D36" s="37">
        <v>660514</v>
      </c>
      <c r="E36" s="19">
        <f>IF(INTRO!$E$48="","",ROUND($D36*INTRO!$E$48,0))</f>
        <v>92472</v>
      </c>
      <c r="F36" s="19">
        <f>IF(INTRO!$E$49="","",ROUND($D36*INTRO!$E$49,0))</f>
        <v>184944</v>
      </c>
      <c r="G36" s="40">
        <f>IF(INTRO!$E$50="","",ROUND($D36*INTRO!$E$50,0))</f>
        <v>340165</v>
      </c>
      <c r="H36" s="39">
        <v>99</v>
      </c>
      <c r="I36" s="26">
        <v>1</v>
      </c>
      <c r="J36" s="26">
        <v>0</v>
      </c>
      <c r="K36" s="41">
        <v>1</v>
      </c>
      <c r="L36" s="99" t="str">
        <f>IF(INTRO!$E$37="Endémique",IF($H36&gt;0,IF($H36=4,"Inconnu",IF($H36=99,"Interrompu",$D36)),0),"Non requis")</f>
        <v>Interrompu</v>
      </c>
      <c r="M36" s="19">
        <f>IF(INTRO!$E$39="Endémique", IF($I36&gt;0, IF($I36=4,"Inconnu",IF($I36=99,"Interrompu",$D36)), 0),"Non requis")</f>
        <v>660514</v>
      </c>
      <c r="N36" s="13">
        <v>0</v>
      </c>
      <c r="O36" s="42">
        <f>IF(INTRO!$E$43="Endémique", IF(AND($K36&gt;0,$K36&lt;5), IF($K36=4,"Inconnu", IF($K36=1, $F36*0.33, IF($K36=2, $F36*0.5+$G36*0.2, SUM(F36:G36)))), 0),"Non requis")</f>
        <v>61031.520000000004</v>
      </c>
      <c r="P36" s="39"/>
      <c r="Q36" s="26">
        <v>1</v>
      </c>
      <c r="R36" s="26">
        <v>0</v>
      </c>
      <c r="S36" s="41">
        <v>1</v>
      </c>
      <c r="T36" s="175" t="s">
        <v>244</v>
      </c>
      <c r="U36" s="172" t="s">
        <v>243</v>
      </c>
      <c r="V36" s="172"/>
      <c r="W36" s="176"/>
      <c r="X36" s="17">
        <v>30026</v>
      </c>
      <c r="Y36" s="17" t="s">
        <v>186</v>
      </c>
      <c r="AE36"/>
      <c r="AF36"/>
    </row>
    <row r="37" spans="1:32" x14ac:dyDescent="0.4">
      <c r="A37" s="23" t="str">
        <f>IF(INTRO!$E$33&lt;&gt;0,INTRO!$E$33, " ")</f>
        <v>Mali</v>
      </c>
      <c r="B37" s="16" t="s">
        <v>186</v>
      </c>
      <c r="C37" s="38" t="s">
        <v>194</v>
      </c>
      <c r="D37" s="37">
        <v>175059</v>
      </c>
      <c r="E37" s="19">
        <f>IF(INTRO!$E$48="","",ROUND($D37*INTRO!$E$48,0))</f>
        <v>24508</v>
      </c>
      <c r="F37" s="19">
        <f>IF(INTRO!$E$49="","",ROUND($D37*INTRO!$E$49,0))</f>
        <v>49017</v>
      </c>
      <c r="G37" s="40">
        <f>IF(INTRO!$E$50="","",ROUND($D37*INTRO!$E$50,0))</f>
        <v>90155</v>
      </c>
      <c r="H37" s="39">
        <v>99</v>
      </c>
      <c r="I37" s="26">
        <v>99</v>
      </c>
      <c r="J37" s="26">
        <v>0</v>
      </c>
      <c r="K37" s="41"/>
      <c r="L37" s="99" t="str">
        <f>IF(INTRO!$E$37="Endémique",IF($H37&gt;0,IF($H37=4,"Inconnu",IF($H37=99,"Interrompu",$D37)),0),"Non requis")</f>
        <v>Interrompu</v>
      </c>
      <c r="M37" s="19" t="str">
        <f>IF(INTRO!$E$39="Endémique", IF($I37&gt;0, IF($I37=4,"Inconnu",IF($I37=99,"Interrompu",$D37)), 0),"Non requis")</f>
        <v>Interrompu</v>
      </c>
      <c r="N37" s="13">
        <v>0</v>
      </c>
      <c r="O37" s="42">
        <f>IF(INTRO!$E$43="Endémique", IF(AND($K37&gt;0,$K37&lt;5), IF($K37=4,"Inconnu", IF($K37=1, $F37*0.33, IF($K37=2, $F37*0.5+$G37*0.2, SUM(F37:G37)))), 0),"Non requis")</f>
        <v>0</v>
      </c>
      <c r="P37" s="39"/>
      <c r="Q37" s="26"/>
      <c r="R37" s="26">
        <v>0</v>
      </c>
      <c r="S37" s="41"/>
      <c r="T37" s="175" t="s">
        <v>244</v>
      </c>
      <c r="U37" s="172"/>
      <c r="V37" s="172"/>
      <c r="W37" s="176"/>
      <c r="X37" s="17">
        <v>30028</v>
      </c>
      <c r="Y37" s="17" t="s">
        <v>194</v>
      </c>
      <c r="AE37"/>
      <c r="AF37"/>
    </row>
    <row r="38" spans="1:32" x14ac:dyDescent="0.4">
      <c r="A38" s="23" t="str">
        <f>IF(INTRO!$E$33&lt;&gt;0,INTRO!$E$33, " ")</f>
        <v>Mali</v>
      </c>
      <c r="B38" s="16" t="s">
        <v>186</v>
      </c>
      <c r="C38" s="38" t="s">
        <v>195</v>
      </c>
      <c r="D38" s="37">
        <v>286553</v>
      </c>
      <c r="E38" s="19">
        <f>IF(INTRO!$E$48="","",ROUND($D38*INTRO!$E$48,0))</f>
        <v>40117</v>
      </c>
      <c r="F38" s="19">
        <f>IF(INTRO!$E$49="","",ROUND($D38*INTRO!$E$49,0))</f>
        <v>80235</v>
      </c>
      <c r="G38" s="40">
        <f>IF(INTRO!$E$50="","",ROUND($D38*INTRO!$E$50,0))</f>
        <v>147575</v>
      </c>
      <c r="H38" s="39">
        <v>99</v>
      </c>
      <c r="I38" s="26">
        <v>0</v>
      </c>
      <c r="J38" s="26">
        <v>1</v>
      </c>
      <c r="K38" s="41"/>
      <c r="L38" s="99" t="str">
        <f>IF(INTRO!$E$37="Endémique",IF($H38&gt;0,IF($H38=4,"Inconnu",IF($H38=99,"Interrompu",$D38)),0),"Non requis")</f>
        <v>Interrompu</v>
      </c>
      <c r="M38" s="19">
        <f>IF(INTRO!$E$39="Endémique", IF($I38&gt;0, IF($I38=4,"Inconnu",IF($I38=99,"Interrompu",$D38)), 0),"Non requis")</f>
        <v>0</v>
      </c>
      <c r="N38" s="13">
        <v>120352</v>
      </c>
      <c r="O38" s="42">
        <f>IF(INTRO!$E$43="Endémique", IF(AND($K38&gt;0,$K38&lt;5), IF($K38=4,"Inconnu", IF($K38=1, $F38*0.33, IF($K38=2, $F38*0.5+$G38*0.2, SUM(F38:G38)))), 0),"Non requis")</f>
        <v>0</v>
      </c>
      <c r="P38" s="39"/>
      <c r="Q38" s="26"/>
      <c r="R38" s="26">
        <v>1</v>
      </c>
      <c r="S38" s="41"/>
      <c r="T38" s="175" t="s">
        <v>244</v>
      </c>
      <c r="U38" s="172"/>
      <c r="V38" s="172"/>
      <c r="W38" s="176"/>
      <c r="X38" s="17">
        <v>30029</v>
      </c>
      <c r="Y38" s="17" t="s">
        <v>195</v>
      </c>
      <c r="AE38"/>
      <c r="AF38"/>
    </row>
    <row r="39" spans="1:32" x14ac:dyDescent="0.4">
      <c r="A39" s="23" t="str">
        <f>IF(INTRO!$E$33&lt;&gt;0,INTRO!$E$33, " ")</f>
        <v>Mali</v>
      </c>
      <c r="B39" s="16" t="s">
        <v>196</v>
      </c>
      <c r="C39" s="38" t="s">
        <v>197</v>
      </c>
      <c r="D39" s="37">
        <v>274220</v>
      </c>
      <c r="E39" s="19">
        <f>IF(INTRO!$E$48="","",ROUND($D39*INTRO!$E$48,0))</f>
        <v>38391</v>
      </c>
      <c r="F39" s="19">
        <f>IF(INTRO!$E$49="","",ROUND($D39*INTRO!$E$49,0))</f>
        <v>76782</v>
      </c>
      <c r="G39" s="40">
        <f>IF(INTRO!$E$50="","",ROUND($D39*INTRO!$E$50,0))</f>
        <v>141223</v>
      </c>
      <c r="H39" s="39">
        <v>99</v>
      </c>
      <c r="I39" s="26">
        <v>0</v>
      </c>
      <c r="J39" s="26">
        <v>0</v>
      </c>
      <c r="K39" s="41">
        <v>1</v>
      </c>
      <c r="L39" s="99" t="str">
        <f>IF(INTRO!$E$37="Endémique",IF($H39&gt;0,IF($H39=4,"Inconnu",IF($H39=99,"Interrompu",$D39)),0),"Non requis")</f>
        <v>Interrompu</v>
      </c>
      <c r="M39" s="19">
        <f>IF(INTRO!$E$39="Endémique", IF($I39&gt;0, IF($I39=4,"Inconnu",IF($I39=99,"Interrompu",$D39)), 0),"Non requis")</f>
        <v>0</v>
      </c>
      <c r="N39" s="13">
        <v>0</v>
      </c>
      <c r="O39" s="42">
        <f>IF(INTRO!$E$43="Endémique", IF(AND($K39&gt;0,$K39&lt;5), IF($K39=4,"Inconnu", IF($K39=1, $F39*0.33, IF($K39=2, $F39*0.5+$G39*0.2, SUM(F39:G39)))), 0),"Non requis")</f>
        <v>25338.06</v>
      </c>
      <c r="P39" s="39"/>
      <c r="Q39" s="26"/>
      <c r="R39" s="26">
        <v>0</v>
      </c>
      <c r="S39" s="41">
        <v>1</v>
      </c>
      <c r="T39" s="175"/>
      <c r="U39" s="172"/>
      <c r="V39" s="172"/>
      <c r="W39" s="176"/>
      <c r="X39" s="17">
        <v>30012</v>
      </c>
      <c r="Y39" s="17" t="s">
        <v>197</v>
      </c>
      <c r="AE39"/>
      <c r="AF39"/>
    </row>
    <row r="40" spans="1:32" x14ac:dyDescent="0.4">
      <c r="A40" s="23" t="str">
        <f>IF(INTRO!$E$33&lt;&gt;0,INTRO!$E$33, " ")</f>
        <v>Mali</v>
      </c>
      <c r="B40" s="16" t="s">
        <v>196</v>
      </c>
      <c r="C40" s="38" t="s">
        <v>198</v>
      </c>
      <c r="D40" s="37">
        <v>382146</v>
      </c>
      <c r="E40" s="19">
        <f>IF(INTRO!$E$48="","",ROUND($D40*INTRO!$E$48,0))</f>
        <v>53500</v>
      </c>
      <c r="F40" s="19">
        <f>IF(INTRO!$E$49="","",ROUND($D40*INTRO!$E$49,0))</f>
        <v>107001</v>
      </c>
      <c r="G40" s="40">
        <f>IF(INTRO!$E$50="","",ROUND($D40*INTRO!$E$50,0))</f>
        <v>196805</v>
      </c>
      <c r="H40" s="39">
        <v>99</v>
      </c>
      <c r="I40" s="26">
        <v>0</v>
      </c>
      <c r="J40" s="26">
        <v>1</v>
      </c>
      <c r="K40" s="41">
        <v>1</v>
      </c>
      <c r="L40" s="99" t="str">
        <f>IF(INTRO!$E$37="Endémique",IF($H40&gt;0,IF($H40=4,"Inconnu",IF($H40=99,"Interrompu",$D40)),0),"Non requis")</f>
        <v>Interrompu</v>
      </c>
      <c r="M40" s="19">
        <f>IF(INTRO!$E$39="Endémique", IF($I40&gt;0, IF($I40=4,"Inconnu",IF($I40=99,"Interrompu",$D40)), 0),"Non requis")</f>
        <v>0</v>
      </c>
      <c r="N40" s="13">
        <v>160501</v>
      </c>
      <c r="O40" s="42">
        <f>IF(INTRO!$E$43="Endémique", IF(AND($K40&gt;0,$K40&lt;5), IF($K40=4,"Inconnu", IF($K40=1, $F40*0.33, IF($K40=2, $F40*0.5+$G40*0.2, SUM(F40:G40)))), 0),"Non requis")</f>
        <v>35310.33</v>
      </c>
      <c r="P40" s="39"/>
      <c r="Q40" s="26"/>
      <c r="R40" s="26">
        <v>1</v>
      </c>
      <c r="S40" s="41">
        <v>1</v>
      </c>
      <c r="T40" s="175"/>
      <c r="U40" s="172"/>
      <c r="V40" s="172" t="s">
        <v>243</v>
      </c>
      <c r="W40" s="176" t="s">
        <v>243</v>
      </c>
      <c r="X40" s="17">
        <v>30013</v>
      </c>
      <c r="Y40" s="17" t="s">
        <v>198</v>
      </c>
      <c r="AE40"/>
      <c r="AF40"/>
    </row>
    <row r="41" spans="1:32" x14ac:dyDescent="0.4">
      <c r="A41" s="23" t="str">
        <f>IF(INTRO!$E$33&lt;&gt;0,INTRO!$E$33, " ")</f>
        <v>Mali</v>
      </c>
      <c r="B41" s="16" t="s">
        <v>196</v>
      </c>
      <c r="C41" s="38" t="s">
        <v>199</v>
      </c>
      <c r="D41" s="37">
        <v>319925</v>
      </c>
      <c r="E41" s="19">
        <f>IF(INTRO!$E$48="","",ROUND($D41*INTRO!$E$48,0))</f>
        <v>44790</v>
      </c>
      <c r="F41" s="19">
        <f>IF(INTRO!$E$49="","",ROUND($D41*INTRO!$E$49,0))</f>
        <v>89579</v>
      </c>
      <c r="G41" s="40">
        <f>IF(INTRO!$E$50="","",ROUND($D41*INTRO!$E$50,0))</f>
        <v>164761</v>
      </c>
      <c r="H41" s="39">
        <v>99</v>
      </c>
      <c r="I41" s="26">
        <v>0</v>
      </c>
      <c r="J41" s="26"/>
      <c r="K41" s="41">
        <v>1</v>
      </c>
      <c r="L41" s="99" t="str">
        <f>IF(INTRO!$E$37="Endémique",IF($H41&gt;0,IF($H41=4,"Inconnu",IF($H41=99,"Interrompu",$D41)),0),"Non requis")</f>
        <v>Interrompu</v>
      </c>
      <c r="M41" s="19">
        <f>IF(INTRO!$E$39="Endémique", IF($I41&gt;0, IF($I41=4,"Inconnu",IF($I41=99,"Interrompu",$D41)), 0),"Non requis")</f>
        <v>0</v>
      </c>
      <c r="N41" s="13">
        <v>0</v>
      </c>
      <c r="O41" s="42">
        <f>IF(INTRO!$E$43="Endémique", IF(AND($K41&gt;0,$K41&lt;5), IF($K41=4,"Inconnu", IF($K41=1, $F41*0.33, IF($K41=2, $F41*0.5+$G41*0.2, SUM(F41:G41)))), 0),"Non requis")</f>
        <v>29561.07</v>
      </c>
      <c r="P41" s="39"/>
      <c r="Q41" s="26"/>
      <c r="R41" s="26">
        <v>1</v>
      </c>
      <c r="S41" s="41">
        <v>1</v>
      </c>
      <c r="T41" s="175"/>
      <c r="U41" s="172"/>
      <c r="V41" s="172"/>
      <c r="W41" s="176"/>
      <c r="X41" s="17">
        <v>30014</v>
      </c>
      <c r="Y41" s="17" t="s">
        <v>199</v>
      </c>
      <c r="AE41"/>
      <c r="AF41"/>
    </row>
    <row r="42" spans="1:32" x14ac:dyDescent="0.4">
      <c r="A42" s="23" t="str">
        <f>IF(INTRO!$E$33&lt;&gt;0,INTRO!$E$33, " ")</f>
        <v>Mali</v>
      </c>
      <c r="B42" s="16" t="s">
        <v>196</v>
      </c>
      <c r="C42" s="38" t="s">
        <v>200</v>
      </c>
      <c r="D42" s="37">
        <v>242160</v>
      </c>
      <c r="E42" s="19">
        <f>IF(INTRO!$E$48="","",ROUND($D42*INTRO!$E$48,0))</f>
        <v>33902</v>
      </c>
      <c r="F42" s="19">
        <f>IF(INTRO!$E$49="","",ROUND($D42*INTRO!$E$49,0))</f>
        <v>67805</v>
      </c>
      <c r="G42" s="40">
        <f>IF(INTRO!$E$50="","",ROUND($D42*INTRO!$E$50,0))</f>
        <v>124712</v>
      </c>
      <c r="H42" s="39">
        <v>99</v>
      </c>
      <c r="I42" s="26">
        <v>0</v>
      </c>
      <c r="J42" s="26">
        <v>0</v>
      </c>
      <c r="K42" s="41">
        <v>1</v>
      </c>
      <c r="L42" s="99" t="str">
        <f>IF(INTRO!$E$37="Endémique",IF($H42&gt;0,IF($H42=4,"Inconnu",IF($H42=99,"Interrompu",$D42)),0),"Non requis")</f>
        <v>Interrompu</v>
      </c>
      <c r="M42" s="19">
        <f>IF(INTRO!$E$39="Endémique", IF($I42&gt;0, IF($I42=4,"Inconnu",IF($I42=99,"Interrompu",$D42)), 0),"Non requis")</f>
        <v>0</v>
      </c>
      <c r="N42" s="13">
        <v>0</v>
      </c>
      <c r="O42" s="42">
        <f>IF(INTRO!$E$43="Endémique", IF(AND($K42&gt;0,$K42&lt;5), IF($K42=4,"Inconnu", IF($K42=1, $F42*0.33, IF($K42=2, $F42*0.5+$G42*0.2, SUM(F42:G42)))), 0),"Non requis")</f>
        <v>22375.65</v>
      </c>
      <c r="P42" s="39"/>
      <c r="Q42" s="26"/>
      <c r="R42" s="26">
        <v>0</v>
      </c>
      <c r="S42" s="41">
        <v>1</v>
      </c>
      <c r="T42" s="175"/>
      <c r="U42" s="172"/>
      <c r="V42" s="172"/>
      <c r="W42" s="176"/>
      <c r="X42" s="17">
        <v>30015</v>
      </c>
      <c r="Y42" s="17" t="s">
        <v>200</v>
      </c>
      <c r="AE42"/>
      <c r="AF42"/>
    </row>
    <row r="43" spans="1:32" x14ac:dyDescent="0.4">
      <c r="A43" s="23" t="str">
        <f>IF(INTRO!$E$33&lt;&gt;0,INTRO!$E$33, " ")</f>
        <v>Mali</v>
      </c>
      <c r="B43" s="16" t="s">
        <v>196</v>
      </c>
      <c r="C43" s="38" t="s">
        <v>201</v>
      </c>
      <c r="D43" s="37">
        <v>492320</v>
      </c>
      <c r="E43" s="19">
        <f>IF(INTRO!$E$48="","",ROUND($D43*INTRO!$E$48,0))</f>
        <v>68925</v>
      </c>
      <c r="F43" s="19">
        <f>IF(INTRO!$E$49="","",ROUND($D43*INTRO!$E$49,0))</f>
        <v>137850</v>
      </c>
      <c r="G43" s="40">
        <f>IF(INTRO!$E$50="","",ROUND($D43*INTRO!$E$50,0))</f>
        <v>253545</v>
      </c>
      <c r="H43" s="39">
        <v>99</v>
      </c>
      <c r="I43" s="26">
        <v>0</v>
      </c>
      <c r="J43" s="26">
        <v>0</v>
      </c>
      <c r="K43" s="41">
        <v>1</v>
      </c>
      <c r="L43" s="99" t="str">
        <f>IF(INTRO!$E$37="Endémique",IF($H43&gt;0,IF($H43=4,"Inconnu",IF($H43=99,"Interrompu",$D43)),0),"Non requis")</f>
        <v>Interrompu</v>
      </c>
      <c r="M43" s="19">
        <f>IF(INTRO!$E$39="Endémique", IF($I43&gt;0, IF($I43=4,"Inconnu",IF($I43=99,"Interrompu",$D43)), 0),"Non requis")</f>
        <v>0</v>
      </c>
      <c r="N43" s="13">
        <v>0</v>
      </c>
      <c r="O43" s="42">
        <f>IF(INTRO!$E$43="Endémique", IF(AND($K43&gt;0,$K43&lt;5), IF($K43=4,"Inconnu", IF($K43=1, $F43*0.33, IF($K43=2, $F43*0.5+$G43*0.2, SUM(F43:G43)))), 0),"Non requis")</f>
        <v>45490.5</v>
      </c>
      <c r="P43" s="39"/>
      <c r="Q43" s="26"/>
      <c r="R43" s="26">
        <v>0</v>
      </c>
      <c r="S43" s="41">
        <v>1</v>
      </c>
      <c r="T43" s="175"/>
      <c r="U43" s="172"/>
      <c r="V43" s="172"/>
      <c r="W43" s="176"/>
      <c r="X43" s="17">
        <v>30016</v>
      </c>
      <c r="Y43" s="17" t="s">
        <v>201</v>
      </c>
      <c r="AE43"/>
      <c r="AF43"/>
    </row>
    <row r="44" spans="1:32" x14ac:dyDescent="0.4">
      <c r="A44" s="23" t="str">
        <f>IF(INTRO!$E$33&lt;&gt;0,INTRO!$E$33, " ")</f>
        <v>Mali</v>
      </c>
      <c r="B44" s="16" t="s">
        <v>196</v>
      </c>
      <c r="C44" s="38" t="s">
        <v>202</v>
      </c>
      <c r="D44" s="37">
        <v>451187</v>
      </c>
      <c r="E44" s="19">
        <f>IF(INTRO!$E$48="","",ROUND($D44*INTRO!$E$48,0))</f>
        <v>63166</v>
      </c>
      <c r="F44" s="19">
        <f>IF(INTRO!$E$49="","",ROUND($D44*INTRO!$E$49,0))</f>
        <v>126332</v>
      </c>
      <c r="G44" s="40">
        <f>IF(INTRO!$E$50="","",ROUND($D44*INTRO!$E$50,0))</f>
        <v>232361</v>
      </c>
      <c r="H44" s="39">
        <v>99</v>
      </c>
      <c r="I44" s="26">
        <v>0</v>
      </c>
      <c r="J44" s="26"/>
      <c r="K44" s="41">
        <v>1</v>
      </c>
      <c r="L44" s="99" t="str">
        <f>IF(INTRO!$E$37="Endémique",IF($H44&gt;0,IF($H44=4,"Inconnu",IF($H44=99,"Interrompu",$D44)),0),"Non requis")</f>
        <v>Interrompu</v>
      </c>
      <c r="M44" s="19">
        <f>IF(INTRO!$E$39="Endémique", IF($I44&gt;0, IF($I44=4,"Inconnu",IF($I44=99,"Interrompu",$D44)), 0),"Non requis")</f>
        <v>0</v>
      </c>
      <c r="N44" s="13">
        <v>0</v>
      </c>
      <c r="O44" s="42">
        <f>IF(INTRO!$E$43="Endémique", IF(AND($K44&gt;0,$K44&lt;5), IF($K44=4,"Inconnu", IF($K44=1, $F44*0.33, IF($K44=2, $F44*0.5+$G44*0.2, SUM(F44:G44)))), 0),"Non requis")</f>
        <v>41689.560000000005</v>
      </c>
      <c r="P44" s="39"/>
      <c r="Q44" s="26"/>
      <c r="R44" s="26">
        <v>1</v>
      </c>
      <c r="S44" s="41">
        <v>1</v>
      </c>
      <c r="T44" s="175"/>
      <c r="U44" s="172"/>
      <c r="V44" s="172"/>
      <c r="W44" s="176"/>
      <c r="X44" s="17">
        <v>30017</v>
      </c>
      <c r="Y44" s="17" t="s">
        <v>202</v>
      </c>
      <c r="AE44"/>
      <c r="AF44"/>
    </row>
    <row r="45" spans="1:32" x14ac:dyDescent="0.4">
      <c r="A45" s="23" t="str">
        <f>IF(INTRO!$E$33&lt;&gt;0,INTRO!$E$33, " ")</f>
        <v>Mali</v>
      </c>
      <c r="B45" s="16" t="s">
        <v>196</v>
      </c>
      <c r="C45" s="38" t="s">
        <v>203</v>
      </c>
      <c r="D45" s="37">
        <v>689227</v>
      </c>
      <c r="E45" s="19">
        <f>IF(INTRO!$E$48="","",ROUND($D45*INTRO!$E$48,0))</f>
        <v>96492</v>
      </c>
      <c r="F45" s="19">
        <f>IF(INTRO!$E$49="","",ROUND($D45*INTRO!$E$49,0))</f>
        <v>192984</v>
      </c>
      <c r="G45" s="40">
        <f>IF(INTRO!$E$50="","",ROUND($D45*INTRO!$E$50,0))</f>
        <v>354952</v>
      </c>
      <c r="H45" s="39">
        <v>99</v>
      </c>
      <c r="I45" s="26">
        <v>0</v>
      </c>
      <c r="J45" s="26"/>
      <c r="K45" s="41">
        <v>1</v>
      </c>
      <c r="L45" s="99" t="str">
        <f>IF(INTRO!$E$37="Endémique",IF($H45&gt;0,IF($H45=4,"Inconnu",IF($H45=99,"Interrompu",$D45)),0),"Non requis")</f>
        <v>Interrompu</v>
      </c>
      <c r="M45" s="19">
        <f>IF(INTRO!$E$39="Endémique", IF($I45&gt;0, IF($I45=4,"Inconnu",IF($I45=99,"Interrompu",$D45)), 0),"Non requis")</f>
        <v>0</v>
      </c>
      <c r="N45" s="13">
        <v>0</v>
      </c>
      <c r="O45" s="42">
        <f>IF(INTRO!$E$43="Endémique", IF(AND($K45&gt;0,$K45&lt;5), IF($K45=4,"Inconnu", IF($K45=1, $F45*0.33, IF($K45=2, $F45*0.5+$G45*0.2, SUM(F45:G45)))), 0),"Non requis")</f>
        <v>63684.72</v>
      </c>
      <c r="P45" s="39"/>
      <c r="Q45" s="26"/>
      <c r="R45" s="26">
        <v>1</v>
      </c>
      <c r="S45" s="41">
        <v>1</v>
      </c>
      <c r="T45" s="175"/>
      <c r="U45" s="172"/>
      <c r="V45" s="172"/>
      <c r="W45" s="176"/>
      <c r="X45" s="17">
        <v>30018</v>
      </c>
      <c r="Y45" s="17" t="s">
        <v>203</v>
      </c>
      <c r="AE45"/>
      <c r="AF45"/>
    </row>
    <row r="46" spans="1:32" x14ac:dyDescent="0.4">
      <c r="A46" s="23" t="str">
        <f>IF(INTRO!$E$33&lt;&gt;0,INTRO!$E$33, " ")</f>
        <v>Mali</v>
      </c>
      <c r="B46" s="16" t="s">
        <v>196</v>
      </c>
      <c r="C46" s="38" t="s">
        <v>204</v>
      </c>
      <c r="D46" s="37">
        <v>296183</v>
      </c>
      <c r="E46" s="19">
        <f>IF(INTRO!$E$48="","",ROUND($D46*INTRO!$E$48,0))</f>
        <v>41466</v>
      </c>
      <c r="F46" s="19">
        <f>IF(INTRO!$E$49="","",ROUND($D46*INTRO!$E$49,0))</f>
        <v>82931</v>
      </c>
      <c r="G46" s="40">
        <f>IF(INTRO!$E$50="","",ROUND($D46*INTRO!$E$50,0))</f>
        <v>152534</v>
      </c>
      <c r="H46" s="39">
        <v>99</v>
      </c>
      <c r="I46" s="26">
        <v>0</v>
      </c>
      <c r="J46" s="26">
        <v>0</v>
      </c>
      <c r="K46" s="41"/>
      <c r="L46" s="99" t="str">
        <f>IF(INTRO!$E$37="Endémique",IF($H46&gt;0,IF($H46=4,"Inconnu",IF($H46=99,"Interrompu",$D46)),0),"Non requis")</f>
        <v>Interrompu</v>
      </c>
      <c r="M46" s="19">
        <f>IF(INTRO!$E$39="Endémique", IF($I46&gt;0, IF($I46=4,"Inconnu",IF($I46=99,"Interrompu",$D46)), 0),"Non requis")</f>
        <v>0</v>
      </c>
      <c r="N46" s="13">
        <v>0</v>
      </c>
      <c r="O46" s="42">
        <f>IF(INTRO!$E$43="Endémique", IF(AND($K46&gt;0,$K46&lt;5), IF($K46=4,"Inconnu", IF($K46=1, $F46*0.33, IF($K46=2, $F46*0.5+$G46*0.2, SUM(F46:G46)))), 0),"Non requis")</f>
        <v>0</v>
      </c>
      <c r="P46" s="39"/>
      <c r="Q46" s="26"/>
      <c r="R46" s="26">
        <v>0</v>
      </c>
      <c r="S46" s="41"/>
      <c r="T46" s="175"/>
      <c r="U46" s="172"/>
      <c r="V46" s="172"/>
      <c r="W46" s="176"/>
      <c r="X46" s="17">
        <v>30019</v>
      </c>
      <c r="Y46" s="17" t="s">
        <v>204</v>
      </c>
      <c r="AE46"/>
      <c r="AF46"/>
    </row>
    <row r="47" spans="1:32" x14ac:dyDescent="0.4">
      <c r="A47" s="23" t="str">
        <f>IF(INTRO!$E$33&lt;&gt;0,INTRO!$E$33, " ")</f>
        <v>Mali</v>
      </c>
      <c r="B47" s="16" t="s">
        <v>205</v>
      </c>
      <c r="C47" s="38" t="s">
        <v>206</v>
      </c>
      <c r="D47" s="37">
        <v>427665</v>
      </c>
      <c r="E47" s="19">
        <f>IF(INTRO!$E$48="","",ROUND($D47*INTRO!$E$48,0))</f>
        <v>59873</v>
      </c>
      <c r="F47" s="19">
        <f>IF(INTRO!$E$49="","",ROUND($D47*INTRO!$E$49,0))</f>
        <v>119746</v>
      </c>
      <c r="G47" s="40">
        <f>IF(INTRO!$E$50="","",ROUND($D47*INTRO!$E$50,0))</f>
        <v>220247</v>
      </c>
      <c r="H47" s="39">
        <v>99</v>
      </c>
      <c r="I47" s="26">
        <v>0</v>
      </c>
      <c r="J47" s="26">
        <v>0</v>
      </c>
      <c r="K47" s="41">
        <v>1</v>
      </c>
      <c r="L47" s="99" t="str">
        <f>IF(INTRO!$E$37="Endémique",IF($H47&gt;0,IF($H47=4,"Inconnu",IF($H47=99,"Interrompu",$D47)),0),"Non requis")</f>
        <v>Interrompu</v>
      </c>
      <c r="M47" s="19">
        <f>IF(INTRO!$E$39="Endémique", IF($I47&gt;0, IF($I47=4,"Inconnu",IF($I47=99,"Interrompu",$D47)), 0),"Non requis")</f>
        <v>0</v>
      </c>
      <c r="N47" s="13">
        <v>0</v>
      </c>
      <c r="O47" s="42">
        <f>IF(INTRO!$E$43="Endémique", IF(AND($K47&gt;0,$K47&lt;5), IF($K47=4,"Inconnu", IF($K47=1, $F47*0.33, IF($K47=2, $F47*0.5+$G47*0.2, SUM(F47:G47)))), 0),"Non requis")</f>
        <v>39516.18</v>
      </c>
      <c r="P47" s="39"/>
      <c r="Q47" s="26"/>
      <c r="R47" s="26">
        <v>0</v>
      </c>
      <c r="S47" s="41">
        <v>1</v>
      </c>
      <c r="T47" s="175"/>
      <c r="U47" s="172"/>
      <c r="V47" s="172"/>
      <c r="W47" s="176"/>
      <c r="X47" s="17">
        <v>30004</v>
      </c>
      <c r="Y47" s="17" t="s">
        <v>206</v>
      </c>
      <c r="AE47"/>
      <c r="AF47"/>
    </row>
    <row r="48" spans="1:32" x14ac:dyDescent="0.4">
      <c r="A48" s="23" t="str">
        <f>IF(INTRO!$E$33&lt;&gt;0,INTRO!$E$33, " ")</f>
        <v>Mali</v>
      </c>
      <c r="B48" s="16" t="s">
        <v>205</v>
      </c>
      <c r="C48" s="38" t="s">
        <v>207</v>
      </c>
      <c r="D48" s="37">
        <v>354336</v>
      </c>
      <c r="E48" s="19">
        <f>IF(INTRO!$E$48="","",ROUND($D48*INTRO!$E$48,0))</f>
        <v>49607</v>
      </c>
      <c r="F48" s="19">
        <f>IF(INTRO!$E$49="","",ROUND($D48*INTRO!$E$49,0))</f>
        <v>99214</v>
      </c>
      <c r="G48" s="40">
        <f>IF(INTRO!$E$50="","",ROUND($D48*INTRO!$E$50,0))</f>
        <v>182483</v>
      </c>
      <c r="H48" s="39">
        <v>99</v>
      </c>
      <c r="I48" s="26">
        <v>0</v>
      </c>
      <c r="J48" s="26">
        <v>1</v>
      </c>
      <c r="K48" s="41">
        <v>1</v>
      </c>
      <c r="L48" s="99" t="str">
        <f>IF(INTRO!$E$37="Endémique",IF($H48&gt;0,IF($H48=4,"Inconnu",IF($H48=99,"Interrompu",$D48)),0),"Non requis")</f>
        <v>Interrompu</v>
      </c>
      <c r="M48" s="19">
        <f>IF(INTRO!$E$39="Endémique", IF($I48&gt;0, IF($I48=4,"Inconnu",IF($I48=99,"Interrompu",$D48)), 0),"Non requis")</f>
        <v>0</v>
      </c>
      <c r="N48" s="13">
        <v>148821</v>
      </c>
      <c r="O48" s="42">
        <f>IF(INTRO!$E$43="Endémique", IF(AND($K48&gt;0,$K48&lt;5), IF($K48=4,"Inconnu", IF($K48=1, $F48*0.33, IF($K48=2, $F48*0.5+$G48*0.2, SUM(F48:G48)))), 0),"Non requis")</f>
        <v>32740.620000000003</v>
      </c>
      <c r="P48" s="39"/>
      <c r="Q48" s="26"/>
      <c r="R48" s="26">
        <v>1</v>
      </c>
      <c r="S48" s="41">
        <v>1</v>
      </c>
      <c r="T48" s="175"/>
      <c r="U48" s="172"/>
      <c r="V48" s="172"/>
      <c r="W48" s="176"/>
      <c r="X48" s="17">
        <v>30005</v>
      </c>
      <c r="Y48" s="17" t="s">
        <v>207</v>
      </c>
      <c r="AE48"/>
      <c r="AF48"/>
    </row>
    <row r="49" spans="1:32" x14ac:dyDescent="0.4">
      <c r="A49" s="23" t="str">
        <f>IF(INTRO!$E$33&lt;&gt;0,INTRO!$E$33, " ")</f>
        <v>Mali</v>
      </c>
      <c r="B49" s="16" t="s">
        <v>205</v>
      </c>
      <c r="C49" s="38" t="s">
        <v>208</v>
      </c>
      <c r="D49" s="37">
        <v>278766</v>
      </c>
      <c r="E49" s="19">
        <f>IF(INTRO!$E$48="","",ROUND($D49*INTRO!$E$48,0))</f>
        <v>39027</v>
      </c>
      <c r="F49" s="19">
        <f>IF(INTRO!$E$49="","",ROUND($D49*INTRO!$E$49,0))</f>
        <v>78054</v>
      </c>
      <c r="G49" s="40">
        <f>IF(INTRO!$E$50="","",ROUND($D49*INTRO!$E$50,0))</f>
        <v>143564</v>
      </c>
      <c r="H49" s="39">
        <v>99</v>
      </c>
      <c r="I49" s="26">
        <v>0</v>
      </c>
      <c r="J49" s="26">
        <v>0</v>
      </c>
      <c r="K49" s="41">
        <v>1</v>
      </c>
      <c r="L49" s="99" t="str">
        <f>IF(INTRO!$E$37="Endémique",IF($H49&gt;0,IF($H49=4,"Inconnu",IF($H49=99,"Interrompu",$D49)),0),"Non requis")</f>
        <v>Interrompu</v>
      </c>
      <c r="M49" s="19">
        <f>IF(INTRO!$E$39="Endémique", IF($I49&gt;0, IF($I49=4,"Inconnu",IF($I49=99,"Interrompu",$D49)), 0),"Non requis")</f>
        <v>0</v>
      </c>
      <c r="N49" s="13">
        <v>0</v>
      </c>
      <c r="O49" s="42">
        <f>IF(INTRO!$E$43="Endémique", IF(AND($K49&gt;0,$K49&lt;5), IF($K49=4,"Inconnu", IF($K49=1, $F49*0.33, IF($K49=2, $F49*0.5+$G49*0.2, SUM(F49:G49)))), 0),"Non requis")</f>
        <v>25757.82</v>
      </c>
      <c r="P49" s="39"/>
      <c r="Q49" s="26"/>
      <c r="R49" s="26">
        <v>0</v>
      </c>
      <c r="S49" s="41">
        <v>1</v>
      </c>
      <c r="T49" s="175"/>
      <c r="U49" s="172"/>
      <c r="V49" s="172"/>
      <c r="W49" s="176"/>
      <c r="X49" s="17">
        <v>30006</v>
      </c>
      <c r="Y49" s="17" t="s">
        <v>208</v>
      </c>
      <c r="AE49"/>
      <c r="AF49"/>
    </row>
    <row r="50" spans="1:32" x14ac:dyDescent="0.4">
      <c r="A50" s="23" t="str">
        <f>IF(INTRO!$E$33&lt;&gt;0,INTRO!$E$33, " ")</f>
        <v>Mali</v>
      </c>
      <c r="B50" s="16" t="s">
        <v>205</v>
      </c>
      <c r="C50" s="38" t="s">
        <v>209</v>
      </c>
      <c r="D50" s="37">
        <v>333284</v>
      </c>
      <c r="E50" s="19">
        <f>IF(INTRO!$E$48="","",ROUND($D50*INTRO!$E$48,0))</f>
        <v>46660</v>
      </c>
      <c r="F50" s="19">
        <f>IF(INTRO!$E$49="","",ROUND($D50*INTRO!$E$49,0))</f>
        <v>93320</v>
      </c>
      <c r="G50" s="40">
        <f>IF(INTRO!$E$50="","",ROUND($D50*INTRO!$E$50,0))</f>
        <v>171641</v>
      </c>
      <c r="H50" s="39">
        <v>1</v>
      </c>
      <c r="I50" s="26">
        <v>0</v>
      </c>
      <c r="J50" s="26">
        <v>1</v>
      </c>
      <c r="K50" s="41">
        <v>1</v>
      </c>
      <c r="L50" s="99">
        <f>IF(INTRO!$E$37="Endémique",IF($H50&gt;0,IF($H50=4,"Inconnu",IF($H50=99,"Interrompu",$D50)),0),"Non requis")</f>
        <v>333284</v>
      </c>
      <c r="M50" s="19">
        <f>IF(INTRO!$E$39="Endémique", IF($I50&gt;0, IF($I50=4,"Inconnu",IF($I50=99,"Interrompu",$D50)), 0),"Non requis")</f>
        <v>0</v>
      </c>
      <c r="N50" s="13">
        <v>0</v>
      </c>
      <c r="O50" s="42">
        <f>IF(INTRO!$E$43="Endémique", IF(AND($K50&gt;0,$K50&lt;5), IF($K50=4,"Inconnu", IF($K50=1, $F50*0.33, IF($K50=2, $F50*0.5+$G50*0.2, SUM(F50:G50)))), 0),"Non requis")</f>
        <v>30795.600000000002</v>
      </c>
      <c r="P50" s="39">
        <v>1</v>
      </c>
      <c r="Q50" s="26"/>
      <c r="R50" s="26">
        <v>1</v>
      </c>
      <c r="S50" s="41">
        <v>1</v>
      </c>
      <c r="T50" s="175" t="s">
        <v>244</v>
      </c>
      <c r="U50" s="172"/>
      <c r="V50" s="172"/>
      <c r="W50" s="176"/>
      <c r="X50" s="17">
        <v>30007</v>
      </c>
      <c r="Y50" s="17" t="s">
        <v>209</v>
      </c>
      <c r="AE50"/>
      <c r="AF50"/>
    </row>
    <row r="51" spans="1:32" x14ac:dyDescent="0.4">
      <c r="A51" s="23" t="str">
        <f>IF(INTRO!$E$33&lt;&gt;0,INTRO!$E$33, " ")</f>
        <v>Mali</v>
      </c>
      <c r="B51" s="16" t="s">
        <v>205</v>
      </c>
      <c r="C51" s="38" t="s">
        <v>210</v>
      </c>
      <c r="D51" s="37">
        <v>486816</v>
      </c>
      <c r="E51" s="19">
        <f>IF(INTRO!$E$48="","",ROUND($D51*INTRO!$E$48,0))</f>
        <v>68154</v>
      </c>
      <c r="F51" s="19">
        <f>IF(INTRO!$E$49="","",ROUND($D51*INTRO!$E$49,0))</f>
        <v>136308</v>
      </c>
      <c r="G51" s="40">
        <f>IF(INTRO!$E$50="","",ROUND($D51*INTRO!$E$50,0))</f>
        <v>250710</v>
      </c>
      <c r="H51" s="39">
        <v>99</v>
      </c>
      <c r="I51" s="26">
        <v>0</v>
      </c>
      <c r="J51" s="26">
        <v>1</v>
      </c>
      <c r="K51" s="41"/>
      <c r="L51" s="99" t="str">
        <f>IF(INTRO!$E$37="Endémique",IF($H51&gt;0,IF($H51=4,"Inconnu",IF($H51=99,"Interrompu",$D51)),0),"Non requis")</f>
        <v>Interrompu</v>
      </c>
      <c r="M51" s="19">
        <f>IF(INTRO!$E$39="Endémique", IF($I51&gt;0, IF($I51=4,"Inconnu",IF($I51=99,"Interrompu",$D51)), 0),"Non requis")</f>
        <v>0</v>
      </c>
      <c r="N51" s="13">
        <v>204462</v>
      </c>
      <c r="O51" s="42">
        <f>IF(INTRO!$E$43="Endémique", IF(AND($K51&gt;0,$K51&lt;5), IF($K51=4,"Inconnu", IF($K51=1, $F51*0.33, IF($K51=2, $F51*0.5+$G51*0.2, SUM(F51:G51)))), 0),"Non requis")</f>
        <v>0</v>
      </c>
      <c r="P51" s="39"/>
      <c r="Q51" s="26"/>
      <c r="R51" s="26">
        <v>1</v>
      </c>
      <c r="S51" s="41"/>
      <c r="T51" s="175"/>
      <c r="U51" s="172"/>
      <c r="V51" s="172"/>
      <c r="W51" s="176"/>
      <c r="X51" s="17">
        <v>30008</v>
      </c>
      <c r="Y51" s="17" t="s">
        <v>210</v>
      </c>
      <c r="AE51"/>
      <c r="AF51"/>
    </row>
    <row r="52" spans="1:32" x14ac:dyDescent="0.4">
      <c r="A52" s="23" t="str">
        <f>IF(INTRO!$E$33&lt;&gt;0,INTRO!$E$33, " ")</f>
        <v>Mali</v>
      </c>
      <c r="B52" s="16" t="s">
        <v>205</v>
      </c>
      <c r="C52" s="38" t="s">
        <v>205</v>
      </c>
      <c r="D52" s="37">
        <v>495650</v>
      </c>
      <c r="E52" s="19">
        <f>IF(INTRO!$E$48="","",ROUND($D52*INTRO!$E$48,0))</f>
        <v>69391</v>
      </c>
      <c r="F52" s="19">
        <f>IF(INTRO!$E$49="","",ROUND($D52*INTRO!$E$49,0))</f>
        <v>138782</v>
      </c>
      <c r="G52" s="40">
        <f>IF(INTRO!$E$50="","",ROUND($D52*INTRO!$E$50,0))</f>
        <v>255260</v>
      </c>
      <c r="H52" s="39">
        <v>99</v>
      </c>
      <c r="I52" s="26">
        <v>0</v>
      </c>
      <c r="J52" s="26">
        <v>0</v>
      </c>
      <c r="K52" s="41">
        <v>1</v>
      </c>
      <c r="L52" s="99" t="str">
        <f>IF(INTRO!$E$37="Endémique",IF($H52&gt;0,IF($H52=4,"Inconnu",IF($H52=99,"Interrompu",$D52)),0),"Non requis")</f>
        <v>Interrompu</v>
      </c>
      <c r="M52" s="19">
        <f>IF(INTRO!$E$39="Endémique", IF($I52&gt;0, IF($I52=4,"Inconnu",IF($I52=99,"Interrompu",$D52)), 0),"Non requis")</f>
        <v>0</v>
      </c>
      <c r="N52" s="13">
        <v>0</v>
      </c>
      <c r="O52" s="42">
        <f>IF(INTRO!$E$43="Endémique", IF(AND($K52&gt;0,$K52&lt;5), IF($K52=4,"Inconnu", IF($K52=1, $F52*0.33, IF($K52=2, $F52*0.5+$G52*0.2, SUM(F52:G52)))), 0),"Non requis")</f>
        <v>45798.060000000005</v>
      </c>
      <c r="P52" s="39"/>
      <c r="Q52" s="26"/>
      <c r="R52" s="26">
        <v>0</v>
      </c>
      <c r="S52" s="41">
        <v>1</v>
      </c>
      <c r="T52" s="175"/>
      <c r="U52" s="172"/>
      <c r="V52" s="172"/>
      <c r="W52" s="176"/>
      <c r="X52" s="17">
        <v>30009</v>
      </c>
      <c r="Y52" s="17" t="s">
        <v>205</v>
      </c>
      <c r="AE52"/>
      <c r="AF52"/>
    </row>
    <row r="53" spans="1:32" x14ac:dyDescent="0.4">
      <c r="A53" s="23" t="str">
        <f>IF(INTRO!$E$33&lt;&gt;0,INTRO!$E$33, " ")</f>
        <v>Mali</v>
      </c>
      <c r="B53" s="16" t="s">
        <v>205</v>
      </c>
      <c r="C53" s="38" t="s">
        <v>211</v>
      </c>
      <c r="D53" s="37">
        <v>220098</v>
      </c>
      <c r="E53" s="19">
        <f>IF(INTRO!$E$48="","",ROUND($D53*INTRO!$E$48,0))</f>
        <v>30814</v>
      </c>
      <c r="F53" s="19">
        <f>IF(INTRO!$E$49="","",ROUND($D53*INTRO!$E$49,0))</f>
        <v>61627</v>
      </c>
      <c r="G53" s="40">
        <f>IF(INTRO!$E$50="","",ROUND($D53*INTRO!$E$50,0))</f>
        <v>113350</v>
      </c>
      <c r="H53" s="39">
        <v>1</v>
      </c>
      <c r="I53" s="26">
        <v>0</v>
      </c>
      <c r="J53" s="26">
        <v>1</v>
      </c>
      <c r="K53" s="41">
        <v>1</v>
      </c>
      <c r="L53" s="99">
        <f>IF(INTRO!$E$37="Endémique",IF($H53&gt;0,IF($H53=4,"Inconnu",IF($H53=99,"Interrompu",$D53)),0),"Non requis")</f>
        <v>220098</v>
      </c>
      <c r="M53" s="19">
        <f>IF(INTRO!$E$39="Endémique", IF($I53&gt;0, IF($I53=4,"Inconnu",IF($I53=99,"Interrompu",$D53)), 0),"Non requis")</f>
        <v>0</v>
      </c>
      <c r="N53" s="13">
        <v>0</v>
      </c>
      <c r="O53" s="42">
        <f>IF(INTRO!$E$43="Endémique", IF(AND($K53&gt;0,$K53&lt;5), IF($K53=4,"Inconnu", IF($K53=1, $F53*0.33, IF($K53=2, $F53*0.5+$G53*0.2, SUM(F53:G53)))), 0),"Non requis")</f>
        <v>20336.91</v>
      </c>
      <c r="P53" s="39">
        <v>1</v>
      </c>
      <c r="Q53" s="26"/>
      <c r="R53" s="26">
        <v>1</v>
      </c>
      <c r="S53" s="41">
        <v>1</v>
      </c>
      <c r="T53" s="175" t="s">
        <v>244</v>
      </c>
      <c r="U53" s="172"/>
      <c r="V53" s="172"/>
      <c r="W53" s="176"/>
      <c r="X53" s="17">
        <v>30010</v>
      </c>
      <c r="Y53" s="17" t="s">
        <v>211</v>
      </c>
      <c r="AE53"/>
      <c r="AF53"/>
    </row>
    <row r="54" spans="1:32" x14ac:dyDescent="0.4">
      <c r="A54" s="23" t="str">
        <f>IF(INTRO!$E$33&lt;&gt;0,INTRO!$E$33, " ")</f>
        <v>Mali</v>
      </c>
      <c r="B54" s="16" t="s">
        <v>205</v>
      </c>
      <c r="C54" s="38" t="s">
        <v>212</v>
      </c>
      <c r="D54" s="37">
        <v>143603</v>
      </c>
      <c r="E54" s="19">
        <f>IF(INTRO!$E$48="","",ROUND($D54*INTRO!$E$48,0))</f>
        <v>20104</v>
      </c>
      <c r="F54" s="19">
        <f>IF(INTRO!$E$49="","",ROUND($D54*INTRO!$E$49,0))</f>
        <v>40209</v>
      </c>
      <c r="G54" s="40">
        <f>IF(INTRO!$E$50="","",ROUND($D54*INTRO!$E$50,0))</f>
        <v>73956</v>
      </c>
      <c r="H54" s="39">
        <v>1</v>
      </c>
      <c r="I54" s="26">
        <v>0</v>
      </c>
      <c r="J54" s="26">
        <v>1</v>
      </c>
      <c r="K54" s="41">
        <v>1</v>
      </c>
      <c r="L54" s="99">
        <f>IF(INTRO!$E$37="Endémique",IF($H54&gt;0,IF($H54=4,"Inconnu",IF($H54=99,"Interrompu",$D54)),0),"Non requis")</f>
        <v>143603</v>
      </c>
      <c r="M54" s="19">
        <f>IF(INTRO!$E$39="Endémique", IF($I54&gt;0, IF($I54=4,"Inconnu",IF($I54=99,"Interrompu",$D54)), 0),"Non requis")</f>
        <v>0</v>
      </c>
      <c r="N54" s="13">
        <v>0</v>
      </c>
      <c r="O54" s="42">
        <f>IF(INTRO!$E$43="Endémique", IF(AND($K54&gt;0,$K54&lt;5), IF($K54=4,"Inconnu", IF($K54=1, $F54*0.33, IF($K54=2, $F54*0.5+$G54*0.2, SUM(F54:G54)))), 0),"Non requis")</f>
        <v>13268.970000000001</v>
      </c>
      <c r="P54" s="39">
        <v>1</v>
      </c>
      <c r="Q54" s="26"/>
      <c r="R54" s="26">
        <v>1</v>
      </c>
      <c r="S54" s="41">
        <v>1</v>
      </c>
      <c r="T54" s="175" t="s">
        <v>244</v>
      </c>
      <c r="U54" s="172"/>
      <c r="V54" s="172"/>
      <c r="W54" s="176"/>
      <c r="X54" s="17">
        <v>30011</v>
      </c>
      <c r="Y54" s="17" t="s">
        <v>212</v>
      </c>
      <c r="AE54"/>
      <c r="AF54"/>
    </row>
    <row r="55" spans="1:32" x14ac:dyDescent="0.4">
      <c r="A55" s="23" t="str">
        <f>IF(INTRO!$E$33&lt;&gt;0,INTRO!$E$33, " ")</f>
        <v>Mali</v>
      </c>
      <c r="B55" s="16" t="s">
        <v>213</v>
      </c>
      <c r="C55" s="38" t="s">
        <v>214</v>
      </c>
      <c r="D55" s="37">
        <v>148375</v>
      </c>
      <c r="E55" s="19">
        <f>IF(INTRO!$E$48="","",ROUND($D55*INTRO!$E$48,0))</f>
        <v>20773</v>
      </c>
      <c r="F55" s="19">
        <f>IF(INTRO!$E$49="","",ROUND($D55*INTRO!$E$49,0))</f>
        <v>41545</v>
      </c>
      <c r="G55" s="40">
        <f>IF(INTRO!$E$50="","",ROUND($D55*INTRO!$E$50,0))</f>
        <v>76413</v>
      </c>
      <c r="H55" s="39">
        <v>1</v>
      </c>
      <c r="I55" s="26">
        <v>0</v>
      </c>
      <c r="J55" s="26">
        <v>1</v>
      </c>
      <c r="K55" s="41">
        <v>1</v>
      </c>
      <c r="L55" s="99">
        <f>IF(INTRO!$E$37="Endémique",IF($H55&gt;0,IF($H55=4,"Inconnu",IF($H55=99,"Interrompu",$D55)),0),"Non requis")</f>
        <v>148375</v>
      </c>
      <c r="M55" s="19">
        <f>IF(INTRO!$E$39="Endémique", IF($I55&gt;0, IF($I55=4,"Inconnu",IF($I55=99,"Interrompu",$D55)), 0),"Non requis")</f>
        <v>0</v>
      </c>
      <c r="N55" s="13">
        <v>0</v>
      </c>
      <c r="O55" s="42">
        <f>IF(INTRO!$E$43="Endémique", IF(AND($K55&gt;0,$K55&lt;5), IF($K55=4,"Inconnu", IF($K55=1, $F55*0.33, IF($K55=2, $F55*0.5+$G55*0.2, SUM(F55:G55)))), 0),"Non requis")</f>
        <v>13709.85</v>
      </c>
      <c r="P55" s="39">
        <v>1</v>
      </c>
      <c r="Q55" s="26"/>
      <c r="R55" s="26">
        <v>1</v>
      </c>
      <c r="S55" s="41">
        <v>1</v>
      </c>
      <c r="T55" s="175" t="s">
        <v>244</v>
      </c>
      <c r="U55" s="172"/>
      <c r="V55" s="172" t="s">
        <v>243</v>
      </c>
      <c r="W55" s="176" t="s">
        <v>243</v>
      </c>
      <c r="X55" s="17">
        <v>30030</v>
      </c>
      <c r="Y55" s="17" t="s">
        <v>214</v>
      </c>
      <c r="AE55"/>
      <c r="AF55"/>
    </row>
    <row r="56" spans="1:32" x14ac:dyDescent="0.4">
      <c r="A56" s="23" t="str">
        <f>IF(INTRO!$E$33&lt;&gt;0,INTRO!$E$33, " ")</f>
        <v>Mali</v>
      </c>
      <c r="B56" s="16" t="s">
        <v>213</v>
      </c>
      <c r="C56" s="38" t="s">
        <v>215</v>
      </c>
      <c r="D56" s="37">
        <v>201618</v>
      </c>
      <c r="E56" s="19">
        <f>IF(INTRO!$E$48="","",ROUND($D56*INTRO!$E$48,0))</f>
        <v>28227</v>
      </c>
      <c r="F56" s="19">
        <f>IF(INTRO!$E$49="","",ROUND($D56*INTRO!$E$49,0))</f>
        <v>56453</v>
      </c>
      <c r="G56" s="40">
        <f>IF(INTRO!$E$50="","",ROUND($D56*INTRO!$E$50,0))</f>
        <v>103833</v>
      </c>
      <c r="H56" s="39">
        <v>1</v>
      </c>
      <c r="I56" s="26">
        <v>0</v>
      </c>
      <c r="J56" s="26">
        <v>1</v>
      </c>
      <c r="K56" s="41">
        <v>1</v>
      </c>
      <c r="L56" s="99">
        <f>IF(INTRO!$E$37="Endémique",IF($H56&gt;0,IF($H56=4,"Inconnu",IF($H56=99,"Interrompu",$D56)),0),"Non requis")</f>
        <v>201618</v>
      </c>
      <c r="M56" s="19">
        <f>IF(INTRO!$E$39="Endémique", IF($I56&gt;0, IF($I56=4,"Inconnu",IF($I56=99,"Interrompu",$D56)), 0),"Non requis")</f>
        <v>0</v>
      </c>
      <c r="N56" s="13">
        <v>0</v>
      </c>
      <c r="O56" s="42">
        <f>IF(INTRO!$E$43="Endémique", IF(AND($K56&gt;0,$K56&lt;5), IF($K56=4,"Inconnu", IF($K56=1, $F56*0.33, IF($K56=2, $F56*0.5+$G56*0.2, SUM(F56:G56)))), 0),"Non requis")</f>
        <v>18629.490000000002</v>
      </c>
      <c r="P56" s="39">
        <v>1</v>
      </c>
      <c r="Q56" s="26"/>
      <c r="R56" s="26">
        <v>1</v>
      </c>
      <c r="S56" s="41">
        <v>1</v>
      </c>
      <c r="T56" s="175" t="s">
        <v>244</v>
      </c>
      <c r="U56" s="172"/>
      <c r="V56" s="172" t="s">
        <v>243</v>
      </c>
      <c r="W56" s="176" t="s">
        <v>243</v>
      </c>
      <c r="X56" s="17">
        <v>30031</v>
      </c>
      <c r="Y56" s="17" t="s">
        <v>215</v>
      </c>
      <c r="AE56"/>
      <c r="AF56"/>
    </row>
    <row r="57" spans="1:32" x14ac:dyDescent="0.4">
      <c r="A57" s="23" t="str">
        <f>IF(INTRO!$E$33&lt;&gt;0,INTRO!$E$33, " ")</f>
        <v>Mali</v>
      </c>
      <c r="B57" s="16" t="s">
        <v>213</v>
      </c>
      <c r="C57" s="38" t="s">
        <v>216</v>
      </c>
      <c r="D57" s="37">
        <v>149417</v>
      </c>
      <c r="E57" s="19">
        <f>IF(INTRO!$E$48="","",ROUND($D57*INTRO!$E$48,0))</f>
        <v>20918</v>
      </c>
      <c r="F57" s="19">
        <f>IF(INTRO!$E$49="","",ROUND($D57*INTRO!$E$49,0))</f>
        <v>41837</v>
      </c>
      <c r="G57" s="40">
        <f>IF(INTRO!$E$50="","",ROUND($D57*INTRO!$E$50,0))</f>
        <v>76950</v>
      </c>
      <c r="H57" s="39">
        <v>1</v>
      </c>
      <c r="I57" s="26">
        <v>0</v>
      </c>
      <c r="J57" s="26">
        <v>1</v>
      </c>
      <c r="K57" s="41">
        <v>1</v>
      </c>
      <c r="L57" s="99">
        <f>IF(INTRO!$E$37="Endémique",IF($H57&gt;0,IF($H57=4,"Inconnu",IF($H57=99,"Interrompu",$D57)),0),"Non requis")</f>
        <v>149417</v>
      </c>
      <c r="M57" s="19">
        <f>IF(INTRO!$E$39="Endémique", IF($I57&gt;0, IF($I57=4,"Inconnu",IF($I57=99,"Interrompu",$D57)), 0),"Non requis")</f>
        <v>0</v>
      </c>
      <c r="N57" s="13">
        <v>0</v>
      </c>
      <c r="O57" s="42">
        <f>IF(INTRO!$E$43="Endémique", IF(AND($K57&gt;0,$K57&lt;5), IF($K57=4,"Inconnu", IF($K57=1, $F57*0.33, IF($K57=2, $F57*0.5+$G57*0.2, SUM(F57:G57)))), 0),"Non requis")</f>
        <v>13806.210000000001</v>
      </c>
      <c r="P57" s="39">
        <v>1</v>
      </c>
      <c r="Q57" s="26"/>
      <c r="R57" s="26">
        <v>1</v>
      </c>
      <c r="S57" s="41">
        <v>1</v>
      </c>
      <c r="T57" s="175" t="s">
        <v>244</v>
      </c>
      <c r="U57" s="172"/>
      <c r="V57" s="172" t="s">
        <v>243</v>
      </c>
      <c r="W57" s="176" t="s">
        <v>243</v>
      </c>
      <c r="X57" s="17">
        <v>30032</v>
      </c>
      <c r="Y57" s="17" t="s">
        <v>216</v>
      </c>
      <c r="AE57"/>
      <c r="AF57"/>
    </row>
    <row r="58" spans="1:32" x14ac:dyDescent="0.4">
      <c r="A58" s="23" t="str">
        <f>IF(INTRO!$E$33&lt;&gt;0,INTRO!$E$33, " ")</f>
        <v>Mali</v>
      </c>
      <c r="B58" s="16" t="s">
        <v>213</v>
      </c>
      <c r="C58" s="38" t="s">
        <v>217</v>
      </c>
      <c r="D58" s="37">
        <v>247206</v>
      </c>
      <c r="E58" s="19">
        <f>IF(INTRO!$E$48="","",ROUND($D58*INTRO!$E$48,0))</f>
        <v>34609</v>
      </c>
      <c r="F58" s="19">
        <f>IF(INTRO!$E$49="","",ROUND($D58*INTRO!$E$49,0))</f>
        <v>69218</v>
      </c>
      <c r="G58" s="40">
        <f>IF(INTRO!$E$50="","",ROUND($D58*INTRO!$E$50,0))</f>
        <v>127311</v>
      </c>
      <c r="H58" s="39">
        <v>1</v>
      </c>
      <c r="I58" s="26">
        <v>0</v>
      </c>
      <c r="J58" s="26">
        <v>1</v>
      </c>
      <c r="K58" s="41">
        <v>1</v>
      </c>
      <c r="L58" s="99">
        <f>IF(INTRO!$E$37="Endémique",IF($H58&gt;0,IF($H58=4,"Inconnu",IF($H58=99,"Interrompu",$D58)),0),"Non requis")</f>
        <v>247206</v>
      </c>
      <c r="M58" s="19">
        <f>IF(INTRO!$E$39="Endémique", IF($I58&gt;0, IF($I58=4,"Inconnu",IF($I58=99,"Interrompu",$D58)), 0),"Non requis")</f>
        <v>0</v>
      </c>
      <c r="N58" s="13">
        <v>0</v>
      </c>
      <c r="O58" s="42">
        <f>IF(INTRO!$E$43="Endémique", IF(AND($K58&gt;0,$K58&lt;5), IF($K58=4,"Inconnu", IF($K58=1, $F58*0.33, IF($K58=2, $F58*0.5+$G58*0.2, SUM(F58:G58)))), 0),"Non requis")</f>
        <v>22841.940000000002</v>
      </c>
      <c r="P58" s="39">
        <v>1</v>
      </c>
      <c r="Q58" s="26"/>
      <c r="R58" s="26">
        <v>1</v>
      </c>
      <c r="S58" s="41">
        <v>1</v>
      </c>
      <c r="T58" s="175" t="s">
        <v>244</v>
      </c>
      <c r="U58" s="172"/>
      <c r="V58" s="172" t="s">
        <v>243</v>
      </c>
      <c r="W58" s="176" t="s">
        <v>243</v>
      </c>
      <c r="X58" s="17">
        <v>30033</v>
      </c>
      <c r="Y58" s="17" t="s">
        <v>217</v>
      </c>
      <c r="AE58"/>
      <c r="AF58"/>
    </row>
    <row r="59" spans="1:32" x14ac:dyDescent="0.4">
      <c r="A59" s="23" t="str">
        <f>IF(INTRO!$E$33&lt;&gt;0,INTRO!$E$33, " ")</f>
        <v>Mali</v>
      </c>
      <c r="B59" s="16" t="s">
        <v>213</v>
      </c>
      <c r="C59" s="38" t="s">
        <v>213</v>
      </c>
      <c r="D59" s="37">
        <v>167071</v>
      </c>
      <c r="E59" s="19">
        <f>IF(INTRO!$E$48="","",ROUND($D59*INTRO!$E$48,0))</f>
        <v>23390</v>
      </c>
      <c r="F59" s="19">
        <f>IF(INTRO!$E$49="","",ROUND($D59*INTRO!$E$49,0))</f>
        <v>46780</v>
      </c>
      <c r="G59" s="40">
        <f>IF(INTRO!$E$50="","",ROUND($D59*INTRO!$E$50,0))</f>
        <v>86042</v>
      </c>
      <c r="H59" s="39">
        <v>1</v>
      </c>
      <c r="I59" s="26">
        <v>0</v>
      </c>
      <c r="J59" s="26">
        <v>1</v>
      </c>
      <c r="K59" s="41">
        <v>1</v>
      </c>
      <c r="L59" s="99">
        <f>IF(INTRO!$E$37="Endémique",IF($H59&gt;0,IF($H59=4,"Inconnu",IF($H59=99,"Interrompu",$D59)),0),"Non requis")</f>
        <v>167071</v>
      </c>
      <c r="M59" s="19">
        <f>IF(INTRO!$E$39="Endémique", IF($I59&gt;0, IF($I59=4,"Inconnu",IF($I59=99,"Interrompu",$D59)), 0),"Non requis")</f>
        <v>0</v>
      </c>
      <c r="N59" s="13">
        <v>0</v>
      </c>
      <c r="O59" s="42">
        <f>IF(INTRO!$E$43="Endémique", IF(AND($K59&gt;0,$K59&lt;5), IF($K59=4,"Inconnu", IF($K59=1, $F59*0.33, IF($K59=2, $F59*0.5+$G59*0.2, SUM(F59:G59)))), 0),"Non requis")</f>
        <v>15437.400000000001</v>
      </c>
      <c r="P59" s="39">
        <v>1</v>
      </c>
      <c r="Q59" s="26"/>
      <c r="R59" s="26">
        <v>1</v>
      </c>
      <c r="S59" s="41">
        <v>1</v>
      </c>
      <c r="T59" s="175" t="s">
        <v>244</v>
      </c>
      <c r="U59" s="172"/>
      <c r="V59" s="172" t="s">
        <v>243</v>
      </c>
      <c r="W59" s="176" t="s">
        <v>243</v>
      </c>
      <c r="X59" s="17">
        <v>30034</v>
      </c>
      <c r="Y59" s="17" t="s">
        <v>213</v>
      </c>
      <c r="AE59"/>
      <c r="AF59"/>
    </row>
    <row r="60" spans="1:32" x14ac:dyDescent="0.4">
      <c r="A60" s="23" t="str">
        <f>IF(INTRO!$E$33&lt;&gt;0,INTRO!$E$33, " ")</f>
        <v>Mali</v>
      </c>
      <c r="B60" s="16" t="s">
        <v>218</v>
      </c>
      <c r="C60" s="38" t="s">
        <v>219</v>
      </c>
      <c r="D60" s="37">
        <v>177461</v>
      </c>
      <c r="E60" s="19">
        <f>IF(INTRO!$E$48="","",ROUND($D60*INTRO!$E$48,0))</f>
        <v>24845</v>
      </c>
      <c r="F60" s="19">
        <f>IF(INTRO!$E$49="","",ROUND($D60*INTRO!$E$49,0))</f>
        <v>49689</v>
      </c>
      <c r="G60" s="40">
        <f>IF(INTRO!$E$50="","",ROUND($D60*INTRO!$E$50,0))</f>
        <v>91392</v>
      </c>
      <c r="H60" s="39">
        <v>1</v>
      </c>
      <c r="I60" s="26">
        <v>0</v>
      </c>
      <c r="J60" s="26">
        <v>1</v>
      </c>
      <c r="K60" s="41">
        <v>1</v>
      </c>
      <c r="L60" s="99">
        <f>IF(INTRO!$E$37="Endémique",IF($H60&gt;0,IF($H60=4,"Inconnu",IF($H60=99,"Interrompu",$D60)),0),"Non requis")</f>
        <v>177461</v>
      </c>
      <c r="M60" s="19">
        <f>IF(INTRO!$E$39="Endémique", IF($I60&gt;0, IF($I60=4,"Inconnu",IF($I60=99,"Interrompu",$D60)), 0),"Non requis")</f>
        <v>0</v>
      </c>
      <c r="N60" s="13">
        <v>0</v>
      </c>
      <c r="O60" s="42">
        <f>IF(INTRO!$E$43="Endémique", IF(AND($K60&gt;0,$K60&lt;5), IF($K60=4,"Inconnu", IF($K60=1, $F60*0.33, IF($K60=2, $F60*0.5+$G60*0.2, SUM(F60:G60)))), 0),"Non requis")</f>
        <v>16397.37</v>
      </c>
      <c r="P60" s="39">
        <v>1</v>
      </c>
      <c r="Q60" s="26"/>
      <c r="R60" s="26">
        <v>1</v>
      </c>
      <c r="S60" s="41">
        <v>1</v>
      </c>
      <c r="T60" s="175" t="s">
        <v>244</v>
      </c>
      <c r="U60" s="172"/>
      <c r="V60" s="172" t="s">
        <v>243</v>
      </c>
      <c r="W60" s="176" t="s">
        <v>243</v>
      </c>
      <c r="X60" s="17">
        <v>29978</v>
      </c>
      <c r="Y60" s="17" t="s">
        <v>219</v>
      </c>
      <c r="AE60"/>
      <c r="AF60"/>
    </row>
    <row r="61" spans="1:32" x14ac:dyDescent="0.4">
      <c r="A61" s="23" t="str">
        <f>IF(INTRO!$E$33&lt;&gt;0,INTRO!$E$33, " ")</f>
        <v>Mali</v>
      </c>
      <c r="B61" s="16" t="s">
        <v>218</v>
      </c>
      <c r="C61" s="38" t="s">
        <v>220</v>
      </c>
      <c r="D61" s="37">
        <v>143694</v>
      </c>
      <c r="E61" s="19">
        <f>IF(INTRO!$E$48="","",ROUND($D61*INTRO!$E$48,0))</f>
        <v>20117</v>
      </c>
      <c r="F61" s="19">
        <f>IF(INTRO!$E$49="","",ROUND($D61*INTRO!$E$49,0))</f>
        <v>40234</v>
      </c>
      <c r="G61" s="40">
        <f>IF(INTRO!$E$50="","",ROUND($D61*INTRO!$E$50,0))</f>
        <v>74002</v>
      </c>
      <c r="H61" s="39">
        <v>1</v>
      </c>
      <c r="I61" s="26">
        <v>0</v>
      </c>
      <c r="J61" s="26">
        <v>1</v>
      </c>
      <c r="K61" s="41">
        <v>1</v>
      </c>
      <c r="L61" s="99">
        <f>IF(INTRO!$E$37="Endémique",IF($H61&gt;0,IF($H61=4,"Inconnu",IF($H61=99,"Interrompu",$D61)),0),"Non requis")</f>
        <v>143694</v>
      </c>
      <c r="M61" s="19">
        <f>IF(INTRO!$E$39="Endémique", IF($I61&gt;0, IF($I61=4,"Inconnu",IF($I61=99,"Interrompu",$D61)), 0),"Non requis")</f>
        <v>0</v>
      </c>
      <c r="N61" s="13">
        <v>0</v>
      </c>
      <c r="O61" s="42">
        <f>IF(INTRO!$E$43="Endémique", IF(AND($K61&gt;0,$K61&lt;5), IF($K61=4,"Inconnu", IF($K61=1, $F61*0.33, IF($K61=2, $F61*0.5+$G61*0.2, SUM(F61:G61)))), 0),"Non requis")</f>
        <v>13277.220000000001</v>
      </c>
      <c r="P61" s="39">
        <v>1</v>
      </c>
      <c r="Q61" s="26"/>
      <c r="R61" s="26">
        <v>1</v>
      </c>
      <c r="S61" s="41">
        <v>1</v>
      </c>
      <c r="T61" s="175" t="s">
        <v>244</v>
      </c>
      <c r="U61" s="172"/>
      <c r="V61" s="172" t="s">
        <v>243</v>
      </c>
      <c r="W61" s="176" t="s">
        <v>243</v>
      </c>
      <c r="X61" s="17">
        <v>29979</v>
      </c>
      <c r="Y61" s="17" t="s">
        <v>220</v>
      </c>
      <c r="AE61"/>
      <c r="AF61"/>
    </row>
    <row r="62" spans="1:32" x14ac:dyDescent="0.4">
      <c r="A62" s="23" t="str">
        <f>IF(INTRO!$E$33&lt;&gt;0,INTRO!$E$33, " ")</f>
        <v>Mali</v>
      </c>
      <c r="B62" s="16" t="s">
        <v>218</v>
      </c>
      <c r="C62" s="38" t="s">
        <v>218</v>
      </c>
      <c r="D62" s="37">
        <v>321958</v>
      </c>
      <c r="E62" s="19">
        <f>IF(INTRO!$E$48="","",ROUND($D62*INTRO!$E$48,0))</f>
        <v>45074</v>
      </c>
      <c r="F62" s="19">
        <f>IF(INTRO!$E$49="","",ROUND($D62*INTRO!$E$49,0))</f>
        <v>90148</v>
      </c>
      <c r="G62" s="40">
        <f>IF(INTRO!$E$50="","",ROUND($D62*INTRO!$E$50,0))</f>
        <v>165808</v>
      </c>
      <c r="H62" s="39">
        <v>1</v>
      </c>
      <c r="I62" s="26">
        <v>0</v>
      </c>
      <c r="J62" s="26">
        <v>1</v>
      </c>
      <c r="K62" s="41">
        <v>1</v>
      </c>
      <c r="L62" s="99">
        <f>IF(INTRO!$E$37="Endémique",IF($H62&gt;0,IF($H62=4,"Inconnu",IF($H62=99,"Interrompu",$D62)),0),"Non requis")</f>
        <v>321958</v>
      </c>
      <c r="M62" s="19">
        <f>IF(INTRO!$E$39="Endémique", IF($I62&gt;0, IF($I62=4,"Inconnu",IF($I62=99,"Interrompu",$D62)), 0),"Non requis")</f>
        <v>0</v>
      </c>
      <c r="N62" s="13">
        <v>0</v>
      </c>
      <c r="O62" s="42">
        <f>IF(INTRO!$E$43="Endémique", IF(AND($K62&gt;0,$K62&lt;5), IF($K62=4,"Inconnu", IF($K62=1, $F62*0.33, IF($K62=2, $F62*0.5+$G62*0.2, SUM(F62:G62)))), 0),"Non requis")</f>
        <v>29748.84</v>
      </c>
      <c r="P62" s="39">
        <v>1</v>
      </c>
      <c r="Q62" s="26"/>
      <c r="R62" s="26">
        <v>1</v>
      </c>
      <c r="S62" s="41">
        <v>1</v>
      </c>
      <c r="T62" s="175" t="s">
        <v>244</v>
      </c>
      <c r="U62" s="172"/>
      <c r="V62" s="172" t="s">
        <v>243</v>
      </c>
      <c r="W62" s="176" t="s">
        <v>243</v>
      </c>
      <c r="X62" s="17">
        <v>29980</v>
      </c>
      <c r="Y62" s="17" t="s">
        <v>218</v>
      </c>
      <c r="AE62"/>
      <c r="AF62"/>
    </row>
    <row r="63" spans="1:32" x14ac:dyDescent="0.4">
      <c r="A63" s="23" t="str">
        <f>IF(INTRO!$E$33&lt;&gt;0,INTRO!$E$33, " ")</f>
        <v>Mali</v>
      </c>
      <c r="B63" s="16" t="s">
        <v>218</v>
      </c>
      <c r="C63" s="38" t="s">
        <v>221</v>
      </c>
      <c r="D63" s="37">
        <v>11958</v>
      </c>
      <c r="E63" s="19">
        <f>IF(INTRO!$E$48="","",ROUND($D63*INTRO!$E$48,0))</f>
        <v>1674</v>
      </c>
      <c r="F63" s="19">
        <f>IF(INTRO!$E$49="","",ROUND($D63*INTRO!$E$49,0))</f>
        <v>3348</v>
      </c>
      <c r="G63" s="40">
        <f>IF(INTRO!$E$50="","",ROUND($D63*INTRO!$E$50,0))</f>
        <v>6158</v>
      </c>
      <c r="H63" s="39">
        <v>1</v>
      </c>
      <c r="I63" s="26">
        <v>0</v>
      </c>
      <c r="J63" s="26">
        <v>1</v>
      </c>
      <c r="K63" s="41">
        <v>1</v>
      </c>
      <c r="L63" s="99">
        <f>IF(INTRO!$E$37="Endémique",IF($H63&gt;0,IF($H63=4,"Inconnu",IF($H63=99,"Interrompu",$D63)),0),"Non requis")</f>
        <v>11958</v>
      </c>
      <c r="M63" s="19">
        <f>IF(INTRO!$E$39="Endémique", IF($I63&gt;0, IF($I63=4,"Inconnu",IF($I63=99,"Interrompu",$D63)), 0),"Non requis")</f>
        <v>0</v>
      </c>
      <c r="N63" s="13">
        <v>0</v>
      </c>
      <c r="O63" s="42">
        <f>IF(INTRO!$E$43="Endémique", IF(AND($K63&gt;0,$K63&lt;5), IF($K63=4,"Inconnu", IF($K63=1, $F63*0.33, IF($K63=2, $F63*0.5+$G63*0.2, SUM(F63:G63)))), 0),"Non requis")</f>
        <v>1104.8400000000001</v>
      </c>
      <c r="P63" s="39">
        <v>1</v>
      </c>
      <c r="Q63" s="26"/>
      <c r="R63" s="26">
        <v>1</v>
      </c>
      <c r="S63" s="41"/>
      <c r="T63" s="175" t="s">
        <v>244</v>
      </c>
      <c r="U63" s="172"/>
      <c r="V63" s="172" t="s">
        <v>243</v>
      </c>
      <c r="W63" s="176" t="s">
        <v>243</v>
      </c>
      <c r="X63" s="17">
        <v>30035</v>
      </c>
      <c r="Y63" s="17" t="s">
        <v>221</v>
      </c>
      <c r="AE63"/>
      <c r="AF63"/>
    </row>
    <row r="64" spans="1:32" x14ac:dyDescent="0.4">
      <c r="A64" s="23" t="str">
        <f>IF(INTRO!$E$33&lt;&gt;0,INTRO!$E$33, " ")</f>
        <v>Mali</v>
      </c>
      <c r="B64" s="16" t="s">
        <v>222</v>
      </c>
      <c r="C64" s="38" t="s">
        <v>223</v>
      </c>
      <c r="D64" s="37">
        <v>13865</v>
      </c>
      <c r="E64" s="19">
        <f>IF(INTRO!$E$48="","",ROUND($D64*INTRO!$E$48,0))</f>
        <v>1941</v>
      </c>
      <c r="F64" s="19">
        <f>IF(INTRO!$E$49="","",ROUND($D64*INTRO!$E$49,0))</f>
        <v>3882</v>
      </c>
      <c r="G64" s="40">
        <f>IF(INTRO!$E$50="","",ROUND($D64*INTRO!$E$50,0))</f>
        <v>7140</v>
      </c>
      <c r="H64" s="39">
        <v>1</v>
      </c>
      <c r="I64" s="26">
        <v>0</v>
      </c>
      <c r="J64" s="26">
        <v>1</v>
      </c>
      <c r="K64" s="41"/>
      <c r="L64" s="99">
        <f>IF(INTRO!$E$37="Endémique",IF($H64&gt;0,IF($H64=4,"Inconnu",IF($H64=99,"Interrompu",$D64)),0),"Non requis")</f>
        <v>13865</v>
      </c>
      <c r="M64" s="19">
        <f>IF(INTRO!$E$39="Endémique", IF($I64&gt;0, IF($I64=4,"Inconnu",IF($I64=99,"Interrompu",$D64)), 0),"Non requis")</f>
        <v>0</v>
      </c>
      <c r="N64" s="13">
        <v>0</v>
      </c>
      <c r="O64" s="42">
        <f>IF(INTRO!$E$43="Endémique", IF(AND($K64&gt;0,$K64&lt;5), IF($K64=4,"Inconnu", IF($K64=1, $F64*0.33, IF($K64=2, $F64*0.5+$G64*0.2, SUM(F64:G64)))), 0),"Non requis")</f>
        <v>0</v>
      </c>
      <c r="P64" s="39">
        <v>1</v>
      </c>
      <c r="Q64" s="26"/>
      <c r="R64" s="26">
        <v>1</v>
      </c>
      <c r="S64" s="41"/>
      <c r="T64" s="175" t="s">
        <v>244</v>
      </c>
      <c r="U64" s="172"/>
      <c r="V64" s="172" t="s">
        <v>243</v>
      </c>
      <c r="W64" s="176" t="s">
        <v>243</v>
      </c>
      <c r="X64" s="17">
        <v>29990</v>
      </c>
      <c r="Y64" s="17" t="s">
        <v>223</v>
      </c>
      <c r="AE64"/>
      <c r="AF64"/>
    </row>
    <row r="65" spans="1:32" x14ac:dyDescent="0.4">
      <c r="A65" s="23" t="str">
        <f>IF(INTRO!$E$33&lt;&gt;0,INTRO!$E$33, " ")</f>
        <v>Mali</v>
      </c>
      <c r="B65" s="16" t="s">
        <v>222</v>
      </c>
      <c r="C65" s="38" t="s">
        <v>222</v>
      </c>
      <c r="D65" s="37">
        <v>44598</v>
      </c>
      <c r="E65" s="19">
        <f>IF(INTRO!$E$48="","",ROUND($D65*INTRO!$E$48,0))</f>
        <v>6244</v>
      </c>
      <c r="F65" s="19">
        <f>IF(INTRO!$E$49="","",ROUND($D65*INTRO!$E$49,0))</f>
        <v>12487</v>
      </c>
      <c r="G65" s="40">
        <f>IF(INTRO!$E$50="","",ROUND($D65*INTRO!$E$50,0))</f>
        <v>22968</v>
      </c>
      <c r="H65" s="39">
        <v>1</v>
      </c>
      <c r="I65" s="26">
        <v>0</v>
      </c>
      <c r="J65" s="26">
        <v>1</v>
      </c>
      <c r="K65" s="41"/>
      <c r="L65" s="99">
        <f>IF(INTRO!$E$37="Endémique",IF($H65&gt;0,IF($H65=4,"Inconnu",IF($H65=99,"Interrompu",$D65)),0),"Non requis")</f>
        <v>44598</v>
      </c>
      <c r="M65" s="19">
        <f>IF(INTRO!$E$39="Endémique", IF($I65&gt;0, IF($I65=4,"Inconnu",IF($I65=99,"Interrompu",$D65)), 0),"Non requis")</f>
        <v>0</v>
      </c>
      <c r="N65" s="13">
        <v>0</v>
      </c>
      <c r="O65" s="42">
        <f>IF(INTRO!$E$43="Endémique", IF(AND($K65&gt;0,$K65&lt;5), IF($K65=4,"Inconnu", IF($K65=1, $F65*0.33, IF($K65=2, $F65*0.5+$G65*0.2, SUM(F65:G65)))), 0),"Non requis")</f>
        <v>0</v>
      </c>
      <c r="P65" s="39">
        <v>1</v>
      </c>
      <c r="Q65" s="26"/>
      <c r="R65" s="26">
        <v>1</v>
      </c>
      <c r="S65" s="41"/>
      <c r="T65" s="175" t="s">
        <v>244</v>
      </c>
      <c r="U65" s="172"/>
      <c r="V65" s="172" t="s">
        <v>243</v>
      </c>
      <c r="W65" s="176" t="s">
        <v>243</v>
      </c>
      <c r="X65" s="17">
        <v>29991</v>
      </c>
      <c r="Y65" s="17" t="s">
        <v>222</v>
      </c>
      <c r="AE65"/>
      <c r="AF65"/>
    </row>
    <row r="66" spans="1:32" x14ac:dyDescent="0.4">
      <c r="A66" s="23" t="str">
        <f>IF(INTRO!$E$33&lt;&gt;0,INTRO!$E$33, " ")</f>
        <v>Mali</v>
      </c>
      <c r="B66" s="16" t="s">
        <v>222</v>
      </c>
      <c r="C66" s="38" t="s">
        <v>224</v>
      </c>
      <c r="D66" s="37">
        <v>21956</v>
      </c>
      <c r="E66" s="19">
        <f>IF(INTRO!$E$48="","",ROUND($D66*INTRO!$E$48,0))</f>
        <v>3074</v>
      </c>
      <c r="F66" s="19">
        <f>IF(INTRO!$E$49="","",ROUND($D66*INTRO!$E$49,0))</f>
        <v>6148</v>
      </c>
      <c r="G66" s="40">
        <f>IF(INTRO!$E$50="","",ROUND($D66*INTRO!$E$50,0))</f>
        <v>11307</v>
      </c>
      <c r="H66" s="39">
        <v>1</v>
      </c>
      <c r="I66" s="26">
        <v>0</v>
      </c>
      <c r="J66" s="26">
        <v>1</v>
      </c>
      <c r="K66" s="41"/>
      <c r="L66" s="99">
        <f>IF(INTRO!$E$37="Endémique",IF($H66&gt;0,IF($H66=4,"Inconnu",IF($H66=99,"Interrompu",$D66)),0),"Non requis")</f>
        <v>21956</v>
      </c>
      <c r="M66" s="19">
        <f>IF(INTRO!$E$39="Endémique", IF($I66&gt;0, IF($I66=4,"Inconnu",IF($I66=99,"Interrompu",$D66)), 0),"Non requis")</f>
        <v>0</v>
      </c>
      <c r="N66" s="13">
        <v>0</v>
      </c>
      <c r="O66" s="42">
        <f>IF(INTRO!$E$43="Endémique", IF(AND($K66&gt;0,$K66&lt;5), IF($K66=4,"Inconnu", IF($K66=1, $F66*0.33, IF($K66=2, $F66*0.5+$G66*0.2, SUM(F66:G66)))), 0),"Non requis")</f>
        <v>0</v>
      </c>
      <c r="P66" s="39">
        <v>1</v>
      </c>
      <c r="Q66" s="26"/>
      <c r="R66" s="26">
        <v>1</v>
      </c>
      <c r="S66" s="41"/>
      <c r="T66" s="175" t="s">
        <v>244</v>
      </c>
      <c r="U66" s="172"/>
      <c r="V66" s="172" t="s">
        <v>243</v>
      </c>
      <c r="W66" s="176" t="s">
        <v>243</v>
      </c>
      <c r="X66" s="17">
        <v>29992</v>
      </c>
      <c r="Y66" s="17" t="s">
        <v>224</v>
      </c>
      <c r="AE66"/>
      <c r="AF66"/>
    </row>
    <row r="67" spans="1:32" x14ac:dyDescent="0.4">
      <c r="A67" s="23" t="str">
        <f>IF(INTRO!$E$33&lt;&gt;0,INTRO!$E$33, " ")</f>
        <v>Mali</v>
      </c>
      <c r="B67" s="16" t="s">
        <v>222</v>
      </c>
      <c r="C67" s="38" t="s">
        <v>225</v>
      </c>
      <c r="D67" s="37">
        <v>10751</v>
      </c>
      <c r="E67" s="19">
        <f>IF(INTRO!$E$48="","",ROUND($D67*INTRO!$E$48,0))</f>
        <v>1505</v>
      </c>
      <c r="F67" s="19">
        <f>IF(INTRO!$E$49="","",ROUND($D67*INTRO!$E$49,0))</f>
        <v>3010</v>
      </c>
      <c r="G67" s="40">
        <f>IF(INTRO!$E$50="","",ROUND($D67*INTRO!$E$50,0))</f>
        <v>5537</v>
      </c>
      <c r="H67" s="39">
        <v>1</v>
      </c>
      <c r="I67" s="26">
        <v>0</v>
      </c>
      <c r="J67" s="26">
        <v>1</v>
      </c>
      <c r="K67" s="41"/>
      <c r="L67" s="99">
        <f>IF(INTRO!$E$37="Endémique",IF($H67&gt;0,IF($H67=4,"Inconnu",IF($H67=99,"Interrompu",$D67)),0),"Non requis")</f>
        <v>10751</v>
      </c>
      <c r="M67" s="19">
        <f>IF(INTRO!$E$39="Endémique", IF($I67&gt;0, IF($I67=4,"Inconnu",IF($I67=99,"Interrompu",$D67)), 0),"Non requis")</f>
        <v>0</v>
      </c>
      <c r="N67" s="13">
        <v>0</v>
      </c>
      <c r="O67" s="42">
        <f>IF(INTRO!$E$43="Endémique", IF(AND($K67&gt;0,$K67&lt;5), IF($K67=4,"Inconnu", IF($K67=1, $F67*0.33, IF($K67=2, $F67*0.5+$G67*0.2, SUM(F67:G67)))), 0),"Non requis")</f>
        <v>0</v>
      </c>
      <c r="P67" s="39">
        <v>1</v>
      </c>
      <c r="Q67" s="26"/>
      <c r="R67" s="26">
        <v>1</v>
      </c>
      <c r="S67" s="41"/>
      <c r="T67" s="175" t="s">
        <v>244</v>
      </c>
      <c r="U67" s="172"/>
      <c r="V67" s="172" t="s">
        <v>243</v>
      </c>
      <c r="W67" s="176" t="s">
        <v>243</v>
      </c>
      <c r="X67" s="17">
        <v>29993</v>
      </c>
      <c r="Y67" s="17" t="s">
        <v>225</v>
      </c>
      <c r="AE67"/>
      <c r="AF67"/>
    </row>
    <row r="68" spans="1:32" x14ac:dyDescent="0.4">
      <c r="A68" s="23" t="str">
        <f>IF(INTRO!$E$33&lt;&gt;0,INTRO!$E$33, " ")</f>
        <v>Mali</v>
      </c>
      <c r="B68" s="16" t="s">
        <v>226</v>
      </c>
      <c r="C68" s="38" t="s">
        <v>227</v>
      </c>
      <c r="D68" s="37">
        <v>451757</v>
      </c>
      <c r="E68" s="19">
        <f>IF(INTRO!$E$48="","",ROUND($D68*INTRO!$E$48,0))</f>
        <v>63246</v>
      </c>
      <c r="F68" s="19">
        <f>IF(INTRO!$E$49="","",ROUND($D68*INTRO!$E$49,0))</f>
        <v>126492</v>
      </c>
      <c r="G68" s="40">
        <f>IF(INTRO!$E$50="","",ROUND($D68*INTRO!$E$50,0))</f>
        <v>232655</v>
      </c>
      <c r="H68" s="39">
        <v>99</v>
      </c>
      <c r="I68" s="26">
        <v>0</v>
      </c>
      <c r="J68" s="26">
        <v>0</v>
      </c>
      <c r="K68" s="41">
        <v>1</v>
      </c>
      <c r="L68" s="99" t="str">
        <f>IF(INTRO!$E$37="Endémique",IF($H68&gt;0,IF($H68=4,"Inconnu",IF($H68=99,"Interrompu",$D68)),0),"Non requis")</f>
        <v>Interrompu</v>
      </c>
      <c r="M68" s="19">
        <f>IF(INTRO!$E$39="Endémique", IF($I68&gt;0, IF($I68=4,"Inconnu",IF($I68=99,"Interrompu",$D68)), 0),"Non requis")</f>
        <v>0</v>
      </c>
      <c r="N68" s="13">
        <v>0</v>
      </c>
      <c r="O68" s="42">
        <f>IF(INTRO!$E$43="Endémique", IF(AND($K68&gt;0,$K68&lt;5), IF($K68=4,"Inconnu", IF($K68=1, $F68*0.33, IF($K68=2, $F68*0.5+$G68*0.2, SUM(F68:G68)))), 0),"Non requis")</f>
        <v>41742.36</v>
      </c>
      <c r="P68" s="39"/>
      <c r="Q68" s="26"/>
      <c r="R68" s="26">
        <v>0</v>
      </c>
      <c r="S68" s="41">
        <v>1</v>
      </c>
      <c r="T68" s="175"/>
      <c r="U68" s="172"/>
      <c r="V68" s="172"/>
      <c r="W68" s="176"/>
      <c r="X68" s="17">
        <v>29972</v>
      </c>
      <c r="Y68" s="17" t="s">
        <v>227</v>
      </c>
      <c r="AE68"/>
      <c r="AF68"/>
    </row>
    <row r="69" spans="1:32" x14ac:dyDescent="0.4">
      <c r="A69" s="23" t="str">
        <f>IF(INTRO!$E$33&lt;&gt;0,INTRO!$E$33, " ")</f>
        <v>Mali</v>
      </c>
      <c r="B69" s="16" t="s">
        <v>226</v>
      </c>
      <c r="C69" s="38" t="s">
        <v>228</v>
      </c>
      <c r="D69" s="37">
        <v>215240</v>
      </c>
      <c r="E69" s="19">
        <f>IF(INTRO!$E$48="","",ROUND($D69*INTRO!$E$48,0))</f>
        <v>30134</v>
      </c>
      <c r="F69" s="19">
        <f>IF(INTRO!$E$49="","",ROUND($D69*INTRO!$E$49,0))</f>
        <v>60267</v>
      </c>
      <c r="G69" s="40">
        <f>IF(INTRO!$E$50="","",ROUND($D69*INTRO!$E$50,0))</f>
        <v>110849</v>
      </c>
      <c r="H69" s="39">
        <v>99</v>
      </c>
      <c r="I69" s="26">
        <v>0</v>
      </c>
      <c r="J69" s="26">
        <v>0</v>
      </c>
      <c r="K69" s="41">
        <v>1</v>
      </c>
      <c r="L69" s="99" t="str">
        <f>IF(INTRO!$E$37="Endémique",IF($H69&gt;0,IF($H69=4,"Inconnu",IF($H69=99,"Interrompu",$D69)),0),"Non requis")</f>
        <v>Interrompu</v>
      </c>
      <c r="M69" s="19">
        <f>IF(INTRO!$E$39="Endémique", IF($I69&gt;0, IF($I69=4,"Inconnu",IF($I69=99,"Interrompu",$D69)), 0),"Non requis")</f>
        <v>0</v>
      </c>
      <c r="N69" s="13">
        <v>0</v>
      </c>
      <c r="O69" s="42">
        <f>IF(INTRO!$E$43="Endémique", IF(AND($K69&gt;0,$K69&lt;5), IF($K69=4,"Inconnu", IF($K69=1, $F69*0.33, IF($K69=2, $F69*0.5+$G69*0.2, SUM(F69:G69)))), 0),"Non requis")</f>
        <v>19888.11</v>
      </c>
      <c r="P69" s="39"/>
      <c r="Q69" s="26"/>
      <c r="R69" s="26">
        <v>0</v>
      </c>
      <c r="S69" s="41">
        <v>1</v>
      </c>
      <c r="T69" s="175"/>
      <c r="U69" s="172"/>
      <c r="V69" s="172"/>
      <c r="W69" s="176"/>
      <c r="X69" s="17">
        <v>29973</v>
      </c>
      <c r="Y69" s="17" t="s">
        <v>228</v>
      </c>
      <c r="AE69"/>
      <c r="AF69"/>
    </row>
    <row r="70" spans="1:32" x14ac:dyDescent="0.4">
      <c r="A70" s="23" t="str">
        <f>IF(INTRO!$E$33&lt;&gt;0,INTRO!$E$33, " ")</f>
        <v>Mali</v>
      </c>
      <c r="B70" s="16" t="s">
        <v>226</v>
      </c>
      <c r="C70" s="38" t="s">
        <v>229</v>
      </c>
      <c r="D70" s="37">
        <v>173577</v>
      </c>
      <c r="E70" s="19">
        <f>IF(INTRO!$E$48="","",ROUND($D70*INTRO!$E$48,0))</f>
        <v>24301</v>
      </c>
      <c r="F70" s="19">
        <f>IF(INTRO!$E$49="","",ROUND($D70*INTRO!$E$49,0))</f>
        <v>48602</v>
      </c>
      <c r="G70" s="40">
        <f>IF(INTRO!$E$50="","",ROUND($D70*INTRO!$E$50,0))</f>
        <v>89392</v>
      </c>
      <c r="H70" s="39">
        <v>99</v>
      </c>
      <c r="I70" s="26">
        <v>0</v>
      </c>
      <c r="J70" s="26">
        <v>0</v>
      </c>
      <c r="K70" s="41">
        <v>1</v>
      </c>
      <c r="L70" s="99" t="str">
        <f>IF(INTRO!$E$37="Endémique",IF($H70&gt;0,IF($H70=4,"Inconnu",IF($H70=99,"Interrompu",$D70)),0),"Non requis")</f>
        <v>Interrompu</v>
      </c>
      <c r="M70" s="19">
        <f>IF(INTRO!$E$39="Endémique", IF($I70&gt;0, IF($I70=4,"Inconnu",IF($I70=99,"Interrompu",$D70)), 0),"Non requis")</f>
        <v>0</v>
      </c>
      <c r="N70" s="13">
        <v>0</v>
      </c>
      <c r="O70" s="42">
        <f>IF(INTRO!$E$43="Endémique", IF(AND($K70&gt;0,$K70&lt;5), IF($K70=4,"Inconnu", IF($K70=1, $F70*0.33, IF($K70=2, $F70*0.5+$G70*0.2, SUM(F70:G70)))), 0),"Non requis")</f>
        <v>16038.66</v>
      </c>
      <c r="P70" s="39"/>
      <c r="Q70" s="26"/>
      <c r="R70" s="26">
        <v>0</v>
      </c>
      <c r="S70" s="41">
        <v>1</v>
      </c>
      <c r="T70" s="175"/>
      <c r="U70" s="172"/>
      <c r="V70" s="172"/>
      <c r="W70" s="176"/>
      <c r="X70" s="17">
        <v>29974</v>
      </c>
      <c r="Y70" s="17" t="s">
        <v>229</v>
      </c>
      <c r="AE70"/>
      <c r="AF70"/>
    </row>
    <row r="71" spans="1:32" x14ac:dyDescent="0.4">
      <c r="A71" s="23" t="str">
        <f>IF(INTRO!$E$33&lt;&gt;0,INTRO!$E$33, " ")</f>
        <v>Mali</v>
      </c>
      <c r="B71" s="16" t="s">
        <v>226</v>
      </c>
      <c r="C71" s="38" t="s">
        <v>230</v>
      </c>
      <c r="D71" s="37">
        <v>404182</v>
      </c>
      <c r="E71" s="19">
        <f>IF(INTRO!$E$48="","",ROUND($D71*INTRO!$E$48,0))</f>
        <v>56585</v>
      </c>
      <c r="F71" s="19">
        <f>IF(INTRO!$E$49="","",ROUND($D71*INTRO!$E$49,0))</f>
        <v>113171</v>
      </c>
      <c r="G71" s="40">
        <f>IF(INTRO!$E$50="","",ROUND($D71*INTRO!$E$50,0))</f>
        <v>208154</v>
      </c>
      <c r="H71" s="39">
        <v>99</v>
      </c>
      <c r="I71" s="26">
        <v>0</v>
      </c>
      <c r="J71" s="26">
        <v>0</v>
      </c>
      <c r="K71" s="41">
        <v>1</v>
      </c>
      <c r="L71" s="99" t="str">
        <f>IF(INTRO!$E$37="Endémique",IF($H71&gt;0,IF($H71=4,"Inconnu",IF($H71=99,"Interrompu",$D71)),0),"Non requis")</f>
        <v>Interrompu</v>
      </c>
      <c r="M71" s="19">
        <f>IF(INTRO!$E$39="Endémique", IF($I71&gt;0, IF($I71=4,"Inconnu",IF($I71=99,"Interrompu",$D71)), 0),"Non requis")</f>
        <v>0</v>
      </c>
      <c r="N71" s="13">
        <v>0</v>
      </c>
      <c r="O71" s="42">
        <f>IF(INTRO!$E$43="Endémique", IF(AND($K71&gt;0,$K71&lt;5), IF($K71=4,"Inconnu", IF($K71=1, $F71*0.33, IF($K71=2, $F71*0.5+$G71*0.2, SUM(F71:G71)))), 0),"Non requis")</f>
        <v>37346.43</v>
      </c>
      <c r="P71" s="39"/>
      <c r="Q71" s="26"/>
      <c r="R71" s="26">
        <v>0</v>
      </c>
      <c r="S71" s="41">
        <v>1</v>
      </c>
      <c r="T71" s="175"/>
      <c r="U71" s="172"/>
      <c r="V71" s="172"/>
      <c r="W71" s="176"/>
      <c r="X71" s="17">
        <v>29975</v>
      </c>
      <c r="Y71" s="17" t="s">
        <v>230</v>
      </c>
      <c r="AE71"/>
      <c r="AF71"/>
    </row>
    <row r="72" spans="1:32" x14ac:dyDescent="0.4">
      <c r="A72" s="23" t="str">
        <f>IF(INTRO!$E$33&lt;&gt;0,INTRO!$E$33, " ")</f>
        <v>Mali</v>
      </c>
      <c r="B72" s="16" t="s">
        <v>226</v>
      </c>
      <c r="C72" s="38" t="s">
        <v>231</v>
      </c>
      <c r="D72" s="37">
        <v>558514</v>
      </c>
      <c r="E72" s="19">
        <f>IF(INTRO!$E$48="","",ROUND($D72*INTRO!$E$48,0))</f>
        <v>78192</v>
      </c>
      <c r="F72" s="19">
        <f>IF(INTRO!$E$49="","",ROUND($D72*INTRO!$E$49,0))</f>
        <v>156384</v>
      </c>
      <c r="G72" s="40">
        <f>IF(INTRO!$E$50="","",ROUND($D72*INTRO!$E$50,0))</f>
        <v>287635</v>
      </c>
      <c r="H72" s="39">
        <v>99</v>
      </c>
      <c r="I72" s="26">
        <v>0</v>
      </c>
      <c r="J72" s="26">
        <v>0</v>
      </c>
      <c r="K72" s="41">
        <v>1</v>
      </c>
      <c r="L72" s="99" t="str">
        <f>IF(INTRO!$E$37="Endémique",IF($H72&gt;0,IF($H72=4,"Inconnu",IF($H72=99,"Interrompu",$D72)),0),"Non requis")</f>
        <v>Interrompu</v>
      </c>
      <c r="M72" s="19">
        <f>IF(INTRO!$E$39="Endémique", IF($I72&gt;0, IF($I72=4,"Inconnu",IF($I72=99,"Interrompu",$D72)), 0),"Non requis")</f>
        <v>0</v>
      </c>
      <c r="N72" s="13">
        <v>0</v>
      </c>
      <c r="O72" s="42">
        <f>IF(INTRO!$E$43="Endémique", IF(AND($K72&gt;0,$K72&lt;5), IF($K72=4,"Inconnu", IF($K72=1, $F72*0.33, IF($K72=2, $F72*0.5+$G72*0.2, SUM(F72:G72)))), 0),"Non requis")</f>
        <v>51606.720000000001</v>
      </c>
      <c r="P72" s="39"/>
      <c r="Q72" s="26"/>
      <c r="R72" s="26">
        <v>0</v>
      </c>
      <c r="S72" s="41">
        <v>1</v>
      </c>
      <c r="T72" s="175"/>
      <c r="U72" s="172"/>
      <c r="V72" s="172"/>
      <c r="W72" s="176"/>
      <c r="X72" s="17">
        <v>29976</v>
      </c>
      <c r="Y72" s="17" t="s">
        <v>231</v>
      </c>
      <c r="AE72"/>
      <c r="AF72"/>
    </row>
    <row r="73" spans="1:32" x14ac:dyDescent="0.4">
      <c r="A73" s="23" t="str">
        <f>IF(INTRO!$E$33&lt;&gt;0,INTRO!$E$33, " ")</f>
        <v>Mali</v>
      </c>
      <c r="B73" s="16" t="s">
        <v>226</v>
      </c>
      <c r="C73" s="38" t="s">
        <v>232</v>
      </c>
      <c r="D73" s="37">
        <v>633402</v>
      </c>
      <c r="E73" s="19">
        <f>IF(INTRO!$E$48="","",ROUND($D73*INTRO!$E$48,0))</f>
        <v>88676</v>
      </c>
      <c r="F73" s="19">
        <f>IF(INTRO!$E$49="","",ROUND($D73*INTRO!$E$49,0))</f>
        <v>177353</v>
      </c>
      <c r="G73" s="40">
        <f>IF(INTRO!$E$50="","",ROUND($D73*INTRO!$E$50,0))</f>
        <v>326202</v>
      </c>
      <c r="H73" s="39">
        <v>99</v>
      </c>
      <c r="I73" s="26">
        <v>0</v>
      </c>
      <c r="J73" s="26">
        <v>0</v>
      </c>
      <c r="K73" s="41">
        <v>1</v>
      </c>
      <c r="L73" s="99" t="str">
        <f>IF(INTRO!$E$37="Endémique",IF($H73&gt;0,IF($H73=4,"Inconnu",IF($H73=99,"Interrompu",$D73)),0),"Non requis")</f>
        <v>Interrompu</v>
      </c>
      <c r="M73" s="19">
        <f>IF(INTRO!$E$39="Endémique", IF($I73&gt;0, IF($I73=4,"Inconnu",IF($I73=99,"Interrompu",$D73)), 0),"Non requis")</f>
        <v>0</v>
      </c>
      <c r="N73" s="13">
        <v>0</v>
      </c>
      <c r="O73" s="42">
        <f>IF(INTRO!$E$43="Endémique", IF(AND($K73&gt;0,$K73&lt;5), IF($K73=4,"Inconnu", IF($K73=1, $F73*0.33, IF($K73=2, $F73*0.5+$G73*0.2, SUM(F73:G73)))), 0),"Non requis")</f>
        <v>58526.490000000005</v>
      </c>
      <c r="P73" s="39"/>
      <c r="Q73" s="26"/>
      <c r="R73" s="26">
        <v>0</v>
      </c>
      <c r="S73" s="41">
        <v>1</v>
      </c>
      <c r="T73" s="175"/>
      <c r="U73" s="172"/>
      <c r="V73" s="172"/>
      <c r="W73" s="176"/>
      <c r="X73" s="17">
        <v>29977</v>
      </c>
      <c r="Y73" s="17" t="s">
        <v>232</v>
      </c>
      <c r="AE73"/>
      <c r="AF73"/>
    </row>
    <row r="74" spans="1:32" x14ac:dyDescent="0.4">
      <c r="A74" s="23" t="str">
        <f>IF(INTRO!$E$33&lt;&gt;0,INTRO!$E$33, " ")</f>
        <v>Mali</v>
      </c>
      <c r="B74" s="16" t="s">
        <v>233</v>
      </c>
      <c r="C74" s="38" t="s">
        <v>234</v>
      </c>
      <c r="D74" s="37">
        <v>33395</v>
      </c>
      <c r="E74" s="19">
        <f>IF(INTRO!$E$48="","",ROUND($D74*INTRO!$E$48,0))</f>
        <v>4675</v>
      </c>
      <c r="F74" s="19">
        <f>IF(INTRO!$E$49="","",ROUND($D74*INTRO!$E$49,0))</f>
        <v>9351</v>
      </c>
      <c r="G74" s="40">
        <f>IF(INTRO!$E$50="","",ROUND($D74*INTRO!$E$50,0))</f>
        <v>17198</v>
      </c>
      <c r="H74" s="39">
        <v>1</v>
      </c>
      <c r="I74" s="26">
        <v>0</v>
      </c>
      <c r="J74" s="26">
        <v>1</v>
      </c>
      <c r="K74" s="41">
        <v>1</v>
      </c>
      <c r="L74" s="99">
        <f>IF(INTRO!$E$37="Endémique",IF($H74&gt;0,IF($H74=4,"Inconnu",IF($H74=99,"Interrompu",$D74)),0),"Non requis")</f>
        <v>33395</v>
      </c>
      <c r="M74" s="19">
        <f>IF(INTRO!$E$39="Endémique", IF($I74&gt;0, IF($I74=4,"Inconnu",IF($I74=99,"Interrompu",$D74)), 0),"Non requis")</f>
        <v>0</v>
      </c>
      <c r="N74" s="13">
        <v>0</v>
      </c>
      <c r="O74" s="42">
        <f>IF(INTRO!$E$43="Endémique", IF(AND($K74&gt;0,$K74&lt;5), IF($K74=4,"Inconnu", IF($K74=1, $F74*0.33, IF($K74=2, $F74*0.5+$G74*0.2, SUM(F74:G74)))), 0),"Non requis")</f>
        <v>3085.83</v>
      </c>
      <c r="P74" s="39">
        <v>1</v>
      </c>
      <c r="Q74" s="26"/>
      <c r="R74" s="26">
        <v>1</v>
      </c>
      <c r="S74" s="41">
        <v>1</v>
      </c>
      <c r="T74" s="175" t="s">
        <v>244</v>
      </c>
      <c r="U74" s="172"/>
      <c r="V74" s="172" t="s">
        <v>243</v>
      </c>
      <c r="W74" s="176" t="s">
        <v>243</v>
      </c>
      <c r="X74" s="17">
        <v>30041</v>
      </c>
      <c r="Y74" s="17" t="s">
        <v>234</v>
      </c>
      <c r="AE74"/>
      <c r="AF74"/>
    </row>
    <row r="75" spans="1:32" x14ac:dyDescent="0.4">
      <c r="A75" s="23" t="str">
        <f>IF(INTRO!$E$33&lt;&gt;0,INTRO!$E$33, " ")</f>
        <v>Mali</v>
      </c>
      <c r="B75" s="16" t="s">
        <v>233</v>
      </c>
      <c r="C75" s="38" t="s">
        <v>235</v>
      </c>
      <c r="D75" s="37">
        <v>55922</v>
      </c>
      <c r="E75" s="19">
        <f>IF(INTRO!$E$48="","",ROUND($D75*INTRO!$E$48,0))</f>
        <v>7829</v>
      </c>
      <c r="F75" s="19">
        <f>IF(INTRO!$E$49="","",ROUND($D75*INTRO!$E$49,0))</f>
        <v>15658</v>
      </c>
      <c r="G75" s="40">
        <f>IF(INTRO!$E$50="","",ROUND($D75*INTRO!$E$50,0))</f>
        <v>28800</v>
      </c>
      <c r="H75" s="39">
        <v>1</v>
      </c>
      <c r="I75" s="26">
        <v>0</v>
      </c>
      <c r="J75" s="26">
        <v>1</v>
      </c>
      <c r="K75" s="41">
        <v>1</v>
      </c>
      <c r="L75" s="99">
        <f>IF(INTRO!$E$37="Endémique",IF($H75&gt;0,IF($H75=4,"Inconnu",IF($H75=99,"Interrompu",$D75)),0),"Non requis")</f>
        <v>55922</v>
      </c>
      <c r="M75" s="19">
        <f>IF(INTRO!$E$39="Endémique", IF($I75&gt;0, IF($I75=4,"Inconnu",IF($I75=99,"Interrompu",$D75)), 0),"Non requis")</f>
        <v>0</v>
      </c>
      <c r="N75" s="13">
        <v>0</v>
      </c>
      <c r="O75" s="42">
        <f>IF(INTRO!$E$43="Endémique", IF(AND($K75&gt;0,$K75&lt;5), IF($K75=4,"Inconnu", IF($K75=1, $F75*0.33, IF($K75=2, $F75*0.5+$G75*0.2, SUM(F75:G75)))), 0),"Non requis")</f>
        <v>5167.1400000000003</v>
      </c>
      <c r="P75" s="39">
        <v>1</v>
      </c>
      <c r="Q75" s="26"/>
      <c r="R75" s="26">
        <v>1</v>
      </c>
      <c r="S75" s="41">
        <v>1</v>
      </c>
      <c r="T75" s="175" t="s">
        <v>244</v>
      </c>
      <c r="U75" s="172"/>
      <c r="V75" s="172" t="s">
        <v>243</v>
      </c>
      <c r="W75" s="176" t="s">
        <v>243</v>
      </c>
      <c r="X75" s="17">
        <v>30042</v>
      </c>
      <c r="Y75" s="17" t="s">
        <v>235</v>
      </c>
      <c r="AE75"/>
      <c r="AF75"/>
    </row>
    <row r="76" spans="1:32" x14ac:dyDescent="0.4">
      <c r="A76" s="23" t="str">
        <f>IF(INTRO!$E$33&lt;&gt;0,INTRO!$E$33, " ")</f>
        <v>Mali</v>
      </c>
      <c r="B76" s="16" t="s">
        <v>233</v>
      </c>
      <c r="C76" s="38" t="s">
        <v>236</v>
      </c>
      <c r="D76" s="37">
        <v>27463</v>
      </c>
      <c r="E76" s="19">
        <f>IF(INTRO!$E$48="","",ROUND($D76*INTRO!$E$48,0))</f>
        <v>3845</v>
      </c>
      <c r="F76" s="19">
        <f>IF(INTRO!$E$49="","",ROUND($D76*INTRO!$E$49,0))</f>
        <v>7690</v>
      </c>
      <c r="G76" s="40">
        <f>IF(INTRO!$E$50="","",ROUND($D76*INTRO!$E$50,0))</f>
        <v>14143</v>
      </c>
      <c r="H76" s="39">
        <v>1</v>
      </c>
      <c r="I76" s="26">
        <v>0</v>
      </c>
      <c r="J76" s="26">
        <v>1</v>
      </c>
      <c r="K76" s="41">
        <v>1</v>
      </c>
      <c r="L76" s="99">
        <f>IF(INTRO!$E$37="Endémique",IF($H76&gt;0,IF($H76=4,"Inconnu",IF($H76=99,"Interrompu",$D76)),0),"Non requis")</f>
        <v>27463</v>
      </c>
      <c r="M76" s="19">
        <f>IF(INTRO!$E$39="Endémique", IF($I76&gt;0, IF($I76=4,"Inconnu",IF($I76=99,"Interrompu",$D76)), 0),"Non requis")</f>
        <v>0</v>
      </c>
      <c r="N76" s="13">
        <v>0</v>
      </c>
      <c r="O76" s="42">
        <f>IF(INTRO!$E$43="Endémique", IF(AND($K76&gt;0,$K76&lt;5), IF($K76=4,"Inconnu", IF($K76=1, $F76*0.33, IF($K76=2, $F76*0.5+$G76*0.2, SUM(F76:G76)))), 0),"Non requis")</f>
        <v>2537.7000000000003</v>
      </c>
      <c r="P76" s="39">
        <v>1</v>
      </c>
      <c r="Q76" s="26"/>
      <c r="R76" s="26">
        <v>1</v>
      </c>
      <c r="S76" s="41">
        <v>1</v>
      </c>
      <c r="T76" s="175" t="s">
        <v>244</v>
      </c>
      <c r="U76" s="172"/>
      <c r="V76" s="172" t="s">
        <v>243</v>
      </c>
      <c r="W76" s="176" t="s">
        <v>243</v>
      </c>
      <c r="X76" s="17">
        <v>30043</v>
      </c>
      <c r="Y76" s="17" t="s">
        <v>236</v>
      </c>
      <c r="AE76"/>
      <c r="AF76"/>
    </row>
    <row r="77" spans="1:32" x14ac:dyDescent="0.4">
      <c r="A77" s="23" t="str">
        <f>IF(INTRO!$E$33&lt;&gt;0,INTRO!$E$33, " ")</f>
        <v>Mali</v>
      </c>
      <c r="B77" s="16" t="s">
        <v>233</v>
      </c>
      <c r="C77" s="38" t="s">
        <v>237</v>
      </c>
      <c r="D77" s="37">
        <v>30366</v>
      </c>
      <c r="E77" s="19">
        <f>IF(INTRO!$E$48="","",ROUND($D77*INTRO!$E$48,0))</f>
        <v>4251</v>
      </c>
      <c r="F77" s="19">
        <f>IF(INTRO!$E$49="","",ROUND($D77*INTRO!$E$49,0))</f>
        <v>8502</v>
      </c>
      <c r="G77" s="40">
        <f>IF(INTRO!$E$50="","",ROUND($D77*INTRO!$E$50,0))</f>
        <v>15638</v>
      </c>
      <c r="H77" s="39">
        <v>1</v>
      </c>
      <c r="I77" s="26">
        <v>0</v>
      </c>
      <c r="J77" s="26">
        <v>1</v>
      </c>
      <c r="K77" s="41">
        <v>1</v>
      </c>
      <c r="L77" s="99">
        <f>IF(INTRO!$E$37="Endémique",IF($H77&gt;0,IF($H77=4,"Inconnu",IF($H77=99,"Interrompu",$D77)),0),"Non requis")</f>
        <v>30366</v>
      </c>
      <c r="M77" s="19">
        <f>IF(INTRO!$E$39="Endémique", IF($I77&gt;0, IF($I77=4,"Inconnu",IF($I77=99,"Interrompu",$D77)), 0),"Non requis")</f>
        <v>0</v>
      </c>
      <c r="N77" s="13">
        <v>0</v>
      </c>
      <c r="O77" s="42">
        <f>IF(INTRO!$E$43="Endémique", IF(AND($K77&gt;0,$K77&lt;5), IF($K77=4,"Inconnu", IF($K77=1, $F77*0.33, IF($K77=2, $F77*0.5+$G77*0.2, SUM(F77:G77)))), 0),"Non requis")</f>
        <v>2805.6600000000003</v>
      </c>
      <c r="P77" s="39">
        <v>1</v>
      </c>
      <c r="Q77" s="26"/>
      <c r="R77" s="26">
        <v>1</v>
      </c>
      <c r="S77" s="41">
        <v>1</v>
      </c>
      <c r="T77" s="175" t="s">
        <v>244</v>
      </c>
      <c r="U77" s="172"/>
      <c r="V77" s="172" t="s">
        <v>243</v>
      </c>
      <c r="W77" s="176" t="s">
        <v>243</v>
      </c>
      <c r="X77" s="17">
        <v>30044</v>
      </c>
      <c r="Y77" s="17" t="s">
        <v>237</v>
      </c>
      <c r="AE77"/>
      <c r="AF77"/>
    </row>
    <row r="78" spans="1:32" x14ac:dyDescent="0.4">
      <c r="A78" s="23" t="str">
        <f>IF(INTRO!$E$33&lt;&gt;0,INTRO!$E$33, " ")</f>
        <v>Mali</v>
      </c>
      <c r="B78" s="16" t="s">
        <v>233</v>
      </c>
      <c r="C78" s="38" t="s">
        <v>238</v>
      </c>
      <c r="D78" s="37">
        <v>16179</v>
      </c>
      <c r="E78" s="19">
        <f>IF(INTRO!$E$48="","",ROUND($D78*INTRO!$E$48,0))</f>
        <v>2265</v>
      </c>
      <c r="F78" s="19">
        <f>IF(INTRO!$E$49="","",ROUND($D78*INTRO!$E$49,0))</f>
        <v>4530</v>
      </c>
      <c r="G78" s="40">
        <f>IF(INTRO!$E$50="","",ROUND($D78*INTRO!$E$50,0))</f>
        <v>8332</v>
      </c>
      <c r="H78" s="39">
        <v>1</v>
      </c>
      <c r="I78" s="26">
        <v>0</v>
      </c>
      <c r="J78" s="26">
        <v>1</v>
      </c>
      <c r="K78" s="41">
        <v>1</v>
      </c>
      <c r="L78" s="99">
        <f>IF(INTRO!$E$37="Endémique",IF($H78&gt;0,IF($H78=4,"Inconnu",IF($H78=99,"Interrompu",$D78)),0),"Non requis")</f>
        <v>16179</v>
      </c>
      <c r="M78" s="19">
        <f>IF(INTRO!$E$39="Endémique", IF($I78&gt;0, IF($I78=4,"Inconnu",IF($I78=99,"Interrompu",$D78)), 0),"Non requis")</f>
        <v>0</v>
      </c>
      <c r="N78" s="13">
        <v>0</v>
      </c>
      <c r="O78" s="42">
        <f>IF(INTRO!$E$43="Endémique", IF(AND($K78&gt;0,$K78&lt;5), IF($K78=4,"Inconnu", IF($K78=1, $F78*0.33, IF($K78=2, $F78*0.5+$G78*0.2, SUM(F78:G78)))), 0),"Non requis")</f>
        <v>1494.9</v>
      </c>
      <c r="P78" s="39">
        <v>1</v>
      </c>
      <c r="Q78" s="26"/>
      <c r="R78" s="26">
        <v>1</v>
      </c>
      <c r="S78" s="41">
        <v>1</v>
      </c>
      <c r="T78" s="175" t="s">
        <v>244</v>
      </c>
      <c r="U78" s="172"/>
      <c r="V78" s="172" t="s">
        <v>243</v>
      </c>
      <c r="W78" s="176" t="s">
        <v>243</v>
      </c>
      <c r="X78" s="17">
        <v>30045</v>
      </c>
      <c r="Y78" s="17" t="s">
        <v>238</v>
      </c>
      <c r="AE78"/>
      <c r="AF78"/>
    </row>
    <row r="79" spans="1:32" x14ac:dyDescent="0.4">
      <c r="A79" s="23" t="str">
        <f>IF(INTRO!$E$33&lt;&gt;0,INTRO!$E$33, " ")</f>
        <v>Mali</v>
      </c>
      <c r="B79" s="16" t="s">
        <v>233</v>
      </c>
      <c r="C79" s="38" t="s">
        <v>233</v>
      </c>
      <c r="D79" s="37">
        <v>23184</v>
      </c>
      <c r="E79" s="19">
        <f>IF(INTRO!$E$48="","",ROUND($D79*INTRO!$E$48,0))</f>
        <v>3246</v>
      </c>
      <c r="F79" s="19">
        <f>IF(INTRO!$E$49="","",ROUND($D79*INTRO!$E$49,0))</f>
        <v>6492</v>
      </c>
      <c r="G79" s="40">
        <f>IF(INTRO!$E$50="","",ROUND($D79*INTRO!$E$50,0))</f>
        <v>11940</v>
      </c>
      <c r="H79" s="39">
        <v>1</v>
      </c>
      <c r="I79" s="26">
        <v>0</v>
      </c>
      <c r="J79" s="26">
        <v>1</v>
      </c>
      <c r="K79" s="41">
        <v>1</v>
      </c>
      <c r="L79" s="99">
        <f>IF(INTRO!$E$37="Endémique",IF($H79&gt;0,IF($H79=4,"Inconnu",IF($H79=99,"Interrompu",$D79)),0),"Non requis")</f>
        <v>23184</v>
      </c>
      <c r="M79" s="19">
        <f>IF(INTRO!$E$39="Endémique", IF($I79&gt;0, IF($I79=4,"Inconnu",IF($I79=99,"Interrompu",$D79)), 0),"Non requis")</f>
        <v>0</v>
      </c>
      <c r="N79" s="13">
        <v>0</v>
      </c>
      <c r="O79" s="42">
        <f>IF(INTRO!$E$43="Endémique", IF(AND($K79&gt;0,$K79&lt;5), IF($K79=4,"Inconnu", IF($K79=1, $F79*0.33, IF($K79=2, $F79*0.5+$G79*0.2, SUM(F79:G79)))), 0),"Non requis")</f>
        <v>2142.36</v>
      </c>
      <c r="P79" s="39">
        <v>1</v>
      </c>
      <c r="Q79" s="26"/>
      <c r="R79" s="26">
        <v>1</v>
      </c>
      <c r="S79" s="41">
        <v>1</v>
      </c>
      <c r="T79" s="175" t="s">
        <v>244</v>
      </c>
      <c r="U79" s="172"/>
      <c r="V79" s="172" t="s">
        <v>243</v>
      </c>
      <c r="W79" s="176" t="s">
        <v>243</v>
      </c>
      <c r="X79" s="17">
        <v>30046</v>
      </c>
      <c r="Y79" s="17" t="s">
        <v>233</v>
      </c>
      <c r="AE79"/>
      <c r="AF79"/>
    </row>
    <row r="80" spans="1:32" x14ac:dyDescent="0.4">
      <c r="A80" s="23" t="str">
        <f>IF(INTRO!$E$33&lt;&gt;0,INTRO!$E$33, " ")</f>
        <v>Mali</v>
      </c>
      <c r="B80" s="16" t="s">
        <v>239</v>
      </c>
      <c r="C80" s="38" t="s">
        <v>240</v>
      </c>
      <c r="D80" s="37">
        <v>15815</v>
      </c>
      <c r="E80" s="19">
        <f>IF(INTRO!$E$48="","",ROUND($D80*INTRO!$E$48,0))</f>
        <v>2214</v>
      </c>
      <c r="F80" s="19">
        <f>IF(INTRO!$E$49="","",ROUND($D80*INTRO!$E$49,0))</f>
        <v>4428</v>
      </c>
      <c r="G80" s="40">
        <f>IF(INTRO!$E$50="","",ROUND($D80*INTRO!$E$50,0))</f>
        <v>8145</v>
      </c>
      <c r="H80" s="39">
        <v>1</v>
      </c>
      <c r="I80" s="26">
        <v>0</v>
      </c>
      <c r="J80" s="26">
        <v>1</v>
      </c>
      <c r="K80" s="41">
        <v>1</v>
      </c>
      <c r="L80" s="99">
        <f>IF(INTRO!$E$37="Endémique",IF($H80&gt;0,IF($H80=4,"Inconnu",IF($H80=99,"Interrompu",$D80)),0),"Non requis")</f>
        <v>15815</v>
      </c>
      <c r="M80" s="19">
        <f>IF(INTRO!$E$39="Endémique", IF($I80&gt;0, IF($I80=4,"Inconnu",IF($I80=99,"Interrompu",$D80)), 0),"Non requis")</f>
        <v>0</v>
      </c>
      <c r="N80" s="13">
        <v>0</v>
      </c>
      <c r="O80" s="42">
        <f>IF(INTRO!$E$43="Endémique", IF(AND($K80&gt;0,$K80&lt;5), IF($K80=4,"Inconnu", IF($K80=1, $F80*0.33, IF($K80=2, $F80*0.5+$G80*0.2, SUM(F80:G80)))), 0),"Non requis")</f>
        <v>1461.24</v>
      </c>
      <c r="P80" s="39">
        <v>1</v>
      </c>
      <c r="Q80" s="26"/>
      <c r="R80" s="26">
        <v>1</v>
      </c>
      <c r="S80" s="41">
        <v>1</v>
      </c>
      <c r="T80" s="175" t="s">
        <v>244</v>
      </c>
      <c r="U80" s="172"/>
      <c r="V80" s="172" t="s">
        <v>243</v>
      </c>
      <c r="W80" s="176" t="s">
        <v>243</v>
      </c>
      <c r="X80" s="17">
        <v>30036</v>
      </c>
      <c r="Y80" s="17" t="s">
        <v>240</v>
      </c>
      <c r="AE80"/>
      <c r="AF80"/>
    </row>
    <row r="81" spans="1:32" x14ac:dyDescent="0.4">
      <c r="A81" s="23" t="str">
        <f>IF(INTRO!$E$33&lt;&gt;0,INTRO!$E$33, " ")</f>
        <v>Mali</v>
      </c>
      <c r="B81" s="16" t="s">
        <v>239</v>
      </c>
      <c r="C81" s="38" t="s">
        <v>241</v>
      </c>
      <c r="D81" s="37">
        <v>6024</v>
      </c>
      <c r="E81" s="19">
        <f>IF(INTRO!$E$48="","",ROUND($D81*INTRO!$E$48,0))</f>
        <v>843</v>
      </c>
      <c r="F81" s="19">
        <f>IF(INTRO!$E$49="","",ROUND($D81*INTRO!$E$49,0))</f>
        <v>1687</v>
      </c>
      <c r="G81" s="40">
        <f>IF(INTRO!$E$50="","",ROUND($D81*INTRO!$E$50,0))</f>
        <v>3102</v>
      </c>
      <c r="H81" s="39">
        <v>1</v>
      </c>
      <c r="I81" s="26">
        <v>0</v>
      </c>
      <c r="J81" s="26">
        <v>1</v>
      </c>
      <c r="K81" s="41">
        <v>1</v>
      </c>
      <c r="L81" s="99">
        <f>IF(INTRO!$E$37="Endémique",IF($H81&gt;0,IF($H81=4,"Inconnu",IF($H81=99,"Interrompu",$D81)),0),"Non requis")</f>
        <v>6024</v>
      </c>
      <c r="M81" s="19">
        <f>IF(INTRO!$E$39="Endémique", IF($I81&gt;0, IF($I81=4,"Inconnu",IF($I81=99,"Interrompu",$D81)), 0),"Non requis")</f>
        <v>0</v>
      </c>
      <c r="N81" s="13">
        <v>0</v>
      </c>
      <c r="O81" s="42">
        <f>IF(INTRO!$E$43="Endémique", IF(AND($K81&gt;0,$K81&lt;5), IF($K81=4,"Inconnu", IF($K81=1, $F81*0.33, IF($K81=2, $F81*0.5+$G81*0.2, SUM(F81:G81)))), 0),"Non requis")</f>
        <v>556.71</v>
      </c>
      <c r="P81" s="39">
        <v>1</v>
      </c>
      <c r="Q81" s="26"/>
      <c r="R81" s="26">
        <v>1</v>
      </c>
      <c r="S81" s="41">
        <v>1</v>
      </c>
      <c r="T81" s="175" t="s">
        <v>244</v>
      </c>
      <c r="U81" s="172"/>
      <c r="V81" s="172" t="s">
        <v>243</v>
      </c>
      <c r="W81" s="176" t="s">
        <v>243</v>
      </c>
      <c r="X81" s="17">
        <v>30037</v>
      </c>
      <c r="Y81" s="17" t="s">
        <v>241</v>
      </c>
      <c r="AE81"/>
      <c r="AF81"/>
    </row>
    <row r="82" spans="1:32" x14ac:dyDescent="0.4">
      <c r="A82" s="23" t="str">
        <f>IF(INTRO!$E$33&lt;&gt;0,INTRO!$E$33, " ")</f>
        <v>Mali</v>
      </c>
      <c r="B82" s="16" t="s">
        <v>239</v>
      </c>
      <c r="C82" s="38" t="s">
        <v>239</v>
      </c>
      <c r="D82" s="37">
        <v>49703</v>
      </c>
      <c r="E82" s="19">
        <f>IF(INTRO!$E$48="","",ROUND($D82*INTRO!$E$48,0))</f>
        <v>6958</v>
      </c>
      <c r="F82" s="19">
        <f>IF(INTRO!$E$49="","",ROUND($D82*INTRO!$E$49,0))</f>
        <v>13917</v>
      </c>
      <c r="G82" s="40">
        <f>IF(INTRO!$E$50="","",ROUND($D82*INTRO!$E$50,0))</f>
        <v>25597</v>
      </c>
      <c r="H82" s="39">
        <v>1</v>
      </c>
      <c r="I82" s="26">
        <v>0</v>
      </c>
      <c r="J82" s="26">
        <v>1</v>
      </c>
      <c r="K82" s="41">
        <v>1</v>
      </c>
      <c r="L82" s="99">
        <f>IF(INTRO!$E$37="Endémique",IF($H82&gt;0,IF($H82=4,"Inconnu",IF($H82=99,"Interrompu",$D82)),0),"Non requis")</f>
        <v>49703</v>
      </c>
      <c r="M82" s="19">
        <f>IF(INTRO!$E$39="Endémique", IF($I82&gt;0, IF($I82=4,"Inconnu",IF($I82=99,"Interrompu",$D82)), 0),"Non requis")</f>
        <v>0</v>
      </c>
      <c r="N82" s="13">
        <v>0</v>
      </c>
      <c r="O82" s="42">
        <f>IF(INTRO!$E$43="Endémique", IF(AND($K82&gt;0,$K82&lt;5), IF($K82=4,"Inconnu", IF($K82=1, $F82*0.33, IF($K82=2, $F82*0.5+$G82*0.2, SUM(F82:G82)))), 0),"Non requis")</f>
        <v>4592.6100000000006</v>
      </c>
      <c r="P82" s="39">
        <v>1</v>
      </c>
      <c r="Q82" s="26"/>
      <c r="R82" s="26">
        <v>1</v>
      </c>
      <c r="S82" s="41">
        <v>1</v>
      </c>
      <c r="T82" s="175" t="s">
        <v>244</v>
      </c>
      <c r="U82" s="172"/>
      <c r="V82" s="172" t="s">
        <v>243</v>
      </c>
      <c r="W82" s="176" t="s">
        <v>243</v>
      </c>
      <c r="X82" s="17">
        <v>29981</v>
      </c>
      <c r="Y82" s="17" t="s">
        <v>239</v>
      </c>
      <c r="AE82"/>
      <c r="AF82"/>
    </row>
    <row r="83" spans="1:32" x14ac:dyDescent="0.4">
      <c r="A83" s="23" t="str">
        <f>IF(INTRO!$E$33&lt;&gt;0,INTRO!$E$33, " ")</f>
        <v>Mali</v>
      </c>
      <c r="B83" s="16" t="s">
        <v>239</v>
      </c>
      <c r="C83" s="38" t="s">
        <v>242</v>
      </c>
      <c r="D83" s="37">
        <v>3765</v>
      </c>
      <c r="E83" s="19">
        <f>IF(INTRO!$E$48="","",ROUND($D83*INTRO!$E$48,0))</f>
        <v>527</v>
      </c>
      <c r="F83" s="19">
        <f>IF(INTRO!$E$49="","",ROUND($D83*INTRO!$E$49,0))</f>
        <v>1054</v>
      </c>
      <c r="G83" s="40">
        <f>IF(INTRO!$E$50="","",ROUND($D83*INTRO!$E$50,0))</f>
        <v>1939</v>
      </c>
      <c r="H83" s="39">
        <v>1</v>
      </c>
      <c r="I83" s="26">
        <v>0</v>
      </c>
      <c r="J83" s="26">
        <v>1</v>
      </c>
      <c r="K83" s="41">
        <v>1</v>
      </c>
      <c r="L83" s="99">
        <f>IF(INTRO!$E$37="Endémique",IF($H83&gt;0,IF($H83=4,"Inconnu",IF($H83=99,"Interrompu",$D83)),0),"Non requis")</f>
        <v>3765</v>
      </c>
      <c r="M83" s="19">
        <f>IF(INTRO!$E$39="Endémique", IF($I83&gt;0, IF($I83=4,"Inconnu",IF($I83=99,"Interrompu",$D83)), 0),"Non requis")</f>
        <v>0</v>
      </c>
      <c r="N83" s="13">
        <v>0</v>
      </c>
      <c r="O83" s="42">
        <f>IF(INTRO!$E$43="Endémique", IF(AND($K83&gt;0,$K83&lt;5), IF($K83=4,"Inconnu", IF($K83=1, $F83*0.33, IF($K83=2, $F83*0.5+$G83*0.2, SUM(F83:G83)))), 0),"Non requis")</f>
        <v>347.82</v>
      </c>
      <c r="P83" s="39">
        <v>1</v>
      </c>
      <c r="Q83" s="26"/>
      <c r="R83" s="26">
        <v>1</v>
      </c>
      <c r="S83" s="41">
        <v>1</v>
      </c>
      <c r="T83" s="175" t="s">
        <v>244</v>
      </c>
      <c r="U83" s="172"/>
      <c r="V83" s="172" t="s">
        <v>243</v>
      </c>
      <c r="W83" s="176" t="s">
        <v>243</v>
      </c>
      <c r="X83" s="17">
        <v>30038</v>
      </c>
      <c r="Y83" s="17" t="s">
        <v>242</v>
      </c>
      <c r="AE83"/>
      <c r="AF83"/>
    </row>
    <row r="84" spans="1:32" x14ac:dyDescent="0.4">
      <c r="A84"/>
      <c r="B84"/>
      <c r="C84"/>
      <c r="D84"/>
      <c r="E84"/>
      <c r="F84"/>
      <c r="G84"/>
      <c r="H84"/>
      <c r="I84"/>
      <c r="J84"/>
      <c r="K84"/>
      <c r="L84"/>
      <c r="M84"/>
      <c r="N84"/>
      <c r="O84"/>
      <c r="P84"/>
      <c r="Q84"/>
      <c r="R84"/>
      <c r="S84"/>
      <c r="T84"/>
      <c r="U84"/>
      <c r="V84"/>
      <c r="W84"/>
      <c r="AE84"/>
      <c r="AF84"/>
    </row>
    <row r="85" spans="1:32" x14ac:dyDescent="0.4">
      <c r="A85"/>
      <c r="B85"/>
      <c r="C85"/>
      <c r="D85"/>
      <c r="E85"/>
      <c r="F85"/>
      <c r="G85"/>
      <c r="H85"/>
      <c r="I85"/>
      <c r="J85"/>
      <c r="K85"/>
      <c r="L85"/>
      <c r="M85"/>
      <c r="N85"/>
      <c r="O85"/>
      <c r="P85"/>
      <c r="Q85"/>
      <c r="R85"/>
      <c r="S85"/>
      <c r="T85"/>
      <c r="U85"/>
      <c r="V85"/>
      <c r="W85"/>
      <c r="AE85"/>
      <c r="AF85"/>
    </row>
    <row r="86" spans="1:32" x14ac:dyDescent="0.4">
      <c r="A86"/>
      <c r="B86"/>
      <c r="C86"/>
      <c r="D86"/>
      <c r="E86"/>
      <c r="F86"/>
      <c r="G86"/>
      <c r="H86"/>
      <c r="I86"/>
      <c r="J86"/>
      <c r="K86"/>
      <c r="L86"/>
      <c r="M86"/>
      <c r="N86"/>
      <c r="O86"/>
      <c r="P86"/>
      <c r="Q86"/>
      <c r="R86"/>
      <c r="S86"/>
      <c r="T86"/>
      <c r="U86"/>
      <c r="V86"/>
      <c r="W86"/>
      <c r="AE86"/>
      <c r="AF86"/>
    </row>
    <row r="87" spans="1:32" x14ac:dyDescent="0.4">
      <c r="A87"/>
      <c r="B87"/>
      <c r="C87"/>
      <c r="D87"/>
      <c r="E87"/>
      <c r="F87"/>
      <c r="G87"/>
      <c r="H87"/>
      <c r="I87"/>
      <c r="J87"/>
      <c r="K87"/>
      <c r="L87"/>
      <c r="M87"/>
      <c r="N87"/>
      <c r="O87"/>
      <c r="P87"/>
      <c r="Q87"/>
      <c r="R87"/>
      <c r="S87"/>
      <c r="T87"/>
      <c r="U87"/>
      <c r="V87"/>
      <c r="W87"/>
      <c r="AE87"/>
      <c r="AF87"/>
    </row>
    <row r="88" spans="1:32" x14ac:dyDescent="0.4">
      <c r="A88"/>
      <c r="B88"/>
      <c r="C88"/>
      <c r="D88"/>
      <c r="E88"/>
      <c r="F88"/>
      <c r="G88"/>
      <c r="H88"/>
      <c r="I88"/>
      <c r="J88"/>
      <c r="K88"/>
      <c r="L88"/>
      <c r="M88"/>
      <c r="N88"/>
      <c r="O88"/>
      <c r="P88"/>
      <c r="Q88"/>
      <c r="R88"/>
      <c r="S88"/>
      <c r="T88"/>
      <c r="U88"/>
      <c r="V88"/>
      <c r="W88"/>
      <c r="AE88"/>
      <c r="AF88"/>
    </row>
    <row r="89" spans="1:32" x14ac:dyDescent="0.4">
      <c r="A89"/>
      <c r="B89"/>
      <c r="C89"/>
      <c r="D89"/>
      <c r="E89"/>
      <c r="F89"/>
      <c r="G89"/>
      <c r="H89"/>
      <c r="I89"/>
      <c r="J89"/>
      <c r="K89"/>
      <c r="L89"/>
      <c r="M89"/>
      <c r="N89"/>
      <c r="O89"/>
      <c r="P89"/>
      <c r="Q89"/>
      <c r="R89"/>
      <c r="S89"/>
      <c r="T89"/>
      <c r="U89"/>
      <c r="V89"/>
      <c r="W89"/>
      <c r="AE89"/>
      <c r="AF89"/>
    </row>
    <row r="90" spans="1:32" x14ac:dyDescent="0.4">
      <c r="A90"/>
      <c r="B90"/>
      <c r="C90"/>
      <c r="D90"/>
      <c r="E90"/>
      <c r="F90"/>
      <c r="G90"/>
      <c r="H90"/>
      <c r="I90"/>
      <c r="J90"/>
      <c r="K90"/>
      <c r="L90"/>
      <c r="M90"/>
      <c r="N90"/>
      <c r="O90"/>
      <c r="P90"/>
      <c r="Q90"/>
      <c r="R90"/>
      <c r="S90"/>
      <c r="T90"/>
      <c r="U90"/>
      <c r="V90"/>
      <c r="W90"/>
      <c r="AE90"/>
      <c r="AF90"/>
    </row>
    <row r="91" spans="1:32" x14ac:dyDescent="0.4">
      <c r="A91"/>
      <c r="B91"/>
      <c r="C91"/>
      <c r="D91"/>
      <c r="E91"/>
      <c r="F91"/>
      <c r="G91"/>
      <c r="H91"/>
      <c r="I91"/>
      <c r="J91"/>
      <c r="K91"/>
      <c r="L91"/>
      <c r="M91"/>
      <c r="N91"/>
      <c r="O91"/>
      <c r="P91"/>
      <c r="Q91"/>
      <c r="R91"/>
      <c r="S91"/>
      <c r="T91"/>
      <c r="U91"/>
      <c r="V91"/>
      <c r="W91"/>
      <c r="AE91"/>
      <c r="AF91"/>
    </row>
    <row r="92" spans="1:32" x14ac:dyDescent="0.4">
      <c r="A92"/>
      <c r="B92"/>
      <c r="C92"/>
      <c r="D92"/>
      <c r="E92"/>
      <c r="F92"/>
      <c r="G92"/>
      <c r="H92"/>
      <c r="I92"/>
      <c r="J92"/>
      <c r="K92"/>
      <c r="L92"/>
      <c r="M92"/>
      <c r="N92"/>
      <c r="O92"/>
      <c r="P92"/>
      <c r="Q92"/>
      <c r="R92"/>
      <c r="S92"/>
      <c r="T92"/>
      <c r="U92"/>
      <c r="V92"/>
      <c r="W92"/>
      <c r="AE92"/>
      <c r="AF92"/>
    </row>
    <row r="93" spans="1:32" x14ac:dyDescent="0.4">
      <c r="A93"/>
      <c r="B93"/>
      <c r="C93"/>
      <c r="D93"/>
      <c r="E93"/>
      <c r="F93"/>
      <c r="G93"/>
      <c r="H93"/>
      <c r="I93"/>
      <c r="J93"/>
      <c r="K93"/>
      <c r="L93"/>
      <c r="M93"/>
      <c r="N93"/>
      <c r="O93"/>
      <c r="P93"/>
      <c r="Q93"/>
      <c r="R93"/>
      <c r="S93"/>
      <c r="T93"/>
      <c r="U93"/>
      <c r="V93"/>
      <c r="W93"/>
      <c r="AE93"/>
      <c r="AF93"/>
    </row>
    <row r="94" spans="1:32" x14ac:dyDescent="0.4">
      <c r="A94"/>
      <c r="B94"/>
      <c r="C94"/>
      <c r="D94"/>
      <c r="E94"/>
      <c r="F94"/>
      <c r="G94"/>
      <c r="H94"/>
      <c r="I94"/>
      <c r="J94"/>
      <c r="K94"/>
      <c r="L94"/>
      <c r="M94"/>
      <c r="N94"/>
      <c r="O94"/>
      <c r="P94"/>
      <c r="Q94"/>
      <c r="R94"/>
      <c r="S94"/>
      <c r="T94"/>
      <c r="U94"/>
      <c r="V94"/>
      <c r="W94"/>
      <c r="AE94"/>
      <c r="AF94"/>
    </row>
    <row r="95" spans="1:32" x14ac:dyDescent="0.4">
      <c r="A95"/>
      <c r="B95"/>
      <c r="C95"/>
      <c r="D95"/>
      <c r="E95"/>
      <c r="F95"/>
      <c r="G95"/>
      <c r="H95"/>
      <c r="I95"/>
      <c r="J95"/>
      <c r="K95"/>
      <c r="L95"/>
      <c r="M95"/>
      <c r="N95"/>
      <c r="O95"/>
      <c r="P95"/>
      <c r="Q95"/>
      <c r="R95"/>
      <c r="S95"/>
      <c r="T95"/>
      <c r="U95"/>
      <c r="V95"/>
      <c r="W95"/>
    </row>
    <row r="96" spans="1:32" x14ac:dyDescent="0.4">
      <c r="A96"/>
      <c r="B96"/>
      <c r="C96"/>
      <c r="D96"/>
      <c r="E96"/>
      <c r="F96"/>
      <c r="G96"/>
      <c r="H96"/>
      <c r="I96"/>
      <c r="J96"/>
      <c r="K96"/>
      <c r="L96"/>
      <c r="M96"/>
      <c r="N96"/>
      <c r="O96"/>
      <c r="P96"/>
      <c r="Q96"/>
      <c r="R96"/>
      <c r="S96"/>
      <c r="T96"/>
      <c r="U96"/>
      <c r="V96"/>
      <c r="W96"/>
    </row>
    <row r="97" spans="1:23" x14ac:dyDescent="0.4">
      <c r="A97"/>
      <c r="B97"/>
      <c r="C97"/>
      <c r="D97"/>
      <c r="E97"/>
      <c r="F97"/>
      <c r="G97"/>
      <c r="H97"/>
      <c r="I97"/>
      <c r="J97"/>
      <c r="K97"/>
      <c r="L97"/>
      <c r="M97"/>
      <c r="N97"/>
      <c r="O97"/>
      <c r="P97"/>
      <c r="Q97"/>
      <c r="R97"/>
      <c r="S97"/>
      <c r="T97"/>
      <c r="U97"/>
      <c r="V97"/>
      <c r="W97"/>
    </row>
    <row r="98" spans="1:23" x14ac:dyDescent="0.4">
      <c r="A98"/>
      <c r="B98"/>
      <c r="C98"/>
      <c r="D98"/>
      <c r="E98"/>
      <c r="F98"/>
      <c r="G98"/>
      <c r="H98"/>
      <c r="I98"/>
      <c r="J98"/>
      <c r="K98"/>
      <c r="L98"/>
      <c r="M98"/>
      <c r="N98"/>
      <c r="O98"/>
      <c r="P98"/>
      <c r="Q98"/>
      <c r="R98"/>
      <c r="S98"/>
      <c r="T98"/>
      <c r="U98"/>
      <c r="V98"/>
      <c r="W98"/>
    </row>
    <row r="99" spans="1:23" x14ac:dyDescent="0.4">
      <c r="A99"/>
      <c r="B99"/>
      <c r="C99"/>
      <c r="D99"/>
      <c r="E99"/>
      <c r="F99"/>
      <c r="G99"/>
      <c r="H99"/>
      <c r="I99"/>
      <c r="J99"/>
      <c r="K99"/>
      <c r="L99"/>
      <c r="M99"/>
      <c r="N99"/>
      <c r="O99"/>
      <c r="P99"/>
      <c r="Q99"/>
      <c r="R99"/>
      <c r="S99"/>
      <c r="T99"/>
      <c r="U99"/>
      <c r="V99"/>
      <c r="W99"/>
    </row>
    <row r="100" spans="1:23" x14ac:dyDescent="0.4">
      <c r="A100"/>
      <c r="B100"/>
      <c r="C100"/>
      <c r="D100"/>
      <c r="E100"/>
      <c r="F100"/>
      <c r="G100"/>
      <c r="H100"/>
      <c r="I100"/>
      <c r="J100"/>
      <c r="K100"/>
      <c r="L100"/>
      <c r="M100"/>
      <c r="N100"/>
      <c r="O100"/>
      <c r="P100"/>
      <c r="Q100"/>
      <c r="R100"/>
      <c r="S100"/>
      <c r="T100"/>
      <c r="U100"/>
      <c r="V100"/>
      <c r="W100"/>
    </row>
    <row r="101" spans="1:23" x14ac:dyDescent="0.4">
      <c r="A101"/>
      <c r="B101"/>
      <c r="C101"/>
      <c r="D101"/>
      <c r="E101"/>
      <c r="F101"/>
      <c r="G101"/>
      <c r="H101"/>
      <c r="I101"/>
      <c r="J101"/>
      <c r="K101"/>
      <c r="L101"/>
      <c r="M101"/>
      <c r="N101"/>
      <c r="O101"/>
      <c r="P101"/>
      <c r="Q101"/>
      <c r="R101"/>
      <c r="S101"/>
      <c r="T101"/>
      <c r="U101"/>
      <c r="V101"/>
      <c r="W101"/>
    </row>
    <row r="102" spans="1:23" x14ac:dyDescent="0.4">
      <c r="A102"/>
      <c r="B102"/>
      <c r="C102"/>
      <c r="D102"/>
      <c r="E102"/>
      <c r="F102"/>
      <c r="G102"/>
      <c r="H102"/>
      <c r="I102"/>
      <c r="J102"/>
      <c r="K102"/>
      <c r="L102"/>
      <c r="M102"/>
      <c r="N102"/>
      <c r="O102"/>
      <c r="P102"/>
      <c r="Q102"/>
      <c r="R102"/>
      <c r="S102"/>
      <c r="T102"/>
      <c r="U102"/>
      <c r="V102"/>
      <c r="W102"/>
    </row>
    <row r="103" spans="1:23" x14ac:dyDescent="0.4">
      <c r="A103"/>
      <c r="B103"/>
      <c r="C103"/>
      <c r="D103"/>
      <c r="E103"/>
      <c r="F103"/>
      <c r="G103"/>
      <c r="H103"/>
      <c r="I103"/>
      <c r="J103"/>
      <c r="K103"/>
      <c r="L103"/>
      <c r="M103"/>
      <c r="N103"/>
      <c r="O103"/>
      <c r="P103"/>
      <c r="Q103"/>
      <c r="R103"/>
      <c r="S103"/>
      <c r="T103"/>
      <c r="U103"/>
      <c r="V103"/>
      <c r="W103"/>
    </row>
    <row r="104" spans="1:23" x14ac:dyDescent="0.4">
      <c r="A104"/>
      <c r="B104"/>
      <c r="C104"/>
      <c r="D104"/>
      <c r="E104"/>
      <c r="F104"/>
      <c r="G104"/>
      <c r="H104"/>
      <c r="I104"/>
      <c r="J104"/>
      <c r="K104"/>
      <c r="L104"/>
      <c r="M104"/>
      <c r="N104"/>
      <c r="O104"/>
      <c r="P104"/>
      <c r="Q104"/>
      <c r="R104"/>
      <c r="S104"/>
      <c r="T104"/>
      <c r="U104"/>
      <c r="V104"/>
      <c r="W104"/>
    </row>
    <row r="105" spans="1:23" x14ac:dyDescent="0.4">
      <c r="A105"/>
      <c r="B105"/>
      <c r="C105"/>
      <c r="D105"/>
      <c r="E105"/>
      <c r="F105"/>
      <c r="G105"/>
      <c r="H105"/>
      <c r="I105"/>
      <c r="J105"/>
      <c r="K105"/>
      <c r="L105"/>
      <c r="M105"/>
      <c r="N105"/>
      <c r="O105"/>
      <c r="P105"/>
      <c r="Q105"/>
      <c r="R105"/>
      <c r="S105"/>
      <c r="T105"/>
      <c r="U105"/>
      <c r="V105"/>
      <c r="W105"/>
    </row>
    <row r="106" spans="1:23" x14ac:dyDescent="0.4">
      <c r="A106"/>
      <c r="B106"/>
      <c r="C106"/>
      <c r="D106"/>
      <c r="E106"/>
      <c r="F106"/>
      <c r="G106"/>
      <c r="H106"/>
      <c r="I106"/>
      <c r="J106"/>
      <c r="K106"/>
      <c r="L106"/>
      <c r="M106"/>
      <c r="N106"/>
      <c r="O106"/>
      <c r="P106"/>
      <c r="Q106"/>
      <c r="R106"/>
      <c r="S106"/>
      <c r="T106"/>
      <c r="U106"/>
      <c r="V106"/>
      <c r="W106"/>
    </row>
    <row r="107" spans="1:23" x14ac:dyDescent="0.4">
      <c r="A107"/>
      <c r="B107"/>
      <c r="C107"/>
      <c r="D107"/>
      <c r="E107"/>
      <c r="F107"/>
      <c r="G107"/>
      <c r="H107"/>
      <c r="I107"/>
      <c r="J107"/>
      <c r="K107"/>
      <c r="L107"/>
      <c r="M107"/>
      <c r="N107"/>
      <c r="O107"/>
      <c r="P107"/>
      <c r="Q107"/>
      <c r="R107"/>
      <c r="S107"/>
      <c r="T107"/>
      <c r="U107"/>
      <c r="V107"/>
      <c r="W107"/>
    </row>
    <row r="108" spans="1:23" x14ac:dyDescent="0.4">
      <c r="A108"/>
      <c r="B108"/>
      <c r="C108"/>
      <c r="D108"/>
      <c r="E108"/>
      <c r="F108"/>
      <c r="G108"/>
      <c r="H108"/>
      <c r="I108"/>
      <c r="J108"/>
      <c r="K108"/>
      <c r="L108"/>
      <c r="M108"/>
      <c r="N108"/>
      <c r="O108"/>
      <c r="P108"/>
      <c r="Q108"/>
      <c r="R108"/>
      <c r="S108"/>
      <c r="T108"/>
      <c r="U108"/>
      <c r="V108"/>
      <c r="W108"/>
    </row>
    <row r="109" spans="1:23" x14ac:dyDescent="0.4">
      <c r="A109"/>
      <c r="B109"/>
      <c r="C109"/>
      <c r="D109"/>
      <c r="E109"/>
      <c r="F109"/>
      <c r="G109"/>
      <c r="H109"/>
      <c r="I109"/>
      <c r="J109"/>
      <c r="K109"/>
      <c r="L109"/>
      <c r="M109"/>
      <c r="N109"/>
      <c r="O109"/>
      <c r="P109"/>
      <c r="Q109"/>
      <c r="R109"/>
      <c r="S109"/>
      <c r="T109"/>
      <c r="U109"/>
      <c r="V109"/>
      <c r="W109"/>
    </row>
    <row r="110" spans="1:23" x14ac:dyDescent="0.4">
      <c r="A110"/>
      <c r="B110"/>
      <c r="C110"/>
      <c r="D110"/>
      <c r="E110"/>
      <c r="F110"/>
      <c r="G110"/>
      <c r="H110"/>
      <c r="I110"/>
      <c r="J110"/>
      <c r="K110"/>
      <c r="L110"/>
      <c r="M110"/>
      <c r="N110"/>
      <c r="O110"/>
      <c r="P110"/>
      <c r="Q110"/>
      <c r="R110"/>
      <c r="S110"/>
      <c r="T110"/>
      <c r="U110"/>
      <c r="V110"/>
      <c r="W110"/>
    </row>
    <row r="111" spans="1:23" x14ac:dyDescent="0.4">
      <c r="A111"/>
      <c r="B111"/>
      <c r="C111"/>
      <c r="D111"/>
      <c r="E111"/>
      <c r="F111"/>
      <c r="G111"/>
      <c r="H111"/>
      <c r="I111"/>
      <c r="J111"/>
      <c r="K111"/>
      <c r="L111"/>
      <c r="M111"/>
      <c r="N111"/>
      <c r="O111"/>
      <c r="P111"/>
      <c r="Q111"/>
      <c r="R111"/>
      <c r="S111"/>
      <c r="T111"/>
      <c r="U111"/>
      <c r="V111"/>
      <c r="W111"/>
    </row>
    <row r="112" spans="1:23" x14ac:dyDescent="0.4">
      <c r="A112"/>
      <c r="B112"/>
      <c r="C112"/>
      <c r="D112"/>
      <c r="E112"/>
      <c r="F112"/>
      <c r="G112"/>
      <c r="H112"/>
      <c r="I112"/>
      <c r="J112"/>
      <c r="K112"/>
      <c r="L112"/>
      <c r="M112"/>
      <c r="N112"/>
      <c r="O112"/>
      <c r="P112"/>
      <c r="Q112"/>
      <c r="R112"/>
      <c r="S112"/>
      <c r="T112"/>
      <c r="U112"/>
      <c r="V112"/>
      <c r="W112"/>
    </row>
    <row r="113" spans="1:23" x14ac:dyDescent="0.4">
      <c r="A113"/>
      <c r="B113"/>
      <c r="C113"/>
      <c r="D113"/>
      <c r="E113"/>
      <c r="F113"/>
      <c r="G113"/>
      <c r="H113"/>
      <c r="I113"/>
      <c r="J113"/>
      <c r="K113"/>
      <c r="L113"/>
      <c r="M113"/>
      <c r="N113"/>
      <c r="O113"/>
      <c r="P113"/>
      <c r="Q113"/>
      <c r="R113"/>
      <c r="S113"/>
      <c r="T113"/>
      <c r="U113"/>
      <c r="V113"/>
      <c r="W113"/>
    </row>
    <row r="114" spans="1:23" x14ac:dyDescent="0.4">
      <c r="A114"/>
      <c r="B114"/>
      <c r="C114"/>
      <c r="D114"/>
      <c r="E114"/>
      <c r="F114"/>
      <c r="G114"/>
      <c r="H114"/>
      <c r="I114"/>
      <c r="J114"/>
      <c r="K114"/>
      <c r="L114"/>
      <c r="M114"/>
      <c r="N114"/>
      <c r="O114"/>
      <c r="P114"/>
      <c r="Q114"/>
      <c r="R114"/>
      <c r="S114"/>
      <c r="T114"/>
      <c r="U114"/>
      <c r="V114"/>
      <c r="W114"/>
    </row>
    <row r="115" spans="1:23" x14ac:dyDescent="0.4">
      <c r="A115"/>
      <c r="B115"/>
      <c r="C115"/>
      <c r="D115"/>
      <c r="E115"/>
      <c r="F115"/>
      <c r="G115"/>
      <c r="H115"/>
      <c r="I115"/>
      <c r="J115"/>
      <c r="K115"/>
      <c r="L115"/>
      <c r="M115"/>
      <c r="N115"/>
      <c r="O115"/>
      <c r="P115"/>
      <c r="Q115"/>
      <c r="R115"/>
      <c r="S115"/>
      <c r="T115"/>
      <c r="U115"/>
      <c r="V115"/>
      <c r="W115"/>
    </row>
    <row r="116" spans="1:23" x14ac:dyDescent="0.4">
      <c r="A116"/>
      <c r="B116"/>
      <c r="C116"/>
      <c r="D116"/>
      <c r="E116"/>
      <c r="F116"/>
      <c r="G116"/>
      <c r="H116"/>
      <c r="I116"/>
      <c r="J116"/>
      <c r="K116"/>
      <c r="L116"/>
      <c r="M116"/>
      <c r="N116"/>
      <c r="O116"/>
      <c r="P116"/>
      <c r="Q116"/>
      <c r="R116"/>
      <c r="S116"/>
      <c r="T116"/>
      <c r="U116"/>
      <c r="V116"/>
      <c r="W116"/>
    </row>
    <row r="117" spans="1:23" x14ac:dyDescent="0.4">
      <c r="A117"/>
      <c r="B117"/>
      <c r="C117"/>
      <c r="D117"/>
      <c r="E117"/>
      <c r="F117"/>
      <c r="G117"/>
      <c r="H117"/>
      <c r="I117"/>
      <c r="J117"/>
      <c r="K117"/>
      <c r="L117"/>
      <c r="M117"/>
      <c r="N117"/>
      <c r="O117"/>
      <c r="P117"/>
      <c r="Q117"/>
      <c r="R117"/>
      <c r="S117"/>
      <c r="T117"/>
      <c r="U117"/>
      <c r="V117"/>
      <c r="W117"/>
    </row>
    <row r="118" spans="1:23" x14ac:dyDescent="0.4">
      <c r="A118"/>
      <c r="B118"/>
      <c r="C118"/>
      <c r="D118"/>
      <c r="E118"/>
      <c r="F118"/>
      <c r="G118"/>
      <c r="H118"/>
      <c r="I118"/>
      <c r="J118"/>
      <c r="K118"/>
      <c r="L118"/>
      <c r="M118"/>
      <c r="N118"/>
      <c r="O118"/>
      <c r="P118"/>
      <c r="Q118"/>
      <c r="R118"/>
      <c r="S118"/>
      <c r="T118"/>
      <c r="U118"/>
      <c r="V118"/>
      <c r="W118"/>
    </row>
    <row r="119" spans="1:23" x14ac:dyDescent="0.4">
      <c r="A119"/>
      <c r="B119"/>
      <c r="C119"/>
      <c r="D119"/>
      <c r="E119"/>
      <c r="F119"/>
      <c r="G119"/>
      <c r="H119"/>
      <c r="I119"/>
      <c r="J119"/>
      <c r="K119"/>
      <c r="L119"/>
      <c r="M119"/>
      <c r="N119"/>
      <c r="O119"/>
      <c r="P119"/>
      <c r="Q119"/>
      <c r="R119"/>
      <c r="S119"/>
      <c r="T119"/>
      <c r="U119"/>
      <c r="V119"/>
      <c r="W119"/>
    </row>
    <row r="120" spans="1:23" x14ac:dyDescent="0.4">
      <c r="A120"/>
      <c r="B120"/>
      <c r="C120"/>
      <c r="D120"/>
      <c r="E120"/>
      <c r="F120"/>
      <c r="G120"/>
      <c r="H120"/>
      <c r="I120"/>
      <c r="J120"/>
      <c r="K120"/>
      <c r="L120"/>
      <c r="M120"/>
      <c r="N120"/>
      <c r="O120"/>
      <c r="P120"/>
      <c r="Q120"/>
      <c r="R120"/>
      <c r="S120"/>
      <c r="T120"/>
      <c r="U120"/>
      <c r="V120"/>
      <c r="W120"/>
    </row>
    <row r="121" spans="1:23" x14ac:dyDescent="0.4">
      <c r="A121"/>
      <c r="B121"/>
      <c r="C121"/>
      <c r="D121"/>
      <c r="E121"/>
      <c r="F121"/>
      <c r="G121"/>
      <c r="H121"/>
      <c r="I121"/>
      <c r="J121"/>
      <c r="K121"/>
      <c r="L121"/>
      <c r="M121"/>
      <c r="N121"/>
      <c r="O121"/>
      <c r="P121"/>
      <c r="Q121"/>
      <c r="R121"/>
      <c r="S121"/>
      <c r="T121"/>
      <c r="U121"/>
      <c r="V121"/>
      <c r="W121"/>
    </row>
    <row r="122" spans="1:23" x14ac:dyDescent="0.4">
      <c r="A122"/>
      <c r="B122"/>
      <c r="C122"/>
      <c r="D122"/>
      <c r="E122"/>
      <c r="F122"/>
      <c r="G122"/>
      <c r="H122"/>
      <c r="I122"/>
      <c r="J122"/>
      <c r="K122"/>
      <c r="L122"/>
      <c r="M122"/>
      <c r="N122"/>
      <c r="O122"/>
      <c r="P122"/>
      <c r="Q122"/>
      <c r="R122"/>
      <c r="S122"/>
      <c r="T122"/>
      <c r="U122"/>
      <c r="V122"/>
      <c r="W122"/>
    </row>
    <row r="123" spans="1:23" x14ac:dyDescent="0.4">
      <c r="A123"/>
      <c r="B123"/>
      <c r="C123"/>
      <c r="D123"/>
      <c r="E123"/>
      <c r="F123"/>
      <c r="G123"/>
      <c r="H123"/>
      <c r="I123"/>
      <c r="J123"/>
      <c r="K123"/>
      <c r="L123"/>
      <c r="M123"/>
      <c r="N123"/>
      <c r="O123"/>
      <c r="P123"/>
      <c r="Q123"/>
      <c r="R123"/>
      <c r="S123"/>
      <c r="T123"/>
      <c r="U123"/>
      <c r="V123"/>
      <c r="W123"/>
    </row>
    <row r="124" spans="1:23" x14ac:dyDescent="0.4">
      <c r="A124"/>
      <c r="B124"/>
      <c r="C124"/>
      <c r="D124"/>
      <c r="E124"/>
      <c r="F124"/>
      <c r="G124"/>
      <c r="H124"/>
      <c r="I124"/>
      <c r="J124"/>
      <c r="K124"/>
      <c r="L124"/>
      <c r="M124"/>
      <c r="N124"/>
      <c r="O124"/>
      <c r="P124"/>
      <c r="Q124"/>
      <c r="R124"/>
      <c r="S124"/>
      <c r="T124"/>
      <c r="U124"/>
      <c r="V124"/>
      <c r="W124"/>
    </row>
    <row r="125" spans="1:23" x14ac:dyDescent="0.4">
      <c r="A125"/>
      <c r="B125"/>
      <c r="C125"/>
      <c r="D125"/>
      <c r="E125"/>
      <c r="F125"/>
      <c r="G125"/>
      <c r="H125"/>
      <c r="I125"/>
      <c r="J125"/>
      <c r="K125"/>
      <c r="L125"/>
      <c r="M125"/>
      <c r="N125"/>
      <c r="O125"/>
      <c r="P125"/>
      <c r="Q125"/>
      <c r="R125"/>
      <c r="S125"/>
      <c r="T125"/>
      <c r="U125"/>
      <c r="V125"/>
      <c r="W125"/>
    </row>
    <row r="126" spans="1:23" x14ac:dyDescent="0.4">
      <c r="A126"/>
      <c r="B126"/>
      <c r="C126"/>
      <c r="D126"/>
      <c r="E126"/>
      <c r="F126"/>
      <c r="G126"/>
      <c r="H126"/>
      <c r="I126"/>
      <c r="J126"/>
      <c r="K126"/>
      <c r="L126"/>
      <c r="M126"/>
      <c r="N126"/>
      <c r="O126"/>
      <c r="P126"/>
      <c r="Q126"/>
      <c r="R126"/>
      <c r="S126"/>
      <c r="T126"/>
      <c r="U126"/>
      <c r="V126"/>
      <c r="W126"/>
    </row>
    <row r="127" spans="1:23" x14ac:dyDescent="0.4">
      <c r="A127"/>
      <c r="B127"/>
      <c r="C127"/>
      <c r="D127"/>
      <c r="E127"/>
      <c r="F127"/>
      <c r="G127"/>
      <c r="H127"/>
      <c r="I127"/>
      <c r="J127"/>
      <c r="K127"/>
      <c r="L127"/>
      <c r="M127"/>
      <c r="N127"/>
      <c r="O127"/>
      <c r="P127"/>
      <c r="Q127"/>
      <c r="R127"/>
      <c r="S127"/>
      <c r="T127"/>
      <c r="U127"/>
      <c r="V127"/>
      <c r="W127"/>
    </row>
    <row r="128" spans="1:23" x14ac:dyDescent="0.4">
      <c r="A128"/>
      <c r="B128"/>
      <c r="C128"/>
      <c r="D128"/>
      <c r="E128"/>
      <c r="F128"/>
      <c r="G128"/>
      <c r="H128"/>
      <c r="I128"/>
      <c r="J128"/>
      <c r="K128"/>
      <c r="L128"/>
      <c r="M128"/>
      <c r="N128"/>
      <c r="O128"/>
      <c r="P128"/>
      <c r="Q128"/>
      <c r="R128"/>
      <c r="S128"/>
      <c r="T128"/>
      <c r="U128"/>
      <c r="V128"/>
      <c r="W128"/>
    </row>
    <row r="129" spans="1:23" x14ac:dyDescent="0.4">
      <c r="A129"/>
      <c r="B129"/>
      <c r="C129"/>
      <c r="D129"/>
      <c r="E129"/>
      <c r="F129"/>
      <c r="G129"/>
      <c r="H129"/>
      <c r="I129"/>
      <c r="J129"/>
      <c r="K129"/>
      <c r="L129"/>
      <c r="M129"/>
      <c r="N129"/>
      <c r="O129"/>
      <c r="P129"/>
      <c r="Q129"/>
      <c r="R129"/>
      <c r="S129"/>
      <c r="T129"/>
      <c r="U129"/>
      <c r="V129"/>
      <c r="W129"/>
    </row>
    <row r="130" spans="1:23" x14ac:dyDescent="0.4">
      <c r="A130"/>
      <c r="B130"/>
      <c r="C130"/>
      <c r="D130"/>
      <c r="E130"/>
      <c r="F130"/>
      <c r="G130"/>
      <c r="H130"/>
      <c r="I130"/>
      <c r="J130"/>
      <c r="K130"/>
      <c r="L130"/>
      <c r="M130"/>
      <c r="N130"/>
      <c r="O130"/>
      <c r="P130"/>
      <c r="Q130"/>
      <c r="R130"/>
      <c r="S130"/>
      <c r="T130"/>
      <c r="U130"/>
      <c r="V130"/>
      <c r="W130"/>
    </row>
    <row r="131" spans="1:23" x14ac:dyDescent="0.4">
      <c r="A131"/>
      <c r="B131"/>
      <c r="C131"/>
      <c r="D131"/>
      <c r="E131"/>
      <c r="F131"/>
      <c r="G131"/>
      <c r="H131"/>
      <c r="I131"/>
      <c r="J131"/>
      <c r="K131"/>
      <c r="L131"/>
      <c r="M131"/>
      <c r="N131"/>
      <c r="O131"/>
      <c r="P131"/>
      <c r="Q131"/>
      <c r="R131"/>
      <c r="S131"/>
      <c r="T131"/>
      <c r="U131"/>
      <c r="V131"/>
      <c r="W131"/>
    </row>
    <row r="132" spans="1:23" x14ac:dyDescent="0.4">
      <c r="A132"/>
      <c r="B132"/>
      <c r="C132"/>
      <c r="D132"/>
      <c r="E132"/>
      <c r="F132"/>
      <c r="G132"/>
      <c r="H132"/>
      <c r="I132"/>
      <c r="J132"/>
      <c r="K132"/>
      <c r="L132"/>
      <c r="M132"/>
      <c r="N132"/>
      <c r="O132"/>
      <c r="P132"/>
      <c r="Q132"/>
      <c r="R132"/>
      <c r="S132"/>
      <c r="T132"/>
      <c r="U132"/>
      <c r="V132"/>
      <c r="W132"/>
    </row>
    <row r="133" spans="1:23" x14ac:dyDescent="0.4">
      <c r="A133"/>
      <c r="B133"/>
      <c r="C133"/>
      <c r="D133"/>
      <c r="E133"/>
      <c r="F133"/>
      <c r="G133"/>
      <c r="H133"/>
      <c r="I133"/>
      <c r="J133"/>
      <c r="K133"/>
      <c r="L133"/>
      <c r="M133"/>
      <c r="N133"/>
      <c r="O133"/>
      <c r="P133"/>
      <c r="Q133"/>
      <c r="R133"/>
      <c r="S133"/>
      <c r="T133"/>
      <c r="U133"/>
      <c r="V133"/>
      <c r="W133"/>
    </row>
    <row r="134" spans="1:23" x14ac:dyDescent="0.4">
      <c r="A134"/>
      <c r="B134"/>
      <c r="C134"/>
      <c r="D134"/>
      <c r="E134"/>
      <c r="F134"/>
      <c r="G134"/>
      <c r="H134"/>
      <c r="I134"/>
      <c r="J134"/>
      <c r="K134"/>
      <c r="L134"/>
      <c r="M134"/>
      <c r="N134"/>
      <c r="O134"/>
      <c r="P134"/>
      <c r="Q134"/>
      <c r="R134"/>
      <c r="S134"/>
      <c r="T134"/>
      <c r="U134"/>
      <c r="V134"/>
      <c r="W134"/>
    </row>
    <row r="135" spans="1:23" x14ac:dyDescent="0.4">
      <c r="A135"/>
      <c r="B135"/>
      <c r="C135"/>
      <c r="D135"/>
      <c r="E135"/>
      <c r="F135"/>
      <c r="G135"/>
      <c r="H135"/>
      <c r="I135"/>
      <c r="J135"/>
      <c r="K135"/>
      <c r="L135"/>
      <c r="M135"/>
      <c r="N135"/>
      <c r="O135"/>
      <c r="P135"/>
      <c r="Q135"/>
      <c r="R135"/>
      <c r="S135"/>
      <c r="T135"/>
      <c r="U135"/>
      <c r="V135"/>
      <c r="W135"/>
    </row>
    <row r="136" spans="1:23" x14ac:dyDescent="0.4">
      <c r="A136"/>
      <c r="B136"/>
      <c r="C136"/>
      <c r="D136"/>
      <c r="E136"/>
      <c r="F136"/>
      <c r="G136"/>
      <c r="H136"/>
      <c r="I136"/>
      <c r="J136"/>
      <c r="K136"/>
      <c r="L136"/>
      <c r="M136"/>
      <c r="N136"/>
      <c r="O136"/>
      <c r="P136"/>
      <c r="Q136"/>
      <c r="R136"/>
      <c r="S136"/>
      <c r="T136"/>
      <c r="U136"/>
      <c r="V136"/>
      <c r="W136"/>
    </row>
    <row r="137" spans="1:23" x14ac:dyDescent="0.4">
      <c r="A137"/>
      <c r="B137"/>
      <c r="C137"/>
      <c r="D137"/>
      <c r="E137"/>
      <c r="F137"/>
      <c r="G137"/>
      <c r="H137"/>
      <c r="I137"/>
      <c r="J137"/>
      <c r="K137"/>
      <c r="L137"/>
      <c r="M137"/>
      <c r="N137"/>
      <c r="O137"/>
      <c r="P137"/>
      <c r="Q137"/>
      <c r="R137"/>
      <c r="S137"/>
      <c r="T137"/>
      <c r="U137"/>
      <c r="V137"/>
      <c r="W137"/>
    </row>
    <row r="138" spans="1:23" x14ac:dyDescent="0.4">
      <c r="A138"/>
      <c r="B138"/>
      <c r="C138"/>
      <c r="D138"/>
      <c r="E138"/>
      <c r="F138"/>
      <c r="G138"/>
      <c r="H138"/>
      <c r="I138"/>
      <c r="J138"/>
      <c r="K138"/>
      <c r="L138"/>
      <c r="M138"/>
      <c r="N138"/>
      <c r="O138"/>
      <c r="P138"/>
      <c r="Q138"/>
      <c r="R138"/>
      <c r="S138"/>
      <c r="T138"/>
      <c r="U138"/>
      <c r="V138"/>
      <c r="W138"/>
    </row>
    <row r="139" spans="1:23" x14ac:dyDescent="0.4">
      <c r="A139"/>
      <c r="B139"/>
      <c r="C139"/>
      <c r="D139"/>
      <c r="E139"/>
      <c r="F139"/>
      <c r="G139"/>
      <c r="H139"/>
      <c r="I139"/>
      <c r="J139"/>
      <c r="K139"/>
      <c r="L139"/>
      <c r="M139"/>
      <c r="N139"/>
      <c r="O139"/>
      <c r="P139"/>
      <c r="Q139"/>
      <c r="R139"/>
      <c r="S139"/>
      <c r="T139"/>
      <c r="U139"/>
      <c r="V139"/>
      <c r="W139"/>
    </row>
    <row r="140" spans="1:23" x14ac:dyDescent="0.4">
      <c r="A140"/>
      <c r="B140"/>
      <c r="C140"/>
      <c r="D140"/>
      <c r="E140"/>
      <c r="F140"/>
      <c r="G140"/>
      <c r="H140"/>
      <c r="I140"/>
      <c r="J140"/>
      <c r="K140"/>
      <c r="L140"/>
      <c r="M140"/>
      <c r="N140"/>
      <c r="O140"/>
      <c r="P140"/>
      <c r="Q140"/>
      <c r="R140"/>
      <c r="S140"/>
      <c r="T140"/>
      <c r="U140"/>
      <c r="V140"/>
      <c r="W140"/>
    </row>
    <row r="141" spans="1:23" x14ac:dyDescent="0.4">
      <c r="A141"/>
      <c r="B141"/>
      <c r="C141"/>
      <c r="D141"/>
      <c r="E141"/>
      <c r="F141"/>
      <c r="G141"/>
      <c r="H141"/>
      <c r="I141"/>
      <c r="J141"/>
      <c r="K141"/>
      <c r="L141"/>
      <c r="M141"/>
      <c r="N141"/>
      <c r="O141"/>
      <c r="P141"/>
      <c r="Q141"/>
      <c r="R141"/>
      <c r="S141"/>
      <c r="T141"/>
      <c r="U141"/>
      <c r="V141"/>
      <c r="W141"/>
    </row>
    <row r="142" spans="1:23" x14ac:dyDescent="0.4">
      <c r="A142"/>
      <c r="B142"/>
      <c r="C142"/>
      <c r="D142"/>
      <c r="E142"/>
      <c r="F142"/>
      <c r="G142"/>
      <c r="H142"/>
      <c r="I142"/>
      <c r="J142"/>
      <c r="K142"/>
      <c r="L142"/>
      <c r="M142"/>
      <c r="N142"/>
      <c r="O142"/>
      <c r="P142"/>
      <c r="Q142"/>
      <c r="R142"/>
      <c r="S142"/>
      <c r="T142"/>
      <c r="U142"/>
      <c r="V142"/>
      <c r="W142"/>
    </row>
    <row r="143" spans="1:23" x14ac:dyDescent="0.4">
      <c r="A143"/>
      <c r="B143"/>
      <c r="C143"/>
      <c r="D143"/>
      <c r="E143"/>
      <c r="F143"/>
      <c r="G143"/>
      <c r="H143"/>
      <c r="I143"/>
      <c r="J143"/>
      <c r="K143"/>
      <c r="L143"/>
      <c r="M143"/>
      <c r="N143"/>
      <c r="O143"/>
      <c r="P143"/>
      <c r="Q143"/>
      <c r="R143"/>
      <c r="S143"/>
      <c r="T143"/>
      <c r="U143"/>
      <c r="V143"/>
      <c r="W143"/>
    </row>
    <row r="144" spans="1:23" x14ac:dyDescent="0.4">
      <c r="A144"/>
      <c r="B144"/>
      <c r="C144"/>
      <c r="D144"/>
      <c r="E144"/>
      <c r="F144"/>
      <c r="G144"/>
      <c r="H144"/>
      <c r="I144"/>
      <c r="J144"/>
      <c r="K144"/>
      <c r="L144"/>
      <c r="M144"/>
      <c r="N144"/>
      <c r="O144"/>
      <c r="P144"/>
      <c r="Q144"/>
      <c r="R144"/>
      <c r="S144"/>
      <c r="T144"/>
      <c r="U144"/>
      <c r="V144"/>
      <c r="W144"/>
    </row>
    <row r="145" spans="1:23" x14ac:dyDescent="0.4">
      <c r="A145"/>
      <c r="B145"/>
      <c r="C145"/>
      <c r="D145"/>
      <c r="E145"/>
      <c r="F145"/>
      <c r="G145"/>
      <c r="H145"/>
      <c r="I145"/>
      <c r="J145"/>
      <c r="K145"/>
      <c r="L145"/>
      <c r="M145"/>
      <c r="N145"/>
      <c r="O145"/>
      <c r="P145"/>
      <c r="Q145"/>
      <c r="R145"/>
      <c r="S145"/>
      <c r="T145"/>
      <c r="U145"/>
      <c r="V145"/>
      <c r="W145"/>
    </row>
    <row r="146" spans="1:23" x14ac:dyDescent="0.4">
      <c r="A146"/>
      <c r="B146"/>
      <c r="C146"/>
      <c r="D146"/>
      <c r="E146"/>
      <c r="F146"/>
      <c r="G146"/>
      <c r="H146"/>
      <c r="I146"/>
      <c r="J146"/>
      <c r="K146"/>
      <c r="L146"/>
      <c r="M146"/>
      <c r="N146"/>
      <c r="O146"/>
      <c r="P146"/>
      <c r="Q146"/>
      <c r="R146"/>
      <c r="S146"/>
      <c r="T146"/>
      <c r="U146"/>
      <c r="V146"/>
      <c r="W146"/>
    </row>
    <row r="147" spans="1:23" x14ac:dyDescent="0.4">
      <c r="A147"/>
      <c r="B147"/>
      <c r="C147"/>
      <c r="D147"/>
      <c r="E147"/>
      <c r="F147"/>
      <c r="G147"/>
      <c r="H147"/>
      <c r="I147"/>
      <c r="J147"/>
      <c r="K147"/>
      <c r="L147"/>
      <c r="M147"/>
      <c r="N147"/>
      <c r="O147"/>
      <c r="P147"/>
      <c r="Q147"/>
      <c r="R147"/>
      <c r="S147"/>
      <c r="T147"/>
      <c r="U147"/>
      <c r="V147"/>
      <c r="W147"/>
    </row>
    <row r="148" spans="1:23" x14ac:dyDescent="0.4">
      <c r="A148"/>
      <c r="B148"/>
      <c r="C148"/>
      <c r="D148"/>
      <c r="E148"/>
      <c r="F148"/>
      <c r="G148"/>
      <c r="H148"/>
      <c r="I148"/>
      <c r="J148"/>
      <c r="K148"/>
      <c r="L148"/>
      <c r="M148"/>
      <c r="N148"/>
      <c r="O148"/>
      <c r="P148"/>
      <c r="Q148"/>
      <c r="R148"/>
      <c r="S148"/>
      <c r="T148"/>
      <c r="U148"/>
      <c r="V148"/>
      <c r="W148"/>
    </row>
    <row r="149" spans="1:23" x14ac:dyDescent="0.4">
      <c r="A149"/>
      <c r="B149"/>
      <c r="C149"/>
      <c r="D149"/>
      <c r="E149"/>
      <c r="F149"/>
      <c r="G149"/>
      <c r="H149"/>
      <c r="I149"/>
      <c r="J149"/>
      <c r="K149"/>
      <c r="L149"/>
      <c r="M149"/>
      <c r="N149"/>
      <c r="O149"/>
      <c r="P149"/>
      <c r="Q149"/>
      <c r="R149"/>
      <c r="S149"/>
      <c r="T149"/>
      <c r="U149"/>
      <c r="V149"/>
      <c r="W149"/>
    </row>
    <row r="150" spans="1:23" x14ac:dyDescent="0.4">
      <c r="A150"/>
      <c r="B150"/>
      <c r="C150"/>
      <c r="D150"/>
      <c r="E150"/>
      <c r="F150"/>
      <c r="G150"/>
      <c r="H150"/>
      <c r="I150"/>
      <c r="J150"/>
      <c r="K150"/>
      <c r="L150"/>
      <c r="M150"/>
      <c r="N150"/>
      <c r="O150"/>
      <c r="P150"/>
      <c r="Q150"/>
      <c r="R150"/>
      <c r="S150"/>
      <c r="T150"/>
      <c r="U150"/>
      <c r="V150"/>
      <c r="W150"/>
    </row>
    <row r="151" spans="1:23" x14ac:dyDescent="0.4">
      <c r="A151"/>
      <c r="B151"/>
      <c r="C151"/>
      <c r="D151"/>
      <c r="E151"/>
      <c r="F151"/>
      <c r="G151"/>
      <c r="H151"/>
      <c r="I151"/>
      <c r="J151"/>
      <c r="K151"/>
      <c r="L151"/>
      <c r="M151"/>
      <c r="N151"/>
      <c r="O151"/>
      <c r="P151"/>
      <c r="Q151"/>
      <c r="R151"/>
      <c r="S151"/>
      <c r="T151"/>
      <c r="U151"/>
      <c r="V151"/>
      <c r="W151"/>
    </row>
    <row r="152" spans="1:23" x14ac:dyDescent="0.4">
      <c r="A152"/>
      <c r="B152"/>
      <c r="C152"/>
      <c r="D152"/>
      <c r="E152"/>
      <c r="F152"/>
      <c r="G152"/>
      <c r="H152"/>
      <c r="I152"/>
      <c r="J152"/>
      <c r="K152"/>
      <c r="L152"/>
      <c r="M152"/>
      <c r="N152"/>
      <c r="O152"/>
      <c r="P152"/>
      <c r="Q152"/>
      <c r="R152"/>
      <c r="S152"/>
      <c r="T152"/>
      <c r="U152"/>
      <c r="V152"/>
      <c r="W152"/>
    </row>
    <row r="153" spans="1:23" x14ac:dyDescent="0.4">
      <c r="A153"/>
      <c r="B153"/>
      <c r="C153"/>
      <c r="D153"/>
      <c r="E153"/>
      <c r="F153"/>
      <c r="G153"/>
      <c r="H153"/>
      <c r="I153"/>
      <c r="J153"/>
      <c r="K153"/>
      <c r="L153"/>
      <c r="M153"/>
      <c r="N153"/>
      <c r="O153"/>
      <c r="P153"/>
      <c r="Q153"/>
      <c r="R153"/>
      <c r="S153"/>
      <c r="T153"/>
      <c r="U153"/>
      <c r="V153"/>
      <c r="W153"/>
    </row>
    <row r="154" spans="1:23" x14ac:dyDescent="0.4">
      <c r="A154"/>
      <c r="B154"/>
      <c r="C154"/>
      <c r="D154"/>
      <c r="E154"/>
      <c r="F154"/>
      <c r="G154"/>
      <c r="H154"/>
      <c r="I154"/>
      <c r="J154"/>
      <c r="K154"/>
      <c r="L154"/>
      <c r="M154"/>
      <c r="N154"/>
      <c r="O154"/>
      <c r="P154"/>
      <c r="Q154"/>
      <c r="R154"/>
      <c r="S154"/>
      <c r="T154"/>
      <c r="U154"/>
      <c r="V154"/>
      <c r="W154"/>
    </row>
    <row r="155" spans="1:23" x14ac:dyDescent="0.4">
      <c r="A155"/>
      <c r="B155"/>
      <c r="C155"/>
      <c r="D155"/>
      <c r="E155"/>
      <c r="F155"/>
      <c r="G155"/>
      <c r="H155"/>
      <c r="I155"/>
      <c r="J155"/>
      <c r="K155"/>
      <c r="L155"/>
      <c r="M155"/>
      <c r="N155"/>
      <c r="O155"/>
      <c r="P155"/>
      <c r="Q155"/>
      <c r="R155"/>
      <c r="S155"/>
      <c r="T155"/>
      <c r="U155"/>
      <c r="V155"/>
      <c r="W155"/>
    </row>
    <row r="156" spans="1:23" x14ac:dyDescent="0.4">
      <c r="A156"/>
      <c r="B156"/>
      <c r="C156"/>
      <c r="D156"/>
      <c r="E156"/>
      <c r="F156"/>
      <c r="G156"/>
      <c r="H156"/>
      <c r="I156"/>
      <c r="J156"/>
      <c r="K156"/>
      <c r="L156"/>
      <c r="M156"/>
      <c r="N156"/>
      <c r="O156"/>
      <c r="P156"/>
      <c r="Q156"/>
      <c r="R156"/>
      <c r="S156"/>
      <c r="T156"/>
      <c r="U156"/>
      <c r="V156"/>
      <c r="W156"/>
    </row>
    <row r="157" spans="1:23" x14ac:dyDescent="0.4">
      <c r="A157"/>
      <c r="B157"/>
      <c r="C157"/>
      <c r="D157"/>
      <c r="E157"/>
      <c r="F157"/>
      <c r="G157"/>
      <c r="H157"/>
      <c r="I157"/>
      <c r="J157"/>
      <c r="K157"/>
      <c r="L157"/>
      <c r="M157"/>
      <c r="N157"/>
      <c r="O157"/>
      <c r="P157"/>
      <c r="Q157"/>
      <c r="R157"/>
      <c r="S157"/>
      <c r="T157"/>
      <c r="U157"/>
      <c r="V157"/>
      <c r="W157"/>
    </row>
    <row r="158" spans="1:23" x14ac:dyDescent="0.4">
      <c r="A158"/>
      <c r="B158"/>
      <c r="C158"/>
      <c r="D158"/>
      <c r="E158"/>
      <c r="F158"/>
      <c r="G158"/>
      <c r="H158"/>
      <c r="I158"/>
      <c r="J158"/>
      <c r="K158"/>
      <c r="L158"/>
      <c r="M158"/>
      <c r="N158"/>
      <c r="O158"/>
      <c r="P158"/>
      <c r="Q158"/>
      <c r="R158"/>
      <c r="S158"/>
      <c r="T158"/>
      <c r="U158"/>
      <c r="V158"/>
      <c r="W158"/>
    </row>
    <row r="159" spans="1:23" x14ac:dyDescent="0.4">
      <c r="A159"/>
      <c r="B159"/>
      <c r="C159"/>
      <c r="D159"/>
      <c r="E159"/>
      <c r="F159"/>
      <c r="G159"/>
      <c r="H159"/>
      <c r="I159"/>
      <c r="J159"/>
      <c r="K159"/>
      <c r="L159"/>
      <c r="M159"/>
      <c r="N159"/>
      <c r="O159"/>
      <c r="P159"/>
      <c r="Q159"/>
      <c r="R159"/>
      <c r="S159"/>
      <c r="T159"/>
      <c r="U159"/>
      <c r="V159"/>
      <c r="W159"/>
    </row>
    <row r="160" spans="1:23" x14ac:dyDescent="0.4">
      <c r="A160"/>
      <c r="B160"/>
      <c r="C160"/>
      <c r="D160"/>
      <c r="E160"/>
      <c r="F160"/>
      <c r="G160"/>
      <c r="H160"/>
      <c r="I160"/>
      <c r="J160"/>
      <c r="K160"/>
      <c r="L160"/>
      <c r="M160"/>
      <c r="N160"/>
      <c r="O160"/>
      <c r="P160"/>
      <c r="Q160"/>
      <c r="R160"/>
      <c r="S160"/>
      <c r="T160"/>
      <c r="U160"/>
      <c r="V160"/>
      <c r="W160"/>
    </row>
    <row r="161" spans="1:23" x14ac:dyDescent="0.4">
      <c r="A161"/>
      <c r="B161"/>
      <c r="C161"/>
      <c r="D161"/>
      <c r="E161"/>
      <c r="F161"/>
      <c r="G161"/>
      <c r="H161"/>
      <c r="I161"/>
      <c r="J161"/>
      <c r="K161"/>
      <c r="L161"/>
      <c r="M161"/>
      <c r="N161"/>
      <c r="O161"/>
      <c r="P161"/>
      <c r="Q161"/>
      <c r="R161"/>
      <c r="S161"/>
      <c r="T161"/>
      <c r="U161"/>
      <c r="V161"/>
      <c r="W161"/>
    </row>
    <row r="162" spans="1:23" x14ac:dyDescent="0.4">
      <c r="A162"/>
      <c r="B162"/>
      <c r="C162"/>
      <c r="D162"/>
      <c r="E162"/>
      <c r="F162"/>
      <c r="G162"/>
      <c r="H162"/>
      <c r="I162"/>
      <c r="J162"/>
      <c r="K162"/>
      <c r="L162"/>
      <c r="M162"/>
      <c r="N162"/>
      <c r="O162"/>
      <c r="P162"/>
      <c r="Q162"/>
      <c r="R162"/>
      <c r="S162"/>
      <c r="T162"/>
      <c r="U162"/>
      <c r="V162"/>
      <c r="W162"/>
    </row>
    <row r="163" spans="1:23" x14ac:dyDescent="0.4">
      <c r="A163"/>
      <c r="B163"/>
      <c r="C163"/>
      <c r="D163"/>
      <c r="E163"/>
      <c r="F163"/>
      <c r="G163"/>
      <c r="H163"/>
      <c r="I163"/>
      <c r="J163"/>
      <c r="K163"/>
      <c r="L163"/>
      <c r="M163"/>
      <c r="N163"/>
      <c r="O163"/>
      <c r="P163"/>
      <c r="Q163"/>
      <c r="R163"/>
      <c r="S163"/>
      <c r="T163"/>
      <c r="U163"/>
      <c r="V163"/>
      <c r="W163"/>
    </row>
    <row r="164" spans="1:23" x14ac:dyDescent="0.4">
      <c r="A164"/>
      <c r="B164"/>
      <c r="C164"/>
      <c r="D164"/>
      <c r="E164"/>
      <c r="F164"/>
      <c r="G164"/>
      <c r="H164"/>
      <c r="I164"/>
      <c r="J164"/>
      <c r="K164"/>
      <c r="L164"/>
      <c r="M164"/>
      <c r="N164"/>
      <c r="O164"/>
      <c r="P164"/>
      <c r="Q164"/>
      <c r="R164"/>
      <c r="S164"/>
      <c r="T164"/>
      <c r="U164"/>
      <c r="V164"/>
      <c r="W164"/>
    </row>
    <row r="165" spans="1:23" x14ac:dyDescent="0.4">
      <c r="A165"/>
      <c r="B165"/>
      <c r="C165"/>
      <c r="D165"/>
      <c r="E165"/>
      <c r="F165"/>
      <c r="G165"/>
      <c r="H165"/>
      <c r="I165"/>
      <c r="J165"/>
      <c r="K165"/>
      <c r="L165"/>
      <c r="M165"/>
      <c r="N165"/>
      <c r="O165"/>
      <c r="P165"/>
      <c r="Q165"/>
      <c r="R165"/>
      <c r="S165"/>
      <c r="T165"/>
      <c r="U165"/>
      <c r="V165"/>
      <c r="W165"/>
    </row>
    <row r="166" spans="1:23" x14ac:dyDescent="0.4">
      <c r="A166"/>
      <c r="B166"/>
      <c r="C166"/>
      <c r="D166"/>
      <c r="E166"/>
      <c r="F166"/>
      <c r="G166"/>
      <c r="H166"/>
      <c r="I166"/>
      <c r="J166"/>
      <c r="K166"/>
      <c r="L166"/>
      <c r="M166"/>
      <c r="N166"/>
      <c r="O166"/>
      <c r="P166"/>
      <c r="Q166"/>
      <c r="R166"/>
      <c r="S166"/>
      <c r="T166"/>
      <c r="U166"/>
      <c r="V166"/>
      <c r="W166"/>
    </row>
    <row r="167" spans="1:23" x14ac:dyDescent="0.4">
      <c r="A167"/>
      <c r="B167"/>
      <c r="C167"/>
      <c r="D167"/>
      <c r="E167"/>
      <c r="F167"/>
      <c r="G167"/>
      <c r="H167"/>
      <c r="I167"/>
      <c r="J167"/>
      <c r="K167"/>
      <c r="L167"/>
      <c r="M167"/>
      <c r="N167"/>
      <c r="O167"/>
      <c r="P167"/>
      <c r="Q167"/>
      <c r="R167"/>
      <c r="S167"/>
      <c r="T167"/>
      <c r="U167"/>
      <c r="V167"/>
      <c r="W167"/>
    </row>
    <row r="168" spans="1:23" x14ac:dyDescent="0.4">
      <c r="A168"/>
      <c r="B168"/>
      <c r="C168"/>
      <c r="D168"/>
      <c r="E168"/>
      <c r="F168"/>
      <c r="G168"/>
      <c r="H168"/>
      <c r="I168"/>
      <c r="J168"/>
      <c r="K168"/>
      <c r="L168"/>
      <c r="M168"/>
      <c r="N168"/>
      <c r="O168"/>
      <c r="P168"/>
      <c r="Q168"/>
      <c r="R168"/>
      <c r="S168"/>
      <c r="T168"/>
      <c r="U168"/>
      <c r="V168"/>
      <c r="W168"/>
    </row>
    <row r="169" spans="1:23" x14ac:dyDescent="0.4">
      <c r="A169"/>
      <c r="B169"/>
      <c r="C169"/>
      <c r="D169"/>
      <c r="E169"/>
      <c r="F169"/>
      <c r="G169"/>
      <c r="H169"/>
      <c r="I169"/>
      <c r="J169"/>
      <c r="K169"/>
      <c r="L169"/>
      <c r="M169"/>
      <c r="N169"/>
      <c r="O169"/>
      <c r="P169"/>
      <c r="Q169"/>
      <c r="R169"/>
      <c r="S169"/>
      <c r="T169"/>
      <c r="U169"/>
      <c r="V169"/>
      <c r="W169"/>
    </row>
    <row r="170" spans="1:23" x14ac:dyDescent="0.4">
      <c r="A170"/>
      <c r="B170"/>
      <c r="C170"/>
      <c r="D170"/>
      <c r="E170"/>
      <c r="F170"/>
      <c r="G170"/>
      <c r="H170"/>
      <c r="I170"/>
      <c r="J170"/>
      <c r="K170"/>
      <c r="L170"/>
      <c r="M170"/>
      <c r="N170"/>
      <c r="O170"/>
      <c r="P170"/>
      <c r="Q170"/>
      <c r="R170"/>
      <c r="S170"/>
      <c r="T170"/>
      <c r="U170"/>
      <c r="V170"/>
      <c r="W170"/>
    </row>
    <row r="171" spans="1:23" x14ac:dyDescent="0.4">
      <c r="A171"/>
      <c r="B171"/>
      <c r="C171"/>
      <c r="D171"/>
      <c r="E171"/>
      <c r="F171"/>
      <c r="G171"/>
      <c r="H171"/>
      <c r="I171"/>
      <c r="J171"/>
      <c r="K171"/>
      <c r="L171"/>
      <c r="M171"/>
      <c r="N171"/>
      <c r="O171"/>
      <c r="P171"/>
      <c r="Q171"/>
      <c r="R171"/>
      <c r="S171"/>
      <c r="T171"/>
      <c r="U171"/>
      <c r="V171"/>
      <c r="W171"/>
    </row>
    <row r="172" spans="1:23" x14ac:dyDescent="0.4">
      <c r="A172"/>
      <c r="B172"/>
      <c r="C172"/>
      <c r="D172"/>
      <c r="E172"/>
      <c r="F172"/>
      <c r="G172"/>
      <c r="H172"/>
      <c r="I172"/>
      <c r="J172"/>
      <c r="K172"/>
      <c r="L172"/>
      <c r="M172"/>
      <c r="N172"/>
      <c r="O172"/>
      <c r="P172"/>
      <c r="Q172"/>
      <c r="R172"/>
      <c r="S172"/>
      <c r="T172"/>
      <c r="U172"/>
      <c r="V172"/>
      <c r="W172"/>
    </row>
    <row r="173" spans="1:23" x14ac:dyDescent="0.4">
      <c r="A173"/>
      <c r="B173"/>
      <c r="C173"/>
      <c r="D173"/>
      <c r="E173"/>
      <c r="F173"/>
      <c r="G173"/>
      <c r="H173"/>
      <c r="I173"/>
      <c r="J173"/>
      <c r="K173"/>
      <c r="L173"/>
      <c r="M173"/>
      <c r="N173"/>
      <c r="O173"/>
      <c r="P173"/>
      <c r="Q173"/>
      <c r="R173"/>
      <c r="S173"/>
      <c r="T173"/>
      <c r="U173"/>
      <c r="V173"/>
      <c r="W173"/>
    </row>
    <row r="174" spans="1:23" x14ac:dyDescent="0.4">
      <c r="A174"/>
      <c r="B174"/>
      <c r="C174"/>
      <c r="D174"/>
      <c r="E174"/>
      <c r="F174"/>
      <c r="G174"/>
      <c r="H174"/>
      <c r="I174"/>
      <c r="J174"/>
      <c r="K174"/>
      <c r="L174"/>
      <c r="M174"/>
      <c r="N174"/>
      <c r="O174"/>
      <c r="P174"/>
      <c r="Q174"/>
      <c r="R174"/>
      <c r="S174"/>
      <c r="T174"/>
      <c r="U174"/>
      <c r="V174"/>
      <c r="W174"/>
    </row>
    <row r="175" spans="1:23" x14ac:dyDescent="0.4">
      <c r="A175"/>
      <c r="B175"/>
      <c r="C175"/>
      <c r="D175"/>
      <c r="E175"/>
      <c r="F175"/>
      <c r="G175"/>
      <c r="H175"/>
      <c r="I175"/>
      <c r="J175"/>
      <c r="K175"/>
      <c r="L175"/>
      <c r="M175"/>
      <c r="N175"/>
      <c r="O175"/>
      <c r="P175"/>
      <c r="Q175"/>
      <c r="R175"/>
      <c r="S175"/>
      <c r="T175"/>
      <c r="U175"/>
      <c r="V175"/>
      <c r="W175"/>
    </row>
    <row r="176" spans="1:23" x14ac:dyDescent="0.4">
      <c r="A176"/>
      <c r="B176"/>
      <c r="C176"/>
      <c r="D176"/>
      <c r="E176"/>
      <c r="F176"/>
      <c r="G176"/>
      <c r="H176"/>
      <c r="I176"/>
      <c r="J176"/>
      <c r="K176"/>
      <c r="L176"/>
      <c r="M176"/>
      <c r="N176"/>
      <c r="O176"/>
      <c r="P176"/>
      <c r="Q176"/>
      <c r="R176"/>
      <c r="S176"/>
      <c r="T176"/>
      <c r="U176"/>
      <c r="V176"/>
      <c r="W176"/>
    </row>
    <row r="177" spans="1:23" x14ac:dyDescent="0.4">
      <c r="A177"/>
      <c r="B177"/>
      <c r="C177"/>
      <c r="D177"/>
      <c r="E177"/>
      <c r="F177"/>
      <c r="G177"/>
      <c r="H177"/>
      <c r="I177"/>
      <c r="J177"/>
      <c r="K177"/>
      <c r="L177"/>
      <c r="M177"/>
      <c r="N177"/>
      <c r="O177"/>
      <c r="P177"/>
      <c r="Q177"/>
      <c r="R177"/>
      <c r="S177"/>
      <c r="T177"/>
      <c r="U177"/>
      <c r="V177"/>
      <c r="W177"/>
    </row>
    <row r="178" spans="1:23" x14ac:dyDescent="0.4">
      <c r="A178"/>
      <c r="B178"/>
      <c r="C178"/>
      <c r="D178"/>
      <c r="E178"/>
      <c r="F178"/>
      <c r="G178"/>
      <c r="H178"/>
      <c r="I178"/>
      <c r="J178"/>
      <c r="K178"/>
      <c r="L178"/>
      <c r="M178"/>
      <c r="N178"/>
      <c r="O178"/>
      <c r="P178"/>
      <c r="Q178"/>
      <c r="R178"/>
      <c r="S178"/>
      <c r="T178"/>
      <c r="U178"/>
      <c r="V178"/>
      <c r="W178"/>
    </row>
    <row r="179" spans="1:23" x14ac:dyDescent="0.4">
      <c r="A179"/>
      <c r="B179"/>
      <c r="C179"/>
      <c r="D179"/>
      <c r="E179"/>
      <c r="F179"/>
      <c r="G179"/>
      <c r="H179"/>
      <c r="I179"/>
      <c r="J179"/>
      <c r="K179"/>
      <c r="L179"/>
      <c r="M179"/>
      <c r="N179"/>
      <c r="O179"/>
      <c r="P179"/>
      <c r="Q179"/>
      <c r="R179"/>
      <c r="S179"/>
      <c r="T179"/>
      <c r="U179"/>
      <c r="V179"/>
      <c r="W179"/>
    </row>
    <row r="180" spans="1:23" x14ac:dyDescent="0.4">
      <c r="A180"/>
      <c r="B180"/>
      <c r="C180"/>
      <c r="D180"/>
      <c r="E180"/>
      <c r="F180"/>
      <c r="G180"/>
      <c r="H180"/>
      <c r="I180"/>
      <c r="J180"/>
      <c r="K180"/>
      <c r="L180"/>
      <c r="M180"/>
      <c r="N180"/>
      <c r="O180"/>
      <c r="P180"/>
      <c r="Q180"/>
      <c r="R180"/>
      <c r="S180"/>
      <c r="T180"/>
      <c r="U180"/>
      <c r="V180"/>
      <c r="W180"/>
    </row>
    <row r="181" spans="1:23" x14ac:dyDescent="0.4">
      <c r="A181"/>
      <c r="B181"/>
      <c r="C181"/>
      <c r="D181"/>
      <c r="E181"/>
      <c r="F181"/>
      <c r="G181"/>
      <c r="H181"/>
      <c r="I181"/>
      <c r="J181"/>
      <c r="K181"/>
      <c r="L181"/>
      <c r="M181"/>
      <c r="N181"/>
      <c r="O181"/>
      <c r="P181"/>
      <c r="Q181"/>
      <c r="R181"/>
      <c r="S181"/>
      <c r="T181"/>
      <c r="U181"/>
      <c r="V181"/>
      <c r="W181"/>
    </row>
    <row r="182" spans="1:23" x14ac:dyDescent="0.4">
      <c r="A182"/>
      <c r="B182"/>
      <c r="C182"/>
      <c r="D182"/>
      <c r="E182"/>
      <c r="F182"/>
      <c r="G182"/>
      <c r="H182"/>
      <c r="I182"/>
      <c r="J182"/>
      <c r="K182"/>
      <c r="L182"/>
      <c r="M182"/>
      <c r="N182"/>
      <c r="O182"/>
      <c r="P182"/>
      <c r="Q182"/>
      <c r="R182"/>
      <c r="S182"/>
      <c r="T182"/>
      <c r="U182"/>
      <c r="V182"/>
      <c r="W182"/>
    </row>
    <row r="183" spans="1:23" x14ac:dyDescent="0.4">
      <c r="A183"/>
      <c r="B183"/>
      <c r="C183"/>
      <c r="D183"/>
      <c r="E183"/>
      <c r="F183"/>
      <c r="G183"/>
      <c r="H183"/>
      <c r="I183"/>
      <c r="J183"/>
      <c r="K183"/>
      <c r="L183"/>
      <c r="M183"/>
      <c r="N183"/>
      <c r="O183"/>
      <c r="P183"/>
      <c r="Q183"/>
      <c r="R183"/>
      <c r="S183"/>
      <c r="T183"/>
      <c r="U183"/>
      <c r="V183"/>
      <c r="W183"/>
    </row>
    <row r="184" spans="1:23" x14ac:dyDescent="0.4">
      <c r="A184"/>
      <c r="B184"/>
      <c r="C184"/>
      <c r="D184"/>
      <c r="E184"/>
      <c r="F184"/>
      <c r="G184"/>
      <c r="H184"/>
      <c r="I184"/>
      <c r="J184"/>
      <c r="K184"/>
      <c r="L184"/>
      <c r="M184"/>
      <c r="N184"/>
      <c r="O184"/>
      <c r="P184"/>
      <c r="Q184"/>
      <c r="R184"/>
      <c r="S184"/>
      <c r="T184"/>
      <c r="U184"/>
      <c r="V184"/>
      <c r="W184"/>
    </row>
    <row r="185" spans="1:23" x14ac:dyDescent="0.4">
      <c r="A185"/>
      <c r="B185"/>
      <c r="C185"/>
      <c r="D185"/>
      <c r="E185"/>
      <c r="F185"/>
      <c r="G185"/>
      <c r="H185"/>
      <c r="I185"/>
      <c r="J185"/>
      <c r="K185"/>
      <c r="L185"/>
      <c r="M185"/>
      <c r="N185"/>
      <c r="O185"/>
      <c r="P185"/>
      <c r="Q185"/>
      <c r="R185"/>
      <c r="S185"/>
      <c r="T185"/>
      <c r="U185"/>
      <c r="V185"/>
      <c r="W185"/>
    </row>
    <row r="186" spans="1:23" x14ac:dyDescent="0.4">
      <c r="A186"/>
      <c r="B186"/>
      <c r="C186"/>
      <c r="D186"/>
      <c r="E186"/>
      <c r="F186"/>
      <c r="G186"/>
      <c r="H186"/>
      <c r="I186"/>
      <c r="J186"/>
      <c r="K186"/>
      <c r="L186"/>
      <c r="M186"/>
      <c r="N186"/>
      <c r="O186"/>
      <c r="P186"/>
      <c r="Q186"/>
      <c r="R186"/>
      <c r="S186"/>
      <c r="T186"/>
      <c r="U186"/>
      <c r="V186"/>
      <c r="W186"/>
    </row>
    <row r="187" spans="1:23" x14ac:dyDescent="0.4">
      <c r="A187"/>
      <c r="B187"/>
      <c r="C187"/>
      <c r="D187"/>
      <c r="E187"/>
      <c r="F187"/>
      <c r="G187"/>
      <c r="H187"/>
      <c r="I187"/>
      <c r="J187"/>
      <c r="K187"/>
      <c r="L187"/>
      <c r="M187"/>
      <c r="N187"/>
      <c r="O187"/>
      <c r="P187"/>
      <c r="Q187"/>
      <c r="R187"/>
      <c r="S187"/>
      <c r="T187"/>
      <c r="U187"/>
      <c r="V187"/>
      <c r="W187"/>
    </row>
    <row r="188" spans="1:23" x14ac:dyDescent="0.4">
      <c r="A188"/>
      <c r="B188"/>
      <c r="C188"/>
      <c r="D188"/>
      <c r="E188"/>
      <c r="F188"/>
      <c r="G188"/>
      <c r="H188"/>
      <c r="I188"/>
      <c r="J188"/>
      <c r="K188"/>
      <c r="L188"/>
      <c r="M188"/>
      <c r="N188"/>
      <c r="O188"/>
      <c r="P188"/>
      <c r="Q188"/>
      <c r="R188"/>
      <c r="S188"/>
      <c r="T188"/>
      <c r="U188"/>
      <c r="V188"/>
      <c r="W188"/>
    </row>
    <row r="189" spans="1:23" x14ac:dyDescent="0.4">
      <c r="A189"/>
      <c r="B189"/>
      <c r="C189"/>
      <c r="D189"/>
      <c r="E189"/>
      <c r="F189"/>
      <c r="G189"/>
      <c r="H189"/>
      <c r="I189"/>
      <c r="J189"/>
      <c r="K189"/>
      <c r="L189"/>
      <c r="M189"/>
      <c r="N189"/>
      <c r="O189"/>
      <c r="P189"/>
      <c r="Q189"/>
      <c r="R189"/>
      <c r="S189"/>
      <c r="T189"/>
      <c r="U189"/>
      <c r="V189"/>
      <c r="W189"/>
    </row>
    <row r="190" spans="1:23" x14ac:dyDescent="0.4">
      <c r="A190"/>
      <c r="B190"/>
      <c r="C190"/>
      <c r="D190"/>
      <c r="E190"/>
      <c r="F190"/>
      <c r="G190"/>
      <c r="H190"/>
      <c r="I190"/>
      <c r="J190"/>
      <c r="K190"/>
      <c r="L190"/>
      <c r="M190"/>
      <c r="N190"/>
      <c r="O190"/>
      <c r="P190"/>
      <c r="Q190"/>
      <c r="R190"/>
      <c r="S190"/>
      <c r="T190"/>
      <c r="U190"/>
      <c r="V190"/>
      <c r="W190"/>
    </row>
    <row r="191" spans="1:23" x14ac:dyDescent="0.4">
      <c r="A191"/>
      <c r="B191"/>
      <c r="C191"/>
      <c r="D191"/>
      <c r="E191"/>
      <c r="F191"/>
      <c r="G191"/>
      <c r="H191"/>
      <c r="I191"/>
      <c r="J191"/>
      <c r="K191"/>
      <c r="L191"/>
      <c r="M191"/>
      <c r="N191"/>
      <c r="O191"/>
      <c r="P191"/>
      <c r="Q191"/>
      <c r="R191"/>
      <c r="S191"/>
      <c r="T191"/>
      <c r="U191"/>
      <c r="V191"/>
      <c r="W191"/>
    </row>
    <row r="192" spans="1:23" x14ac:dyDescent="0.4">
      <c r="A192"/>
      <c r="B192"/>
      <c r="C192"/>
      <c r="D192"/>
      <c r="E192"/>
      <c r="F192"/>
      <c r="G192"/>
      <c r="H192"/>
      <c r="I192"/>
      <c r="J192"/>
      <c r="K192"/>
      <c r="L192"/>
      <c r="M192"/>
      <c r="N192"/>
      <c r="O192"/>
      <c r="P192"/>
      <c r="Q192"/>
      <c r="R192"/>
      <c r="S192"/>
      <c r="T192"/>
      <c r="U192"/>
      <c r="V192"/>
      <c r="W192"/>
    </row>
    <row r="193" spans="1:23" x14ac:dyDescent="0.4">
      <c r="A193"/>
      <c r="B193"/>
      <c r="C193"/>
      <c r="D193"/>
      <c r="E193"/>
      <c r="F193"/>
      <c r="G193"/>
      <c r="H193"/>
      <c r="I193"/>
      <c r="J193"/>
      <c r="K193"/>
      <c r="L193"/>
      <c r="M193"/>
      <c r="N193"/>
      <c r="O193"/>
      <c r="P193"/>
      <c r="Q193"/>
      <c r="R193"/>
      <c r="S193"/>
      <c r="T193"/>
      <c r="U193"/>
      <c r="V193"/>
      <c r="W193"/>
    </row>
    <row r="194" spans="1:23" x14ac:dyDescent="0.4">
      <c r="A194"/>
      <c r="B194"/>
      <c r="C194"/>
      <c r="D194"/>
      <c r="E194"/>
      <c r="F194"/>
      <c r="G194"/>
      <c r="H194"/>
      <c r="I194"/>
      <c r="J194"/>
      <c r="K194"/>
      <c r="L194"/>
      <c r="M194"/>
      <c r="N194"/>
      <c r="O194"/>
      <c r="P194"/>
      <c r="Q194"/>
      <c r="R194"/>
      <c r="S194"/>
      <c r="T194"/>
      <c r="U194"/>
      <c r="V194"/>
      <c r="W194"/>
    </row>
    <row r="195" spans="1:23" x14ac:dyDescent="0.4">
      <c r="A195"/>
      <c r="B195"/>
      <c r="C195"/>
      <c r="D195"/>
      <c r="E195"/>
      <c r="F195"/>
      <c r="G195"/>
      <c r="H195"/>
      <c r="I195"/>
      <c r="J195"/>
      <c r="K195"/>
      <c r="L195"/>
      <c r="M195"/>
      <c r="N195"/>
      <c r="O195"/>
      <c r="P195"/>
      <c r="Q195"/>
      <c r="R195"/>
      <c r="S195"/>
      <c r="T195"/>
      <c r="U195"/>
      <c r="V195"/>
      <c r="W195"/>
    </row>
    <row r="196" spans="1:23" x14ac:dyDescent="0.4">
      <c r="A196"/>
      <c r="B196"/>
      <c r="C196"/>
      <c r="D196"/>
      <c r="E196"/>
      <c r="F196"/>
      <c r="G196"/>
      <c r="H196"/>
      <c r="I196"/>
      <c r="J196"/>
      <c r="K196"/>
      <c r="L196"/>
      <c r="M196"/>
      <c r="N196"/>
      <c r="O196"/>
      <c r="P196"/>
      <c r="Q196"/>
      <c r="R196"/>
      <c r="S196"/>
      <c r="T196"/>
      <c r="U196"/>
      <c r="V196"/>
      <c r="W196"/>
    </row>
    <row r="197" spans="1:23" x14ac:dyDescent="0.4">
      <c r="A197"/>
      <c r="B197"/>
      <c r="C197"/>
      <c r="D197"/>
      <c r="E197"/>
      <c r="F197"/>
      <c r="G197"/>
      <c r="H197"/>
      <c r="I197"/>
      <c r="J197"/>
      <c r="K197"/>
      <c r="L197"/>
      <c r="M197"/>
      <c r="N197"/>
      <c r="O197"/>
      <c r="P197"/>
      <c r="Q197"/>
      <c r="R197"/>
      <c r="S197"/>
      <c r="T197"/>
      <c r="U197"/>
      <c r="V197"/>
      <c r="W197"/>
    </row>
    <row r="198" spans="1:23" x14ac:dyDescent="0.4">
      <c r="A198"/>
      <c r="B198"/>
      <c r="C198"/>
      <c r="D198"/>
      <c r="E198"/>
      <c r="F198"/>
      <c r="G198"/>
      <c r="H198"/>
      <c r="I198"/>
      <c r="J198"/>
      <c r="K198"/>
      <c r="L198"/>
      <c r="M198"/>
      <c r="N198"/>
      <c r="O198"/>
      <c r="P198"/>
      <c r="Q198"/>
      <c r="R198"/>
      <c r="S198"/>
      <c r="T198"/>
      <c r="U198"/>
      <c r="V198"/>
      <c r="W198"/>
    </row>
    <row r="199" spans="1:23" x14ac:dyDescent="0.4">
      <c r="A199"/>
      <c r="B199"/>
      <c r="C199"/>
      <c r="D199"/>
      <c r="E199"/>
      <c r="F199"/>
      <c r="G199"/>
      <c r="H199"/>
      <c r="I199"/>
      <c r="J199"/>
      <c r="K199"/>
      <c r="L199"/>
      <c r="M199"/>
      <c r="N199"/>
      <c r="O199"/>
      <c r="P199"/>
      <c r="Q199"/>
      <c r="R199"/>
      <c r="S199"/>
      <c r="T199"/>
      <c r="U199"/>
      <c r="V199"/>
      <c r="W199"/>
    </row>
    <row r="200" spans="1:23" x14ac:dyDescent="0.4">
      <c r="A200"/>
      <c r="B200"/>
      <c r="C200"/>
      <c r="D200"/>
      <c r="E200"/>
      <c r="F200"/>
      <c r="G200"/>
      <c r="H200"/>
      <c r="I200"/>
      <c r="J200"/>
      <c r="K200"/>
      <c r="L200"/>
      <c r="M200"/>
      <c r="N200"/>
      <c r="O200"/>
      <c r="P200"/>
      <c r="Q200"/>
      <c r="R200"/>
      <c r="S200"/>
      <c r="T200"/>
      <c r="U200"/>
      <c r="V200"/>
      <c r="W200"/>
    </row>
    <row r="201" spans="1:23" x14ac:dyDescent="0.4">
      <c r="A201"/>
      <c r="B201"/>
      <c r="C201"/>
      <c r="D201"/>
      <c r="E201"/>
      <c r="F201"/>
      <c r="G201"/>
      <c r="H201"/>
      <c r="I201"/>
      <c r="J201"/>
      <c r="K201"/>
      <c r="L201"/>
      <c r="M201"/>
      <c r="N201"/>
      <c r="O201"/>
      <c r="P201"/>
      <c r="Q201"/>
      <c r="R201"/>
      <c r="S201"/>
      <c r="T201"/>
      <c r="U201"/>
      <c r="V201"/>
      <c r="W201"/>
    </row>
    <row r="202" spans="1:23" x14ac:dyDescent="0.4">
      <c r="A202"/>
      <c r="B202"/>
      <c r="C202"/>
      <c r="D202"/>
      <c r="E202"/>
      <c r="F202"/>
      <c r="G202"/>
      <c r="H202"/>
      <c r="I202"/>
      <c r="J202"/>
      <c r="K202"/>
      <c r="L202"/>
      <c r="M202"/>
      <c r="N202"/>
      <c r="O202"/>
      <c r="P202"/>
      <c r="Q202"/>
      <c r="R202"/>
      <c r="S202"/>
      <c r="T202"/>
      <c r="U202"/>
      <c r="V202"/>
      <c r="W202"/>
    </row>
    <row r="203" spans="1:23" x14ac:dyDescent="0.4">
      <c r="A203"/>
      <c r="B203"/>
      <c r="C203"/>
      <c r="D203"/>
      <c r="E203"/>
      <c r="F203"/>
      <c r="G203"/>
      <c r="H203"/>
      <c r="I203"/>
      <c r="J203"/>
      <c r="K203"/>
      <c r="L203"/>
      <c r="M203"/>
      <c r="N203"/>
      <c r="O203"/>
      <c r="P203"/>
      <c r="Q203"/>
      <c r="R203"/>
      <c r="S203"/>
      <c r="T203"/>
      <c r="U203"/>
      <c r="V203"/>
      <c r="W203"/>
    </row>
    <row r="204" spans="1:23" x14ac:dyDescent="0.4">
      <c r="A204"/>
      <c r="B204"/>
      <c r="C204"/>
      <c r="D204"/>
      <c r="E204"/>
      <c r="F204"/>
      <c r="G204"/>
      <c r="H204"/>
      <c r="I204"/>
      <c r="J204"/>
      <c r="K204"/>
      <c r="L204"/>
      <c r="M204"/>
      <c r="N204"/>
      <c r="O204"/>
      <c r="P204"/>
      <c r="Q204"/>
      <c r="R204"/>
      <c r="S204"/>
      <c r="T204"/>
      <c r="U204"/>
      <c r="V204"/>
      <c r="W204"/>
    </row>
    <row r="205" spans="1:23" x14ac:dyDescent="0.4">
      <c r="A205"/>
      <c r="B205"/>
      <c r="C205"/>
      <c r="D205"/>
      <c r="E205"/>
      <c r="F205"/>
      <c r="G205"/>
      <c r="H205"/>
      <c r="I205"/>
      <c r="J205"/>
      <c r="K205"/>
      <c r="L205"/>
      <c r="M205"/>
      <c r="N205"/>
      <c r="O205"/>
      <c r="P205"/>
      <c r="Q205"/>
      <c r="R205"/>
      <c r="S205"/>
      <c r="T205"/>
      <c r="U205"/>
      <c r="V205"/>
      <c r="W205"/>
    </row>
    <row r="206" spans="1:23" x14ac:dyDescent="0.4">
      <c r="A206"/>
      <c r="B206"/>
      <c r="C206"/>
      <c r="D206"/>
      <c r="E206"/>
      <c r="F206"/>
      <c r="G206"/>
      <c r="H206"/>
      <c r="I206"/>
      <c r="J206"/>
      <c r="K206"/>
      <c r="L206"/>
      <c r="M206"/>
      <c r="N206"/>
      <c r="O206"/>
      <c r="P206"/>
      <c r="Q206"/>
      <c r="R206"/>
      <c r="S206"/>
      <c r="T206"/>
      <c r="U206"/>
      <c r="V206"/>
      <c r="W206"/>
    </row>
    <row r="207" spans="1:23" x14ac:dyDescent="0.4">
      <c r="A207"/>
      <c r="B207"/>
      <c r="C207"/>
      <c r="D207"/>
      <c r="E207"/>
      <c r="F207"/>
      <c r="G207"/>
      <c r="H207"/>
      <c r="I207"/>
      <c r="J207"/>
      <c r="K207"/>
      <c r="L207"/>
      <c r="M207"/>
      <c r="N207"/>
      <c r="O207"/>
      <c r="P207"/>
      <c r="Q207"/>
      <c r="R207"/>
      <c r="S207"/>
      <c r="T207"/>
      <c r="U207"/>
      <c r="V207"/>
      <c r="W207"/>
    </row>
    <row r="208" spans="1:23" x14ac:dyDescent="0.4">
      <c r="A208"/>
      <c r="B208"/>
      <c r="C208"/>
      <c r="D208"/>
      <c r="E208"/>
      <c r="F208"/>
      <c r="G208"/>
      <c r="H208"/>
      <c r="I208"/>
      <c r="J208"/>
      <c r="K208"/>
      <c r="L208"/>
      <c r="M208"/>
      <c r="N208"/>
      <c r="O208"/>
      <c r="P208"/>
      <c r="Q208"/>
      <c r="R208"/>
      <c r="S208"/>
      <c r="T208"/>
      <c r="U208"/>
      <c r="V208"/>
      <c r="W208"/>
    </row>
    <row r="209" spans="1:23" x14ac:dyDescent="0.4">
      <c r="A209"/>
      <c r="B209"/>
      <c r="C209"/>
      <c r="D209"/>
      <c r="E209"/>
      <c r="F209"/>
      <c r="G209"/>
      <c r="H209"/>
      <c r="I209"/>
      <c r="J209"/>
      <c r="K209"/>
      <c r="L209"/>
      <c r="M209"/>
      <c r="N209"/>
      <c r="O209"/>
      <c r="P209"/>
      <c r="Q209"/>
      <c r="R209"/>
      <c r="S209"/>
      <c r="T209"/>
      <c r="U209"/>
      <c r="V209"/>
      <c r="W209"/>
    </row>
    <row r="210" spans="1:23" x14ac:dyDescent="0.4">
      <c r="A210"/>
      <c r="B210"/>
      <c r="C210"/>
      <c r="D210"/>
      <c r="E210"/>
      <c r="F210"/>
      <c r="G210"/>
      <c r="H210"/>
      <c r="I210"/>
      <c r="J210"/>
      <c r="K210"/>
      <c r="L210"/>
      <c r="M210"/>
      <c r="N210"/>
      <c r="O210"/>
      <c r="P210"/>
      <c r="Q210"/>
      <c r="R210"/>
      <c r="S210"/>
      <c r="T210"/>
      <c r="U210"/>
      <c r="V210"/>
      <c r="W210"/>
    </row>
    <row r="211" spans="1:23" x14ac:dyDescent="0.4">
      <c r="A211"/>
      <c r="B211"/>
      <c r="C211"/>
      <c r="D211"/>
      <c r="E211"/>
      <c r="F211"/>
      <c r="G211"/>
      <c r="H211"/>
      <c r="I211"/>
      <c r="J211"/>
      <c r="K211"/>
      <c r="L211"/>
      <c r="M211"/>
      <c r="N211"/>
      <c r="O211"/>
      <c r="P211"/>
      <c r="Q211"/>
      <c r="R211"/>
      <c r="S211"/>
      <c r="T211"/>
      <c r="U211"/>
      <c r="V211"/>
      <c r="W211"/>
    </row>
    <row r="212" spans="1:23" x14ac:dyDescent="0.4">
      <c r="A212"/>
      <c r="B212"/>
      <c r="C212"/>
      <c r="D212"/>
      <c r="E212"/>
      <c r="F212"/>
      <c r="G212"/>
      <c r="H212"/>
      <c r="I212"/>
      <c r="J212"/>
      <c r="K212"/>
      <c r="L212"/>
      <c r="M212"/>
      <c r="N212"/>
      <c r="O212"/>
      <c r="P212"/>
      <c r="Q212"/>
      <c r="R212"/>
      <c r="S212"/>
      <c r="T212"/>
      <c r="U212"/>
      <c r="V212"/>
      <c r="W212"/>
    </row>
    <row r="213" spans="1:23" x14ac:dyDescent="0.4">
      <c r="A213"/>
      <c r="B213"/>
      <c r="C213"/>
      <c r="D213"/>
      <c r="E213"/>
      <c r="F213"/>
      <c r="G213"/>
      <c r="H213"/>
      <c r="I213"/>
      <c r="J213"/>
      <c r="K213"/>
      <c r="L213"/>
      <c r="M213"/>
      <c r="N213"/>
      <c r="O213"/>
      <c r="P213"/>
      <c r="Q213"/>
      <c r="R213"/>
      <c r="S213"/>
      <c r="T213"/>
      <c r="U213"/>
      <c r="V213"/>
      <c r="W213"/>
    </row>
    <row r="214" spans="1:23" x14ac:dyDescent="0.4">
      <c r="A214"/>
      <c r="B214"/>
      <c r="C214"/>
      <c r="D214"/>
      <c r="E214"/>
      <c r="F214"/>
      <c r="G214"/>
      <c r="H214"/>
      <c r="I214"/>
      <c r="J214"/>
      <c r="K214"/>
      <c r="L214"/>
      <c r="M214"/>
      <c r="N214"/>
      <c r="O214"/>
      <c r="P214"/>
      <c r="Q214"/>
      <c r="R214"/>
      <c r="S214"/>
      <c r="T214"/>
      <c r="U214"/>
      <c r="V214"/>
      <c r="W214"/>
    </row>
    <row r="215" spans="1:23" x14ac:dyDescent="0.4">
      <c r="A215"/>
      <c r="B215"/>
      <c r="C215"/>
      <c r="D215"/>
      <c r="E215"/>
      <c r="F215"/>
      <c r="G215"/>
      <c r="H215"/>
      <c r="I215"/>
      <c r="J215"/>
      <c r="K215"/>
      <c r="L215"/>
      <c r="M215"/>
      <c r="N215"/>
      <c r="O215"/>
      <c r="P215"/>
      <c r="Q215"/>
      <c r="R215"/>
      <c r="S215"/>
      <c r="T215"/>
      <c r="U215"/>
      <c r="V215"/>
      <c r="W215"/>
    </row>
    <row r="216" spans="1:23" x14ac:dyDescent="0.4">
      <c r="A216"/>
      <c r="B216"/>
      <c r="C216"/>
      <c r="D216"/>
      <c r="E216"/>
      <c r="F216"/>
      <c r="G216"/>
      <c r="H216"/>
      <c r="I216"/>
      <c r="J216"/>
      <c r="K216"/>
      <c r="L216"/>
      <c r="M216"/>
      <c r="N216"/>
      <c r="O216"/>
      <c r="P216"/>
      <c r="Q216"/>
      <c r="R216"/>
      <c r="S216"/>
      <c r="T216"/>
      <c r="U216"/>
      <c r="V216"/>
      <c r="W216"/>
    </row>
    <row r="217" spans="1:23" x14ac:dyDescent="0.4">
      <c r="A217"/>
      <c r="B217"/>
      <c r="C217"/>
      <c r="D217"/>
      <c r="E217"/>
      <c r="F217"/>
      <c r="G217"/>
      <c r="H217"/>
      <c r="I217"/>
      <c r="J217"/>
      <c r="K217"/>
      <c r="L217"/>
      <c r="M217"/>
      <c r="N217"/>
      <c r="O217"/>
      <c r="P217"/>
      <c r="Q217"/>
      <c r="R217"/>
      <c r="S217"/>
      <c r="T217"/>
      <c r="U217"/>
      <c r="V217"/>
      <c r="W217"/>
    </row>
    <row r="218" spans="1:23" x14ac:dyDescent="0.4">
      <c r="A218"/>
      <c r="B218"/>
      <c r="C218"/>
      <c r="D218"/>
      <c r="E218"/>
      <c r="F218"/>
      <c r="G218"/>
      <c r="H218"/>
      <c r="I218"/>
      <c r="J218"/>
      <c r="K218"/>
      <c r="L218"/>
      <c r="M218"/>
      <c r="N218"/>
      <c r="O218"/>
      <c r="P218"/>
      <c r="Q218"/>
      <c r="R218"/>
      <c r="S218"/>
      <c r="T218"/>
      <c r="U218"/>
      <c r="V218"/>
      <c r="W218"/>
    </row>
    <row r="219" spans="1:23" x14ac:dyDescent="0.4">
      <c r="A219"/>
      <c r="B219"/>
      <c r="C219"/>
      <c r="D219"/>
      <c r="E219"/>
      <c r="F219"/>
      <c r="G219"/>
      <c r="H219"/>
      <c r="I219"/>
      <c r="J219"/>
      <c r="K219"/>
      <c r="L219"/>
      <c r="M219"/>
      <c r="N219"/>
      <c r="O219"/>
      <c r="P219"/>
      <c r="Q219"/>
      <c r="R219"/>
      <c r="S219"/>
      <c r="T219"/>
      <c r="U219"/>
      <c r="V219"/>
      <c r="W219"/>
    </row>
    <row r="220" spans="1:23" x14ac:dyDescent="0.4">
      <c r="A220"/>
      <c r="B220"/>
      <c r="C220"/>
      <c r="D220"/>
      <c r="E220"/>
      <c r="F220"/>
      <c r="G220"/>
      <c r="H220"/>
      <c r="I220"/>
      <c r="J220"/>
      <c r="K220"/>
      <c r="L220"/>
      <c r="M220"/>
      <c r="N220"/>
      <c r="O220"/>
      <c r="P220"/>
      <c r="Q220"/>
      <c r="R220"/>
      <c r="S220"/>
      <c r="T220"/>
      <c r="U220"/>
      <c r="V220"/>
      <c r="W220"/>
    </row>
    <row r="221" spans="1:23" x14ac:dyDescent="0.4">
      <c r="A221"/>
      <c r="B221"/>
      <c r="C221"/>
      <c r="D221"/>
      <c r="E221"/>
      <c r="F221"/>
      <c r="G221"/>
      <c r="H221"/>
      <c r="I221"/>
      <c r="J221"/>
      <c r="K221"/>
      <c r="L221"/>
      <c r="M221"/>
      <c r="N221"/>
      <c r="O221"/>
      <c r="P221"/>
      <c r="Q221"/>
      <c r="R221"/>
      <c r="S221"/>
      <c r="T221"/>
      <c r="U221"/>
      <c r="V221"/>
      <c r="W221"/>
    </row>
    <row r="222" spans="1:23" x14ac:dyDescent="0.4">
      <c r="A222"/>
      <c r="B222"/>
      <c r="C222"/>
      <c r="D222"/>
      <c r="E222"/>
      <c r="F222"/>
      <c r="G222"/>
      <c r="H222"/>
      <c r="I222"/>
      <c r="J222"/>
      <c r="K222"/>
      <c r="L222"/>
      <c r="M222"/>
      <c r="N222"/>
      <c r="O222"/>
      <c r="P222"/>
      <c r="Q222"/>
      <c r="R222"/>
      <c r="S222"/>
      <c r="T222"/>
      <c r="U222"/>
      <c r="V222"/>
      <c r="W222"/>
    </row>
    <row r="223" spans="1:23" x14ac:dyDescent="0.4">
      <c r="A223"/>
      <c r="B223"/>
      <c r="C223"/>
      <c r="D223"/>
      <c r="E223"/>
      <c r="F223"/>
      <c r="G223"/>
      <c r="H223"/>
      <c r="I223"/>
      <c r="J223"/>
      <c r="K223"/>
      <c r="L223"/>
      <c r="M223"/>
      <c r="N223"/>
      <c r="O223"/>
      <c r="P223"/>
      <c r="Q223"/>
      <c r="R223"/>
      <c r="S223"/>
      <c r="T223"/>
      <c r="U223"/>
      <c r="V223"/>
      <c r="W223"/>
    </row>
    <row r="224" spans="1:23" x14ac:dyDescent="0.4">
      <c r="A224"/>
      <c r="B224"/>
      <c r="C224"/>
      <c r="D224"/>
      <c r="E224"/>
      <c r="F224"/>
      <c r="G224"/>
      <c r="H224"/>
      <c r="I224"/>
      <c r="J224"/>
      <c r="K224"/>
      <c r="L224"/>
      <c r="M224"/>
      <c r="N224"/>
      <c r="O224"/>
      <c r="P224"/>
      <c r="Q224"/>
      <c r="R224"/>
      <c r="S224"/>
      <c r="T224"/>
      <c r="U224"/>
      <c r="V224"/>
      <c r="W224"/>
    </row>
    <row r="225" spans="1:23" x14ac:dyDescent="0.4">
      <c r="A225"/>
      <c r="B225"/>
      <c r="C225"/>
      <c r="D225"/>
      <c r="E225"/>
      <c r="F225"/>
      <c r="G225"/>
      <c r="H225"/>
      <c r="I225"/>
      <c r="J225"/>
      <c r="K225"/>
      <c r="L225"/>
      <c r="M225"/>
      <c r="N225"/>
      <c r="O225"/>
      <c r="P225"/>
      <c r="Q225"/>
      <c r="R225"/>
      <c r="S225"/>
      <c r="T225"/>
      <c r="U225"/>
      <c r="V225"/>
      <c r="W225"/>
    </row>
    <row r="226" spans="1:23" x14ac:dyDescent="0.4">
      <c r="A226"/>
      <c r="B226"/>
      <c r="C226"/>
      <c r="D226"/>
      <c r="E226"/>
      <c r="F226"/>
      <c r="G226"/>
      <c r="H226"/>
      <c r="I226"/>
      <c r="J226"/>
      <c r="K226"/>
      <c r="L226"/>
      <c r="M226"/>
      <c r="N226"/>
      <c r="O226"/>
      <c r="P226"/>
      <c r="Q226"/>
      <c r="R226"/>
      <c r="S226"/>
      <c r="T226"/>
      <c r="U226"/>
      <c r="V226"/>
      <c r="W226"/>
    </row>
    <row r="227" spans="1:23" x14ac:dyDescent="0.4">
      <c r="A227"/>
      <c r="B227"/>
      <c r="C227"/>
      <c r="D227"/>
      <c r="E227"/>
      <c r="F227"/>
      <c r="G227"/>
      <c r="H227"/>
      <c r="I227"/>
      <c r="J227"/>
      <c r="K227"/>
      <c r="L227"/>
      <c r="M227"/>
      <c r="N227"/>
      <c r="O227"/>
      <c r="P227"/>
      <c r="Q227"/>
      <c r="R227"/>
      <c r="S227"/>
      <c r="T227"/>
      <c r="U227"/>
      <c r="V227"/>
      <c r="W227"/>
    </row>
    <row r="228" spans="1:23" x14ac:dyDescent="0.4">
      <c r="A228"/>
      <c r="B228"/>
      <c r="C228"/>
      <c r="D228"/>
      <c r="E228"/>
      <c r="F228"/>
      <c r="G228"/>
      <c r="H228"/>
      <c r="I228"/>
      <c r="J228"/>
      <c r="K228"/>
      <c r="L228"/>
      <c r="M228"/>
      <c r="N228"/>
      <c r="O228"/>
      <c r="P228"/>
      <c r="Q228"/>
      <c r="R228"/>
      <c r="S228"/>
      <c r="T228"/>
      <c r="U228"/>
      <c r="V228"/>
      <c r="W228"/>
    </row>
    <row r="229" spans="1:23" x14ac:dyDescent="0.4">
      <c r="A229"/>
      <c r="B229"/>
      <c r="C229"/>
      <c r="D229"/>
      <c r="E229"/>
      <c r="F229"/>
      <c r="G229"/>
      <c r="H229"/>
      <c r="I229"/>
      <c r="J229"/>
      <c r="K229"/>
      <c r="L229"/>
      <c r="M229"/>
      <c r="N229"/>
      <c r="O229"/>
      <c r="P229"/>
      <c r="Q229"/>
      <c r="R229"/>
      <c r="S229"/>
      <c r="T229"/>
      <c r="U229"/>
      <c r="V229"/>
      <c r="W229"/>
    </row>
    <row r="230" spans="1:23" x14ac:dyDescent="0.4">
      <c r="A230"/>
      <c r="B230"/>
      <c r="C230"/>
      <c r="D230"/>
      <c r="E230"/>
      <c r="F230"/>
      <c r="G230"/>
      <c r="H230"/>
      <c r="I230"/>
      <c r="J230"/>
      <c r="K230"/>
      <c r="L230"/>
      <c r="M230"/>
      <c r="N230"/>
      <c r="O230"/>
      <c r="P230"/>
      <c r="Q230"/>
      <c r="R230"/>
      <c r="S230"/>
      <c r="T230"/>
      <c r="U230"/>
      <c r="V230"/>
      <c r="W230"/>
    </row>
    <row r="231" spans="1:23" x14ac:dyDescent="0.4">
      <c r="A231"/>
      <c r="B231"/>
      <c r="C231"/>
      <c r="D231"/>
      <c r="E231"/>
      <c r="F231"/>
      <c r="G231"/>
      <c r="H231"/>
      <c r="I231"/>
      <c r="J231"/>
      <c r="K231"/>
      <c r="L231"/>
      <c r="M231"/>
      <c r="N231"/>
      <c r="O231"/>
      <c r="P231"/>
      <c r="Q231"/>
      <c r="R231"/>
      <c r="S231"/>
      <c r="T231"/>
      <c r="U231"/>
      <c r="V231"/>
      <c r="W231"/>
    </row>
    <row r="232" spans="1:23" x14ac:dyDescent="0.4">
      <c r="A232"/>
      <c r="B232"/>
      <c r="C232"/>
      <c r="D232"/>
      <c r="E232"/>
      <c r="F232"/>
      <c r="G232"/>
      <c r="H232"/>
      <c r="I232"/>
      <c r="J232"/>
      <c r="K232"/>
      <c r="L232"/>
      <c r="M232"/>
      <c r="N232"/>
      <c r="O232"/>
      <c r="P232"/>
      <c r="Q232"/>
      <c r="R232"/>
      <c r="S232"/>
      <c r="T232"/>
      <c r="U232"/>
      <c r="V232"/>
      <c r="W232"/>
    </row>
    <row r="233" spans="1:23" x14ac:dyDescent="0.4">
      <c r="A233"/>
      <c r="B233"/>
      <c r="C233"/>
      <c r="D233"/>
      <c r="E233"/>
      <c r="F233"/>
      <c r="G233"/>
      <c r="H233"/>
      <c r="I233"/>
      <c r="J233"/>
      <c r="K233"/>
      <c r="L233"/>
      <c r="M233"/>
      <c r="N233"/>
      <c r="O233"/>
      <c r="P233"/>
      <c r="Q233"/>
      <c r="R233"/>
      <c r="S233"/>
      <c r="T233"/>
      <c r="U233"/>
      <c r="V233"/>
      <c r="W233"/>
    </row>
    <row r="234" spans="1:23" x14ac:dyDescent="0.4">
      <c r="A234"/>
      <c r="B234"/>
      <c r="C234"/>
      <c r="D234"/>
      <c r="E234"/>
      <c r="F234"/>
      <c r="G234"/>
      <c r="H234"/>
      <c r="I234"/>
      <c r="J234"/>
      <c r="K234"/>
      <c r="L234"/>
      <c r="M234"/>
      <c r="N234"/>
      <c r="O234"/>
      <c r="P234"/>
      <c r="Q234"/>
      <c r="R234"/>
      <c r="S234"/>
      <c r="T234"/>
      <c r="U234"/>
      <c r="V234"/>
      <c r="W234"/>
    </row>
    <row r="235" spans="1:23" x14ac:dyDescent="0.4">
      <c r="A235"/>
      <c r="B235"/>
      <c r="C235"/>
      <c r="D235"/>
      <c r="E235"/>
      <c r="F235"/>
      <c r="G235"/>
      <c r="H235"/>
      <c r="I235"/>
      <c r="J235"/>
      <c r="K235"/>
      <c r="L235"/>
      <c r="M235"/>
      <c r="N235"/>
      <c r="O235"/>
      <c r="P235"/>
      <c r="Q235"/>
      <c r="R235"/>
      <c r="S235"/>
      <c r="T235"/>
      <c r="U235"/>
      <c r="V235"/>
      <c r="W235"/>
    </row>
    <row r="236" spans="1:23" x14ac:dyDescent="0.4">
      <c r="A236"/>
      <c r="B236"/>
      <c r="C236"/>
      <c r="D236"/>
      <c r="E236"/>
      <c r="F236"/>
      <c r="G236"/>
      <c r="H236"/>
      <c r="I236"/>
      <c r="J236"/>
      <c r="K236"/>
      <c r="L236"/>
      <c r="M236"/>
      <c r="N236"/>
      <c r="O236"/>
      <c r="P236"/>
      <c r="Q236"/>
      <c r="R236"/>
      <c r="S236"/>
      <c r="T236"/>
      <c r="U236"/>
      <c r="V236"/>
      <c r="W236"/>
    </row>
    <row r="237" spans="1:23" x14ac:dyDescent="0.4">
      <c r="A237"/>
      <c r="B237"/>
      <c r="C237"/>
      <c r="D237"/>
      <c r="E237"/>
      <c r="F237"/>
      <c r="G237"/>
      <c r="H237"/>
      <c r="I237"/>
      <c r="J237"/>
      <c r="K237"/>
      <c r="L237"/>
      <c r="M237"/>
      <c r="N237"/>
      <c r="O237"/>
      <c r="P237"/>
      <c r="Q237"/>
      <c r="R237"/>
      <c r="S237"/>
      <c r="T237"/>
      <c r="U237"/>
      <c r="V237"/>
      <c r="W237"/>
    </row>
    <row r="238" spans="1:23" x14ac:dyDescent="0.4">
      <c r="A238"/>
      <c r="B238"/>
      <c r="C238"/>
      <c r="D238"/>
      <c r="E238"/>
      <c r="F238"/>
      <c r="G238"/>
      <c r="H238"/>
      <c r="I238"/>
      <c r="J238"/>
      <c r="K238"/>
      <c r="L238"/>
      <c r="M238"/>
      <c r="N238"/>
      <c r="O238"/>
      <c r="P238"/>
      <c r="Q238"/>
      <c r="R238"/>
      <c r="S238"/>
      <c r="T238"/>
      <c r="U238"/>
      <c r="V238"/>
      <c r="W238"/>
    </row>
    <row r="239" spans="1:23" x14ac:dyDescent="0.4">
      <c r="A239"/>
      <c r="B239"/>
      <c r="C239"/>
      <c r="D239"/>
      <c r="E239"/>
      <c r="F239"/>
      <c r="G239"/>
      <c r="H239"/>
      <c r="I239"/>
      <c r="J239"/>
      <c r="K239"/>
      <c r="L239"/>
      <c r="M239"/>
      <c r="N239"/>
      <c r="O239"/>
      <c r="P239"/>
      <c r="Q239"/>
      <c r="R239"/>
      <c r="S239"/>
      <c r="T239"/>
      <c r="U239"/>
      <c r="V239"/>
      <c r="W239"/>
    </row>
    <row r="240" spans="1:23" x14ac:dyDescent="0.4">
      <c r="A240"/>
      <c r="B240"/>
      <c r="C240"/>
      <c r="D240"/>
      <c r="E240"/>
      <c r="F240"/>
      <c r="G240"/>
      <c r="H240"/>
      <c r="I240"/>
      <c r="J240"/>
      <c r="K240"/>
      <c r="L240"/>
      <c r="M240"/>
      <c r="N240"/>
      <c r="O240"/>
      <c r="P240"/>
      <c r="Q240"/>
      <c r="R240"/>
      <c r="S240"/>
      <c r="T240"/>
      <c r="U240"/>
      <c r="V240"/>
      <c r="W240"/>
    </row>
    <row r="241" spans="1:23" x14ac:dyDescent="0.4">
      <c r="A241"/>
      <c r="B241"/>
      <c r="C241"/>
      <c r="D241"/>
      <c r="E241"/>
      <c r="F241"/>
      <c r="G241"/>
      <c r="H241"/>
      <c r="I241"/>
      <c r="J241"/>
      <c r="K241"/>
      <c r="L241"/>
      <c r="M241"/>
      <c r="N241"/>
      <c r="O241"/>
      <c r="P241"/>
      <c r="Q241"/>
      <c r="R241"/>
      <c r="S241"/>
      <c r="T241"/>
      <c r="U241"/>
      <c r="V241"/>
      <c r="W241"/>
    </row>
    <row r="242" spans="1:23" x14ac:dyDescent="0.4">
      <c r="A242"/>
      <c r="B242"/>
      <c r="C242"/>
      <c r="D242"/>
      <c r="E242"/>
      <c r="F242"/>
      <c r="G242"/>
      <c r="H242"/>
      <c r="I242"/>
      <c r="J242"/>
      <c r="K242"/>
      <c r="L242"/>
      <c r="M242"/>
      <c r="N242"/>
      <c r="O242"/>
      <c r="P242"/>
      <c r="Q242"/>
      <c r="R242"/>
      <c r="S242"/>
      <c r="T242"/>
      <c r="U242"/>
      <c r="V242"/>
      <c r="W242"/>
    </row>
    <row r="243" spans="1:23" x14ac:dyDescent="0.4">
      <c r="A243"/>
      <c r="B243"/>
      <c r="C243"/>
      <c r="D243"/>
      <c r="E243"/>
      <c r="F243"/>
      <c r="G243"/>
      <c r="H243"/>
      <c r="I243"/>
      <c r="J243"/>
      <c r="K243"/>
      <c r="L243"/>
      <c r="M243"/>
      <c r="N243"/>
      <c r="O243"/>
      <c r="P243"/>
      <c r="Q243"/>
      <c r="R243"/>
      <c r="S243"/>
      <c r="T243"/>
      <c r="U243"/>
      <c r="V243"/>
      <c r="W243"/>
    </row>
    <row r="244" spans="1:23" x14ac:dyDescent="0.4">
      <c r="A244"/>
      <c r="B244"/>
      <c r="C244"/>
      <c r="D244"/>
      <c r="E244"/>
      <c r="F244"/>
      <c r="G244"/>
      <c r="H244"/>
      <c r="I244"/>
      <c r="J244"/>
      <c r="K244"/>
      <c r="L244"/>
      <c r="M244"/>
      <c r="N244"/>
      <c r="O244"/>
      <c r="P244"/>
      <c r="Q244"/>
      <c r="R244"/>
      <c r="S244"/>
      <c r="T244"/>
      <c r="U244"/>
      <c r="V244"/>
      <c r="W244"/>
    </row>
    <row r="245" spans="1:23" x14ac:dyDescent="0.4">
      <c r="A245"/>
      <c r="B245"/>
      <c r="C245"/>
      <c r="D245"/>
      <c r="E245"/>
      <c r="F245"/>
      <c r="G245"/>
      <c r="H245"/>
      <c r="I245"/>
      <c r="J245"/>
      <c r="K245"/>
      <c r="L245"/>
      <c r="M245"/>
      <c r="N245"/>
      <c r="O245"/>
      <c r="P245"/>
      <c r="Q245"/>
      <c r="R245"/>
      <c r="S245"/>
      <c r="T245"/>
      <c r="U245"/>
      <c r="V245"/>
      <c r="W245"/>
    </row>
    <row r="246" spans="1:23" x14ac:dyDescent="0.4">
      <c r="A246"/>
      <c r="B246"/>
      <c r="C246"/>
      <c r="D246"/>
      <c r="E246"/>
      <c r="F246"/>
      <c r="G246"/>
      <c r="H246"/>
      <c r="I246"/>
      <c r="J246"/>
      <c r="K246"/>
      <c r="L246"/>
      <c r="M246"/>
      <c r="N246"/>
      <c r="O246"/>
      <c r="P246"/>
      <c r="Q246"/>
      <c r="R246"/>
      <c r="S246"/>
      <c r="T246"/>
      <c r="U246"/>
      <c r="V246"/>
      <c r="W246"/>
    </row>
    <row r="247" spans="1:23" x14ac:dyDescent="0.4">
      <c r="A247"/>
      <c r="B247"/>
      <c r="C247"/>
      <c r="D247"/>
      <c r="E247"/>
      <c r="F247"/>
      <c r="G247"/>
      <c r="H247"/>
      <c r="I247"/>
      <c r="J247"/>
      <c r="K247"/>
      <c r="L247"/>
      <c r="M247"/>
      <c r="N247"/>
      <c r="O247"/>
      <c r="P247"/>
      <c r="Q247"/>
      <c r="R247"/>
      <c r="S247"/>
      <c r="T247"/>
      <c r="U247"/>
      <c r="V247"/>
      <c r="W247"/>
    </row>
    <row r="248" spans="1:23" x14ac:dyDescent="0.4">
      <c r="A248"/>
      <c r="B248"/>
      <c r="C248"/>
      <c r="D248"/>
      <c r="E248"/>
      <c r="F248"/>
      <c r="G248"/>
      <c r="H248"/>
      <c r="I248"/>
      <c r="J248"/>
      <c r="K248"/>
      <c r="L248"/>
      <c r="M248"/>
      <c r="N248"/>
      <c r="O248"/>
      <c r="P248"/>
      <c r="Q248"/>
      <c r="R248"/>
      <c r="S248"/>
      <c r="T248"/>
      <c r="U248"/>
      <c r="V248"/>
      <c r="W248"/>
    </row>
    <row r="249" spans="1:23" x14ac:dyDescent="0.4">
      <c r="A249"/>
      <c r="B249"/>
      <c r="C249"/>
      <c r="D249"/>
      <c r="E249"/>
      <c r="F249"/>
      <c r="G249"/>
      <c r="H249"/>
      <c r="I249"/>
      <c r="J249"/>
      <c r="K249"/>
      <c r="L249"/>
      <c r="M249"/>
      <c r="N249"/>
      <c r="O249"/>
      <c r="P249"/>
      <c r="Q249"/>
      <c r="R249"/>
      <c r="S249"/>
      <c r="T249"/>
      <c r="U249"/>
      <c r="V249"/>
      <c r="W249"/>
    </row>
    <row r="250" spans="1:23" x14ac:dyDescent="0.4">
      <c r="A250"/>
      <c r="B250"/>
      <c r="C250"/>
      <c r="D250"/>
      <c r="E250"/>
      <c r="F250"/>
      <c r="G250"/>
      <c r="H250"/>
      <c r="I250"/>
      <c r="J250"/>
      <c r="K250"/>
      <c r="L250"/>
      <c r="M250"/>
      <c r="N250"/>
      <c r="O250"/>
      <c r="P250"/>
      <c r="Q250"/>
      <c r="R250"/>
      <c r="S250"/>
      <c r="T250"/>
      <c r="U250"/>
      <c r="V250"/>
      <c r="W250"/>
    </row>
    <row r="251" spans="1:23" x14ac:dyDescent="0.4">
      <c r="A251"/>
      <c r="B251"/>
      <c r="C251"/>
      <c r="D251"/>
      <c r="E251"/>
      <c r="F251"/>
      <c r="G251"/>
      <c r="H251"/>
      <c r="I251"/>
      <c r="J251"/>
      <c r="K251"/>
      <c r="L251"/>
      <c r="M251"/>
      <c r="N251"/>
      <c r="O251"/>
      <c r="P251"/>
      <c r="Q251"/>
      <c r="R251"/>
      <c r="S251"/>
      <c r="T251"/>
      <c r="U251"/>
      <c r="V251"/>
      <c r="W251"/>
    </row>
    <row r="252" spans="1:23" x14ac:dyDescent="0.4">
      <c r="A252"/>
      <c r="B252"/>
      <c r="C252"/>
      <c r="D252"/>
      <c r="E252"/>
      <c r="F252"/>
      <c r="G252"/>
      <c r="H252"/>
      <c r="I252"/>
      <c r="J252"/>
      <c r="K252"/>
      <c r="L252"/>
      <c r="M252"/>
      <c r="N252"/>
      <c r="O252"/>
      <c r="P252"/>
      <c r="Q252"/>
      <c r="R252"/>
      <c r="S252"/>
      <c r="T252"/>
      <c r="U252"/>
      <c r="V252"/>
      <c r="W252"/>
    </row>
    <row r="253" spans="1:23" x14ac:dyDescent="0.4">
      <c r="A253"/>
      <c r="B253"/>
      <c r="C253"/>
      <c r="D253"/>
      <c r="E253"/>
      <c r="F253"/>
      <c r="G253"/>
      <c r="H253"/>
      <c r="I253"/>
      <c r="J253"/>
      <c r="K253"/>
      <c r="L253"/>
      <c r="M253"/>
      <c r="N253"/>
      <c r="O253"/>
      <c r="P253"/>
      <c r="Q253"/>
      <c r="R253"/>
      <c r="S253"/>
      <c r="T253"/>
      <c r="U253"/>
      <c r="V253"/>
      <c r="W253"/>
    </row>
    <row r="254" spans="1:23" x14ac:dyDescent="0.4">
      <c r="A254"/>
      <c r="B254"/>
      <c r="C254"/>
      <c r="D254"/>
      <c r="E254"/>
      <c r="F254"/>
      <c r="G254"/>
      <c r="H254"/>
      <c r="I254"/>
      <c r="J254"/>
      <c r="K254"/>
      <c r="L254"/>
      <c r="M254"/>
      <c r="N254"/>
      <c r="O254"/>
      <c r="P254"/>
      <c r="Q254"/>
      <c r="R254"/>
      <c r="S254"/>
      <c r="T254"/>
      <c r="U254"/>
      <c r="V254"/>
      <c r="W254"/>
    </row>
    <row r="255" spans="1:23" x14ac:dyDescent="0.4">
      <c r="A255"/>
      <c r="B255"/>
      <c r="C255"/>
      <c r="D255"/>
      <c r="E255"/>
      <c r="F255"/>
      <c r="G255"/>
      <c r="H255"/>
      <c r="I255"/>
      <c r="J255"/>
      <c r="K255"/>
      <c r="L255"/>
      <c r="M255"/>
      <c r="N255"/>
      <c r="O255"/>
      <c r="P255"/>
      <c r="Q255"/>
      <c r="R255"/>
      <c r="S255"/>
      <c r="T255"/>
      <c r="U255"/>
      <c r="V255"/>
      <c r="W255"/>
    </row>
    <row r="256" spans="1:23" x14ac:dyDescent="0.4">
      <c r="A256"/>
      <c r="B256"/>
      <c r="C256"/>
      <c r="D256"/>
      <c r="E256"/>
      <c r="F256"/>
      <c r="G256"/>
      <c r="H256"/>
      <c r="I256"/>
      <c r="J256"/>
      <c r="K256"/>
      <c r="L256"/>
      <c r="M256"/>
      <c r="N256"/>
      <c r="O256"/>
      <c r="P256"/>
      <c r="Q256"/>
      <c r="R256"/>
      <c r="S256"/>
      <c r="T256"/>
      <c r="U256"/>
      <c r="V256"/>
      <c r="W256"/>
    </row>
    <row r="257" spans="1:23" x14ac:dyDescent="0.4">
      <c r="A257"/>
      <c r="B257"/>
      <c r="C257"/>
      <c r="D257"/>
      <c r="E257"/>
      <c r="F257"/>
      <c r="G257"/>
      <c r="H257"/>
      <c r="I257"/>
      <c r="J257"/>
      <c r="K257"/>
      <c r="L257"/>
      <c r="M257"/>
      <c r="N257"/>
      <c r="O257"/>
      <c r="P257"/>
      <c r="Q257"/>
      <c r="R257"/>
      <c r="S257"/>
      <c r="T257"/>
      <c r="U257"/>
      <c r="V257"/>
      <c r="W257"/>
    </row>
    <row r="258" spans="1:23" x14ac:dyDescent="0.4">
      <c r="A258"/>
      <c r="B258"/>
      <c r="C258"/>
      <c r="D258"/>
      <c r="E258"/>
      <c r="F258"/>
      <c r="G258"/>
      <c r="H258"/>
      <c r="I258"/>
      <c r="J258"/>
      <c r="K258"/>
      <c r="L258"/>
      <c r="M258"/>
      <c r="N258"/>
      <c r="O258"/>
      <c r="P258"/>
      <c r="Q258"/>
      <c r="R258"/>
      <c r="S258"/>
      <c r="T258"/>
      <c r="U258"/>
      <c r="V258"/>
      <c r="W258"/>
    </row>
    <row r="259" spans="1:23" x14ac:dyDescent="0.4">
      <c r="A259"/>
      <c r="B259"/>
      <c r="C259"/>
      <c r="D259"/>
      <c r="E259"/>
      <c r="F259"/>
      <c r="G259"/>
      <c r="H259"/>
      <c r="I259"/>
      <c r="J259"/>
      <c r="K259"/>
      <c r="L259"/>
      <c r="M259"/>
      <c r="N259"/>
      <c r="O259"/>
      <c r="P259"/>
      <c r="Q259"/>
      <c r="R259"/>
      <c r="S259"/>
      <c r="T259"/>
      <c r="U259"/>
      <c r="V259"/>
      <c r="W259"/>
    </row>
    <row r="260" spans="1:23" x14ac:dyDescent="0.4">
      <c r="A260"/>
      <c r="B260"/>
      <c r="C260"/>
      <c r="D260"/>
      <c r="E260"/>
      <c r="F260"/>
      <c r="G260"/>
      <c r="H260"/>
      <c r="I260"/>
      <c r="J260"/>
      <c r="K260"/>
      <c r="L260"/>
      <c r="M260"/>
      <c r="N260"/>
      <c r="O260"/>
      <c r="P260"/>
      <c r="Q260"/>
      <c r="R260"/>
      <c r="S260"/>
      <c r="T260"/>
      <c r="U260"/>
      <c r="V260"/>
      <c r="W260"/>
    </row>
    <row r="261" spans="1:23" x14ac:dyDescent="0.4">
      <c r="A261"/>
      <c r="B261"/>
      <c r="C261"/>
      <c r="D261"/>
      <c r="E261"/>
      <c r="F261"/>
      <c r="G261"/>
      <c r="H261"/>
      <c r="I261"/>
      <c r="J261"/>
      <c r="K261"/>
      <c r="L261"/>
      <c r="M261"/>
      <c r="N261"/>
      <c r="O261"/>
      <c r="P261"/>
      <c r="Q261"/>
      <c r="R261"/>
      <c r="S261"/>
      <c r="T261"/>
      <c r="U261"/>
      <c r="V261"/>
      <c r="W261"/>
    </row>
    <row r="262" spans="1:23" x14ac:dyDescent="0.4">
      <c r="A262"/>
      <c r="B262"/>
      <c r="C262"/>
      <c r="D262"/>
      <c r="E262"/>
      <c r="F262"/>
      <c r="G262"/>
      <c r="H262"/>
      <c r="I262"/>
      <c r="J262"/>
      <c r="K262"/>
      <c r="L262"/>
      <c r="M262"/>
      <c r="N262"/>
      <c r="O262"/>
      <c r="P262"/>
      <c r="Q262"/>
      <c r="R262"/>
      <c r="S262"/>
      <c r="T262"/>
      <c r="U262"/>
      <c r="V262"/>
      <c r="W262"/>
    </row>
    <row r="263" spans="1:23" x14ac:dyDescent="0.4">
      <c r="A263"/>
      <c r="B263"/>
      <c r="C263"/>
      <c r="D263"/>
      <c r="E263"/>
      <c r="F263"/>
      <c r="G263"/>
      <c r="H263"/>
      <c r="I263"/>
      <c r="J263"/>
      <c r="K263"/>
      <c r="L263"/>
      <c r="M263"/>
      <c r="N263"/>
      <c r="O263"/>
      <c r="P263"/>
      <c r="Q263"/>
      <c r="R263"/>
      <c r="S263"/>
      <c r="T263"/>
      <c r="U263"/>
      <c r="V263"/>
      <c r="W263"/>
    </row>
    <row r="264" spans="1:23" x14ac:dyDescent="0.4">
      <c r="A264"/>
      <c r="B264"/>
      <c r="C264"/>
      <c r="D264"/>
      <c r="E264"/>
      <c r="F264"/>
      <c r="G264"/>
      <c r="H264"/>
      <c r="I264"/>
      <c r="J264"/>
      <c r="K264"/>
      <c r="L264"/>
      <c r="M264"/>
      <c r="N264"/>
      <c r="O264"/>
      <c r="P264"/>
      <c r="Q264"/>
      <c r="R264"/>
      <c r="S264"/>
      <c r="T264"/>
      <c r="U264"/>
      <c r="V264"/>
      <c r="W264"/>
    </row>
    <row r="265" spans="1:23" x14ac:dyDescent="0.4">
      <c r="A265"/>
      <c r="B265"/>
      <c r="C265"/>
      <c r="D265"/>
      <c r="E265"/>
      <c r="F265"/>
      <c r="G265"/>
      <c r="H265"/>
      <c r="I265"/>
      <c r="J265"/>
      <c r="K265"/>
      <c r="L265"/>
      <c r="M265"/>
      <c r="N265"/>
      <c r="O265"/>
      <c r="P265"/>
      <c r="Q265"/>
      <c r="R265"/>
      <c r="S265"/>
      <c r="T265"/>
      <c r="U265"/>
      <c r="V265"/>
      <c r="W265"/>
    </row>
    <row r="266" spans="1:23" x14ac:dyDescent="0.4">
      <c r="A266"/>
      <c r="B266"/>
      <c r="C266"/>
      <c r="D266"/>
      <c r="E266"/>
      <c r="F266"/>
      <c r="G266"/>
      <c r="H266"/>
      <c r="I266"/>
      <c r="J266"/>
      <c r="K266"/>
      <c r="L266"/>
      <c r="M266"/>
      <c r="N266"/>
      <c r="O266"/>
      <c r="P266"/>
      <c r="Q266"/>
      <c r="R266"/>
      <c r="S266"/>
      <c r="T266"/>
      <c r="U266"/>
      <c r="V266"/>
      <c r="W266"/>
    </row>
    <row r="267" spans="1:23" x14ac:dyDescent="0.4">
      <c r="A267"/>
      <c r="B267"/>
      <c r="C267"/>
      <c r="D267"/>
      <c r="E267"/>
      <c r="F267"/>
      <c r="G267"/>
      <c r="H267"/>
      <c r="I267"/>
      <c r="J267"/>
      <c r="K267"/>
      <c r="L267"/>
      <c r="M267"/>
      <c r="N267"/>
      <c r="O267"/>
      <c r="P267"/>
      <c r="Q267"/>
      <c r="R267"/>
      <c r="S267"/>
      <c r="T267"/>
      <c r="U267"/>
      <c r="V267"/>
      <c r="W267"/>
    </row>
    <row r="268" spans="1:23" x14ac:dyDescent="0.4">
      <c r="A268"/>
      <c r="B268"/>
      <c r="C268"/>
      <c r="D268"/>
      <c r="E268"/>
      <c r="F268"/>
      <c r="G268"/>
      <c r="H268"/>
      <c r="I268"/>
      <c r="J268"/>
      <c r="K268"/>
      <c r="L268"/>
      <c r="M268"/>
      <c r="N268"/>
      <c r="O268"/>
      <c r="P268"/>
      <c r="Q268"/>
      <c r="R268"/>
      <c r="S268"/>
      <c r="T268"/>
      <c r="U268"/>
      <c r="V268"/>
      <c r="W268"/>
    </row>
    <row r="269" spans="1:23" x14ac:dyDescent="0.4">
      <c r="A269"/>
      <c r="B269"/>
      <c r="C269"/>
      <c r="D269"/>
      <c r="E269"/>
      <c r="F269"/>
      <c r="G269"/>
      <c r="H269"/>
      <c r="I269"/>
      <c r="J269"/>
      <c r="K269"/>
      <c r="L269"/>
      <c r="M269"/>
      <c r="N269"/>
      <c r="O269"/>
      <c r="P269"/>
      <c r="Q269"/>
      <c r="R269"/>
      <c r="S269"/>
      <c r="T269"/>
      <c r="U269"/>
      <c r="V269"/>
      <c r="W269"/>
    </row>
    <row r="270" spans="1:23" x14ac:dyDescent="0.4">
      <c r="A270"/>
      <c r="B270"/>
      <c r="C270"/>
      <c r="D270"/>
      <c r="E270"/>
      <c r="F270"/>
      <c r="G270"/>
      <c r="H270"/>
      <c r="I270"/>
      <c r="J270"/>
      <c r="K270"/>
      <c r="L270"/>
      <c r="M270"/>
      <c r="N270"/>
      <c r="O270"/>
      <c r="P270"/>
      <c r="Q270"/>
      <c r="R270"/>
      <c r="S270"/>
      <c r="T270"/>
      <c r="U270"/>
      <c r="V270"/>
      <c r="W270"/>
    </row>
    <row r="271" spans="1:23" x14ac:dyDescent="0.4">
      <c r="A271"/>
      <c r="B271"/>
      <c r="C271"/>
      <c r="D271"/>
      <c r="E271"/>
      <c r="F271"/>
      <c r="G271"/>
      <c r="H271"/>
      <c r="I271"/>
      <c r="J271"/>
      <c r="K271"/>
      <c r="L271"/>
      <c r="M271"/>
      <c r="N271"/>
      <c r="O271"/>
      <c r="P271"/>
      <c r="Q271"/>
      <c r="R271"/>
      <c r="S271"/>
      <c r="T271"/>
      <c r="U271"/>
      <c r="V271"/>
      <c r="W271"/>
    </row>
    <row r="272" spans="1:23" x14ac:dyDescent="0.4">
      <c r="A272"/>
      <c r="B272"/>
      <c r="C272"/>
      <c r="D272"/>
      <c r="E272"/>
      <c r="F272"/>
      <c r="G272"/>
      <c r="H272"/>
      <c r="I272"/>
      <c r="J272"/>
      <c r="K272"/>
      <c r="L272"/>
      <c r="M272"/>
      <c r="N272"/>
      <c r="O272"/>
      <c r="P272"/>
      <c r="Q272"/>
      <c r="R272"/>
      <c r="S272"/>
      <c r="T272"/>
      <c r="U272"/>
      <c r="V272"/>
      <c r="W272"/>
    </row>
    <row r="273" spans="1:23" x14ac:dyDescent="0.4">
      <c r="A273"/>
      <c r="B273"/>
      <c r="C273"/>
      <c r="D273"/>
      <c r="E273"/>
      <c r="F273"/>
      <c r="G273"/>
      <c r="H273"/>
      <c r="I273"/>
      <c r="J273"/>
      <c r="K273"/>
      <c r="L273"/>
      <c r="M273"/>
      <c r="N273"/>
      <c r="O273"/>
      <c r="P273"/>
      <c r="Q273"/>
      <c r="R273"/>
      <c r="S273"/>
      <c r="T273"/>
      <c r="U273"/>
      <c r="V273"/>
      <c r="W273"/>
    </row>
    <row r="274" spans="1:23" x14ac:dyDescent="0.4">
      <c r="A274"/>
      <c r="B274"/>
      <c r="C274"/>
      <c r="D274"/>
      <c r="E274"/>
      <c r="F274"/>
      <c r="G274"/>
      <c r="H274"/>
      <c r="I274"/>
      <c r="J274"/>
      <c r="K274"/>
      <c r="L274"/>
      <c r="M274"/>
      <c r="N274"/>
      <c r="O274"/>
      <c r="P274"/>
      <c r="Q274"/>
      <c r="R274"/>
      <c r="S274"/>
      <c r="T274"/>
      <c r="U274"/>
      <c r="V274"/>
      <c r="W274"/>
    </row>
    <row r="275" spans="1:23" x14ac:dyDescent="0.4">
      <c r="A275"/>
      <c r="B275"/>
      <c r="C275"/>
      <c r="D275"/>
      <c r="E275"/>
      <c r="F275"/>
      <c r="G275"/>
      <c r="H275"/>
      <c r="I275"/>
      <c r="J275"/>
      <c r="K275"/>
      <c r="L275"/>
      <c r="M275"/>
      <c r="N275"/>
      <c r="O275"/>
      <c r="P275"/>
      <c r="Q275"/>
      <c r="R275"/>
      <c r="S275"/>
      <c r="T275"/>
      <c r="U275"/>
      <c r="V275"/>
      <c r="W275"/>
    </row>
    <row r="276" spans="1:23" x14ac:dyDescent="0.4">
      <c r="A276"/>
      <c r="B276"/>
      <c r="C276"/>
      <c r="D276"/>
      <c r="E276"/>
      <c r="F276"/>
      <c r="G276"/>
      <c r="H276"/>
      <c r="I276"/>
      <c r="J276"/>
      <c r="K276"/>
      <c r="L276"/>
      <c r="M276"/>
      <c r="N276"/>
      <c r="O276"/>
      <c r="P276"/>
      <c r="Q276"/>
      <c r="R276"/>
      <c r="S276"/>
      <c r="T276"/>
      <c r="U276"/>
      <c r="V276"/>
      <c r="W276"/>
    </row>
    <row r="277" spans="1:23" x14ac:dyDescent="0.4">
      <c r="A277"/>
      <c r="B277"/>
      <c r="C277"/>
      <c r="D277"/>
      <c r="E277"/>
      <c r="F277"/>
      <c r="G277"/>
      <c r="H277"/>
      <c r="I277"/>
      <c r="J277"/>
      <c r="K277"/>
      <c r="L277"/>
      <c r="M277"/>
      <c r="N277"/>
      <c r="O277"/>
      <c r="P277"/>
      <c r="Q277"/>
      <c r="R277"/>
      <c r="S277"/>
      <c r="T277"/>
      <c r="U277"/>
      <c r="V277"/>
      <c r="W277"/>
    </row>
    <row r="278" spans="1:23" x14ac:dyDescent="0.4">
      <c r="A278"/>
      <c r="B278"/>
      <c r="C278"/>
      <c r="D278"/>
      <c r="E278"/>
      <c r="F278"/>
      <c r="G278"/>
      <c r="H278"/>
      <c r="I278"/>
      <c r="J278"/>
      <c r="K278"/>
      <c r="L278"/>
      <c r="M278"/>
      <c r="N278"/>
      <c r="O278"/>
      <c r="P278"/>
      <c r="Q278"/>
      <c r="R278"/>
      <c r="S278"/>
      <c r="T278"/>
      <c r="U278"/>
      <c r="V278"/>
      <c r="W278"/>
    </row>
    <row r="279" spans="1:23" x14ac:dyDescent="0.4">
      <c r="A279"/>
      <c r="B279"/>
      <c r="C279"/>
      <c r="D279"/>
      <c r="E279"/>
      <c r="F279"/>
      <c r="G279"/>
      <c r="H279"/>
      <c r="I279"/>
      <c r="J279"/>
      <c r="K279"/>
      <c r="L279"/>
      <c r="M279"/>
      <c r="N279"/>
      <c r="O279"/>
      <c r="P279"/>
      <c r="Q279"/>
      <c r="R279"/>
      <c r="S279"/>
      <c r="T279"/>
      <c r="U279"/>
      <c r="V279"/>
      <c r="W279"/>
    </row>
    <row r="280" spans="1:23" x14ac:dyDescent="0.4">
      <c r="A280"/>
      <c r="B280"/>
      <c r="C280"/>
      <c r="D280"/>
      <c r="E280"/>
      <c r="F280"/>
      <c r="G280"/>
      <c r="H280"/>
      <c r="I280"/>
      <c r="J280"/>
      <c r="K280"/>
      <c r="L280"/>
      <c r="M280"/>
      <c r="N280"/>
      <c r="O280"/>
      <c r="P280"/>
      <c r="Q280"/>
      <c r="R280"/>
      <c r="S280"/>
      <c r="T280"/>
      <c r="U280"/>
      <c r="V280"/>
      <c r="W280"/>
    </row>
    <row r="281" spans="1:23" x14ac:dyDescent="0.4">
      <c r="A281"/>
      <c r="B281"/>
      <c r="C281"/>
      <c r="D281"/>
      <c r="E281"/>
      <c r="F281"/>
      <c r="G281"/>
      <c r="H281"/>
      <c r="I281"/>
      <c r="J281"/>
      <c r="K281"/>
      <c r="L281"/>
      <c r="M281"/>
      <c r="N281"/>
      <c r="O281"/>
      <c r="P281"/>
      <c r="Q281"/>
      <c r="R281"/>
      <c r="S281"/>
      <c r="T281"/>
      <c r="U281"/>
      <c r="V281"/>
      <c r="W281"/>
    </row>
    <row r="282" spans="1:23" x14ac:dyDescent="0.4">
      <c r="A282"/>
      <c r="B282"/>
      <c r="C282"/>
      <c r="D282"/>
      <c r="E282"/>
      <c r="F282"/>
      <c r="G282"/>
      <c r="H282"/>
      <c r="I282"/>
      <c r="J282"/>
      <c r="K282"/>
      <c r="L282"/>
      <c r="M282"/>
      <c r="N282"/>
      <c r="O282"/>
      <c r="P282"/>
      <c r="Q282"/>
      <c r="R282"/>
      <c r="S282"/>
      <c r="T282"/>
      <c r="U282"/>
      <c r="V282"/>
      <c r="W282"/>
    </row>
    <row r="283" spans="1:23" x14ac:dyDescent="0.4">
      <c r="A283"/>
      <c r="B283"/>
      <c r="C283"/>
      <c r="D283"/>
      <c r="E283"/>
      <c r="F283"/>
      <c r="G283"/>
      <c r="H283"/>
      <c r="I283"/>
      <c r="J283"/>
      <c r="K283"/>
      <c r="L283"/>
      <c r="M283"/>
      <c r="N283"/>
      <c r="O283"/>
      <c r="P283"/>
      <c r="Q283"/>
      <c r="R283"/>
      <c r="S283"/>
      <c r="T283"/>
      <c r="U283"/>
      <c r="V283"/>
      <c r="W283"/>
    </row>
    <row r="284" spans="1:23" x14ac:dyDescent="0.4">
      <c r="A284"/>
      <c r="B284"/>
      <c r="C284"/>
      <c r="D284"/>
      <c r="E284"/>
      <c r="F284"/>
      <c r="G284"/>
      <c r="H284"/>
      <c r="I284"/>
      <c r="J284"/>
      <c r="K284"/>
      <c r="L284"/>
      <c r="M284"/>
      <c r="N284"/>
      <c r="O284"/>
      <c r="P284"/>
      <c r="Q284"/>
      <c r="R284"/>
      <c r="S284"/>
      <c r="T284"/>
      <c r="U284"/>
      <c r="V284"/>
      <c r="W284"/>
    </row>
    <row r="285" spans="1:23" x14ac:dyDescent="0.4">
      <c r="A285"/>
      <c r="B285"/>
      <c r="C285"/>
      <c r="D285"/>
      <c r="E285"/>
      <c r="F285"/>
      <c r="G285"/>
      <c r="H285"/>
      <c r="I285"/>
      <c r="J285"/>
      <c r="K285"/>
      <c r="L285"/>
      <c r="M285"/>
      <c r="N285"/>
      <c r="O285"/>
      <c r="P285"/>
      <c r="Q285"/>
      <c r="R285"/>
      <c r="S285"/>
      <c r="T285"/>
      <c r="U285"/>
      <c r="V285"/>
      <c r="W285"/>
    </row>
    <row r="286" spans="1:23" x14ac:dyDescent="0.4">
      <c r="A286"/>
      <c r="B286"/>
      <c r="C286"/>
      <c r="D286"/>
      <c r="E286"/>
      <c r="F286"/>
      <c r="G286"/>
      <c r="H286"/>
      <c r="I286"/>
      <c r="J286"/>
      <c r="K286"/>
      <c r="L286"/>
      <c r="M286"/>
      <c r="N286"/>
      <c r="O286"/>
      <c r="P286"/>
      <c r="Q286"/>
      <c r="R286"/>
      <c r="S286"/>
      <c r="T286"/>
      <c r="U286"/>
      <c r="V286"/>
      <c r="W286"/>
    </row>
    <row r="287" spans="1:23" x14ac:dyDescent="0.4">
      <c r="A287"/>
      <c r="B287"/>
      <c r="C287"/>
      <c r="D287"/>
      <c r="E287"/>
      <c r="F287"/>
      <c r="G287"/>
      <c r="H287"/>
      <c r="I287"/>
      <c r="J287"/>
      <c r="K287"/>
      <c r="L287"/>
      <c r="M287"/>
      <c r="N287"/>
      <c r="O287"/>
      <c r="P287"/>
      <c r="Q287"/>
      <c r="R287"/>
      <c r="S287"/>
      <c r="T287"/>
      <c r="U287"/>
      <c r="V287"/>
      <c r="W287"/>
    </row>
    <row r="288" spans="1:23" x14ac:dyDescent="0.4">
      <c r="A288"/>
      <c r="B288"/>
      <c r="C288"/>
      <c r="D288"/>
      <c r="E288"/>
      <c r="F288"/>
      <c r="G288"/>
      <c r="H288"/>
      <c r="I288"/>
      <c r="J288"/>
      <c r="K288"/>
      <c r="L288"/>
      <c r="M288"/>
      <c r="N288"/>
      <c r="O288"/>
      <c r="P288"/>
      <c r="Q288"/>
      <c r="R288"/>
      <c r="S288"/>
      <c r="T288"/>
      <c r="U288"/>
      <c r="V288"/>
      <c r="W288"/>
    </row>
    <row r="289" spans="1:23" x14ac:dyDescent="0.4">
      <c r="A289"/>
      <c r="B289"/>
      <c r="C289"/>
      <c r="D289"/>
      <c r="E289"/>
      <c r="F289"/>
      <c r="G289"/>
      <c r="H289"/>
      <c r="I289"/>
      <c r="J289"/>
      <c r="K289"/>
      <c r="L289"/>
      <c r="M289"/>
      <c r="N289"/>
      <c r="O289"/>
      <c r="P289"/>
      <c r="Q289"/>
      <c r="R289"/>
      <c r="S289"/>
      <c r="T289"/>
      <c r="U289"/>
      <c r="V289"/>
      <c r="W289"/>
    </row>
    <row r="290" spans="1:23" x14ac:dyDescent="0.4">
      <c r="A290"/>
      <c r="B290"/>
      <c r="C290"/>
      <c r="D290"/>
      <c r="E290"/>
      <c r="F290"/>
      <c r="G290"/>
      <c r="H290"/>
      <c r="I290"/>
      <c r="J290"/>
      <c r="K290"/>
      <c r="L290"/>
      <c r="M290"/>
      <c r="N290"/>
      <c r="O290"/>
      <c r="P290"/>
      <c r="Q290"/>
      <c r="R290"/>
      <c r="S290"/>
      <c r="T290"/>
      <c r="U290"/>
      <c r="V290"/>
      <c r="W290"/>
    </row>
    <row r="291" spans="1:23" x14ac:dyDescent="0.4">
      <c r="A291"/>
      <c r="B291"/>
      <c r="C291"/>
      <c r="D291"/>
      <c r="E291"/>
      <c r="F291"/>
      <c r="G291"/>
      <c r="H291"/>
      <c r="I291"/>
      <c r="J291"/>
      <c r="K291"/>
      <c r="L291"/>
      <c r="M291"/>
      <c r="N291"/>
      <c r="O291"/>
      <c r="P291"/>
      <c r="Q291"/>
      <c r="R291"/>
      <c r="S291"/>
      <c r="T291"/>
      <c r="U291"/>
      <c r="V291"/>
      <c r="W291"/>
    </row>
    <row r="292" spans="1:23" x14ac:dyDescent="0.4">
      <c r="A292"/>
      <c r="B292"/>
      <c r="C292"/>
      <c r="D292"/>
      <c r="E292"/>
      <c r="F292"/>
      <c r="G292"/>
      <c r="H292"/>
      <c r="I292"/>
      <c r="J292"/>
      <c r="K292"/>
      <c r="L292"/>
      <c r="M292"/>
      <c r="N292"/>
      <c r="O292"/>
      <c r="P292"/>
      <c r="Q292"/>
      <c r="R292"/>
      <c r="S292"/>
      <c r="T292"/>
      <c r="U292"/>
      <c r="V292"/>
      <c r="W292"/>
    </row>
    <row r="293" spans="1:23" x14ac:dyDescent="0.4">
      <c r="A293"/>
      <c r="B293"/>
      <c r="C293"/>
      <c r="D293"/>
      <c r="E293"/>
      <c r="F293"/>
      <c r="G293"/>
      <c r="H293"/>
      <c r="I293"/>
      <c r="J293"/>
      <c r="K293"/>
      <c r="L293"/>
      <c r="M293"/>
      <c r="N293"/>
      <c r="O293"/>
      <c r="P293"/>
      <c r="Q293"/>
      <c r="R293"/>
      <c r="S293"/>
      <c r="T293"/>
      <c r="U293"/>
      <c r="V293"/>
      <c r="W293"/>
    </row>
    <row r="294" spans="1:23" x14ac:dyDescent="0.4">
      <c r="A294"/>
      <c r="B294"/>
      <c r="C294"/>
      <c r="D294"/>
      <c r="E294"/>
      <c r="F294"/>
      <c r="G294"/>
      <c r="H294"/>
      <c r="I294"/>
      <c r="J294"/>
      <c r="K294"/>
      <c r="L294"/>
      <c r="M294"/>
      <c r="N294"/>
      <c r="O294"/>
      <c r="P294"/>
      <c r="Q294"/>
      <c r="R294"/>
      <c r="S294"/>
      <c r="T294"/>
      <c r="U294"/>
      <c r="V294"/>
      <c r="W294"/>
    </row>
    <row r="295" spans="1:23" x14ac:dyDescent="0.4">
      <c r="A295"/>
      <c r="B295"/>
      <c r="C295"/>
      <c r="D295"/>
      <c r="E295"/>
      <c r="F295"/>
      <c r="G295"/>
      <c r="H295"/>
      <c r="I295"/>
      <c r="J295"/>
      <c r="K295"/>
      <c r="L295"/>
      <c r="M295"/>
      <c r="N295"/>
      <c r="O295"/>
      <c r="P295"/>
      <c r="Q295"/>
      <c r="R295"/>
      <c r="S295"/>
      <c r="T295"/>
      <c r="U295"/>
      <c r="V295"/>
      <c r="W295"/>
    </row>
    <row r="296" spans="1:23" x14ac:dyDescent="0.4">
      <c r="A296"/>
      <c r="B296"/>
      <c r="C296"/>
      <c r="D296"/>
      <c r="E296"/>
      <c r="F296"/>
      <c r="G296"/>
      <c r="H296"/>
      <c r="I296"/>
      <c r="J296"/>
      <c r="K296"/>
      <c r="L296"/>
      <c r="M296"/>
      <c r="N296"/>
      <c r="O296"/>
      <c r="P296"/>
      <c r="Q296"/>
      <c r="R296"/>
      <c r="S296"/>
      <c r="T296"/>
      <c r="U296"/>
      <c r="V296"/>
      <c r="W296"/>
    </row>
    <row r="297" spans="1:23" x14ac:dyDescent="0.4">
      <c r="A297"/>
      <c r="B297"/>
      <c r="C297"/>
      <c r="D297"/>
      <c r="E297"/>
      <c r="F297"/>
      <c r="G297"/>
      <c r="H297"/>
      <c r="I297"/>
      <c r="J297"/>
      <c r="K297"/>
      <c r="L297"/>
      <c r="M297"/>
      <c r="N297"/>
      <c r="O297"/>
      <c r="P297"/>
      <c r="Q297"/>
      <c r="R297"/>
      <c r="S297"/>
      <c r="T297"/>
      <c r="U297"/>
      <c r="V297"/>
      <c r="W297"/>
    </row>
    <row r="298" spans="1:23" x14ac:dyDescent="0.4">
      <c r="A298"/>
      <c r="B298"/>
      <c r="C298"/>
      <c r="D298"/>
      <c r="E298"/>
      <c r="F298"/>
      <c r="G298"/>
      <c r="H298"/>
      <c r="I298"/>
      <c r="J298"/>
      <c r="K298"/>
      <c r="L298"/>
      <c r="M298"/>
      <c r="N298"/>
      <c r="O298"/>
      <c r="P298"/>
      <c r="Q298"/>
      <c r="R298"/>
      <c r="S298"/>
      <c r="T298"/>
      <c r="U298"/>
      <c r="V298"/>
      <c r="W298"/>
    </row>
    <row r="299" spans="1:23" x14ac:dyDescent="0.4">
      <c r="A299"/>
      <c r="B299"/>
      <c r="C299"/>
      <c r="D299"/>
      <c r="E299"/>
      <c r="F299"/>
      <c r="G299"/>
      <c r="H299"/>
      <c r="I299"/>
      <c r="J299"/>
      <c r="K299"/>
      <c r="L299"/>
      <c r="M299"/>
      <c r="N299"/>
      <c r="O299"/>
      <c r="P299"/>
      <c r="Q299"/>
      <c r="R299"/>
      <c r="S299"/>
      <c r="T299"/>
      <c r="U299"/>
      <c r="V299"/>
      <c r="W299"/>
    </row>
    <row r="300" spans="1:23" x14ac:dyDescent="0.4">
      <c r="A300"/>
      <c r="B300"/>
      <c r="C300"/>
      <c r="D300"/>
      <c r="E300"/>
      <c r="F300"/>
      <c r="G300"/>
      <c r="H300"/>
      <c r="I300"/>
      <c r="J300"/>
      <c r="K300"/>
      <c r="L300"/>
      <c r="M300"/>
      <c r="N300"/>
      <c r="O300"/>
      <c r="P300"/>
      <c r="Q300"/>
      <c r="R300"/>
      <c r="S300"/>
      <c r="T300"/>
      <c r="U300"/>
      <c r="V300"/>
      <c r="W300"/>
    </row>
    <row r="301" spans="1:23" x14ac:dyDescent="0.4">
      <c r="A301"/>
      <c r="B301"/>
      <c r="C301"/>
      <c r="D301"/>
      <c r="E301"/>
      <c r="F301"/>
      <c r="G301"/>
      <c r="H301"/>
      <c r="I301"/>
      <c r="J301"/>
      <c r="K301"/>
      <c r="L301"/>
      <c r="M301"/>
      <c r="N301"/>
      <c r="O301"/>
      <c r="P301"/>
      <c r="Q301"/>
      <c r="R301"/>
      <c r="S301"/>
      <c r="T301"/>
      <c r="U301"/>
      <c r="V301"/>
      <c r="W301"/>
    </row>
    <row r="302" spans="1:23" x14ac:dyDescent="0.4">
      <c r="A302"/>
      <c r="B302"/>
      <c r="C302"/>
      <c r="D302"/>
      <c r="E302"/>
      <c r="F302"/>
      <c r="G302"/>
      <c r="H302"/>
      <c r="I302"/>
      <c r="J302"/>
      <c r="K302"/>
      <c r="L302"/>
      <c r="M302"/>
      <c r="N302"/>
      <c r="O302"/>
      <c r="P302"/>
      <c r="Q302"/>
      <c r="R302"/>
      <c r="S302"/>
      <c r="T302"/>
      <c r="U302"/>
      <c r="V302"/>
      <c r="W302"/>
    </row>
    <row r="303" spans="1:23" x14ac:dyDescent="0.4">
      <c r="A303"/>
      <c r="B303"/>
      <c r="C303"/>
      <c r="D303"/>
      <c r="E303"/>
      <c r="F303"/>
      <c r="G303"/>
      <c r="H303"/>
      <c r="I303"/>
      <c r="J303"/>
      <c r="K303"/>
      <c r="L303"/>
      <c r="M303"/>
      <c r="N303"/>
      <c r="O303"/>
      <c r="P303"/>
      <c r="Q303"/>
      <c r="R303"/>
      <c r="S303"/>
      <c r="T303"/>
      <c r="U303"/>
      <c r="V303"/>
      <c r="W303"/>
    </row>
    <row r="304" spans="1:23" x14ac:dyDescent="0.4">
      <c r="A304"/>
      <c r="B304"/>
      <c r="C304"/>
      <c r="D304"/>
      <c r="E304"/>
      <c r="F304"/>
      <c r="G304"/>
      <c r="H304"/>
      <c r="I304"/>
      <c r="J304"/>
      <c r="K304"/>
      <c r="L304"/>
      <c r="M304"/>
      <c r="N304"/>
      <c r="O304"/>
      <c r="P304"/>
      <c r="Q304"/>
      <c r="R304"/>
      <c r="S304"/>
      <c r="T304"/>
      <c r="U304"/>
      <c r="V304"/>
      <c r="W304"/>
    </row>
    <row r="305" spans="1:23" x14ac:dyDescent="0.4">
      <c r="A305"/>
      <c r="B305"/>
      <c r="C305"/>
      <c r="D305"/>
      <c r="E305"/>
      <c r="F305"/>
      <c r="G305"/>
      <c r="H305"/>
      <c r="I305"/>
      <c r="J305"/>
      <c r="K305"/>
      <c r="L305"/>
      <c r="M305"/>
      <c r="N305"/>
      <c r="O305"/>
      <c r="P305"/>
      <c r="Q305"/>
      <c r="R305"/>
      <c r="S305"/>
      <c r="T305"/>
      <c r="U305"/>
      <c r="V305"/>
      <c r="W305"/>
    </row>
    <row r="306" spans="1:23" x14ac:dyDescent="0.4">
      <c r="A306"/>
      <c r="B306"/>
      <c r="C306"/>
      <c r="D306"/>
      <c r="E306"/>
      <c r="F306"/>
      <c r="G306"/>
      <c r="H306"/>
      <c r="I306"/>
      <c r="J306"/>
      <c r="K306"/>
      <c r="L306"/>
      <c r="M306"/>
      <c r="N306"/>
      <c r="O306"/>
      <c r="P306"/>
      <c r="Q306"/>
      <c r="R306"/>
      <c r="S306"/>
      <c r="T306"/>
      <c r="U306"/>
      <c r="V306"/>
      <c r="W306"/>
    </row>
    <row r="307" spans="1:23" x14ac:dyDescent="0.4">
      <c r="A307"/>
      <c r="B307"/>
      <c r="C307"/>
      <c r="D307"/>
      <c r="E307"/>
      <c r="F307"/>
      <c r="G307"/>
      <c r="H307"/>
      <c r="I307"/>
      <c r="J307"/>
      <c r="K307"/>
      <c r="L307"/>
      <c r="M307"/>
      <c r="N307"/>
      <c r="O307"/>
      <c r="P307"/>
      <c r="Q307"/>
      <c r="R307"/>
      <c r="S307"/>
      <c r="T307"/>
      <c r="U307"/>
      <c r="V307"/>
      <c r="W307"/>
    </row>
    <row r="308" spans="1:23" x14ac:dyDescent="0.4">
      <c r="A308"/>
      <c r="B308"/>
      <c r="C308"/>
      <c r="D308"/>
      <c r="E308"/>
      <c r="F308"/>
      <c r="G308"/>
      <c r="H308"/>
      <c r="I308"/>
      <c r="J308"/>
      <c r="K308"/>
      <c r="L308"/>
      <c r="M308"/>
      <c r="N308"/>
      <c r="O308"/>
      <c r="P308"/>
      <c r="Q308"/>
      <c r="R308"/>
      <c r="S308"/>
      <c r="T308"/>
      <c r="U308"/>
      <c r="V308"/>
      <c r="W308"/>
    </row>
    <row r="309" spans="1:23" x14ac:dyDescent="0.4">
      <c r="A309"/>
      <c r="B309"/>
      <c r="C309"/>
      <c r="D309"/>
      <c r="E309"/>
      <c r="F309"/>
      <c r="G309"/>
      <c r="H309"/>
      <c r="I309"/>
      <c r="J309"/>
      <c r="K309"/>
      <c r="L309"/>
      <c r="M309"/>
      <c r="N309"/>
      <c r="O309"/>
      <c r="P309"/>
      <c r="Q309"/>
      <c r="R309"/>
      <c r="S309"/>
      <c r="T309"/>
      <c r="U309"/>
      <c r="V309"/>
      <c r="W309"/>
    </row>
    <row r="310" spans="1:23" x14ac:dyDescent="0.4">
      <c r="A310"/>
      <c r="B310"/>
      <c r="C310"/>
      <c r="D310"/>
      <c r="E310"/>
      <c r="F310"/>
      <c r="G310"/>
      <c r="H310"/>
      <c r="I310"/>
      <c r="J310"/>
      <c r="K310"/>
      <c r="L310"/>
      <c r="M310"/>
      <c r="N310"/>
      <c r="O310"/>
      <c r="P310"/>
      <c r="Q310"/>
      <c r="R310"/>
      <c r="S310"/>
      <c r="T310"/>
      <c r="U310"/>
      <c r="V310"/>
      <c r="W310"/>
    </row>
    <row r="311" spans="1:23" x14ac:dyDescent="0.4">
      <c r="A311"/>
      <c r="B311"/>
      <c r="C311"/>
      <c r="D311"/>
      <c r="E311"/>
      <c r="F311"/>
      <c r="G311"/>
      <c r="H311"/>
      <c r="I311"/>
      <c r="J311"/>
      <c r="K311"/>
      <c r="L311"/>
      <c r="M311"/>
      <c r="N311"/>
      <c r="O311"/>
      <c r="P311"/>
      <c r="Q311"/>
      <c r="R311"/>
      <c r="S311"/>
      <c r="T311"/>
      <c r="U311"/>
      <c r="V311"/>
      <c r="W311"/>
    </row>
    <row r="312" spans="1:23" x14ac:dyDescent="0.4">
      <c r="A312"/>
      <c r="B312"/>
      <c r="C312"/>
      <c r="D312"/>
      <c r="E312"/>
      <c r="F312"/>
      <c r="G312"/>
      <c r="H312"/>
      <c r="I312"/>
      <c r="J312"/>
      <c r="K312"/>
      <c r="L312"/>
      <c r="M312"/>
      <c r="N312"/>
      <c r="O312"/>
      <c r="P312"/>
      <c r="Q312"/>
      <c r="R312"/>
      <c r="S312"/>
      <c r="T312"/>
      <c r="U312"/>
      <c r="V312"/>
      <c r="W312"/>
    </row>
    <row r="313" spans="1:23" x14ac:dyDescent="0.4">
      <c r="A313"/>
      <c r="B313"/>
      <c r="C313"/>
      <c r="D313"/>
      <c r="E313"/>
      <c r="F313"/>
      <c r="G313"/>
      <c r="H313"/>
      <c r="I313"/>
      <c r="J313"/>
      <c r="K313"/>
      <c r="L313"/>
      <c r="M313"/>
      <c r="N313"/>
      <c r="O313"/>
      <c r="P313"/>
      <c r="Q313"/>
      <c r="R313"/>
      <c r="S313"/>
      <c r="T313"/>
      <c r="U313"/>
      <c r="V313"/>
      <c r="W313"/>
    </row>
    <row r="314" spans="1:23" x14ac:dyDescent="0.4">
      <c r="A314"/>
      <c r="B314"/>
      <c r="C314"/>
      <c r="D314"/>
      <c r="E314"/>
      <c r="F314"/>
      <c r="G314"/>
      <c r="H314"/>
      <c r="I314"/>
      <c r="J314"/>
      <c r="K314"/>
      <c r="L314"/>
      <c r="M314"/>
      <c r="N314"/>
      <c r="O314"/>
      <c r="P314"/>
      <c r="Q314"/>
      <c r="R314"/>
      <c r="S314"/>
      <c r="T314"/>
      <c r="U314"/>
      <c r="V314"/>
      <c r="W314"/>
    </row>
    <row r="315" spans="1:23" x14ac:dyDescent="0.4">
      <c r="A315"/>
      <c r="B315"/>
      <c r="C315"/>
      <c r="D315"/>
      <c r="E315"/>
      <c r="F315"/>
      <c r="G315"/>
      <c r="H315"/>
      <c r="I315"/>
      <c r="J315"/>
      <c r="K315"/>
      <c r="L315"/>
      <c r="M315"/>
      <c r="N315"/>
      <c r="O315"/>
      <c r="P315"/>
      <c r="Q315"/>
      <c r="R315"/>
      <c r="S315"/>
      <c r="T315"/>
      <c r="U315"/>
      <c r="V315"/>
      <c r="W315"/>
    </row>
    <row r="316" spans="1:23" x14ac:dyDescent="0.4">
      <c r="A316"/>
      <c r="B316"/>
      <c r="C316"/>
      <c r="D316"/>
      <c r="E316"/>
      <c r="F316"/>
      <c r="G316"/>
      <c r="H316"/>
      <c r="I316"/>
      <c r="J316"/>
      <c r="K316"/>
      <c r="L316"/>
      <c r="M316"/>
      <c r="N316"/>
      <c r="O316"/>
      <c r="P316"/>
      <c r="Q316"/>
      <c r="R316"/>
      <c r="S316"/>
      <c r="T316"/>
      <c r="U316"/>
      <c r="V316"/>
      <c r="W316"/>
    </row>
    <row r="317" spans="1:23" x14ac:dyDescent="0.4">
      <c r="A317"/>
      <c r="B317"/>
      <c r="C317"/>
      <c r="D317"/>
      <c r="E317"/>
      <c r="F317"/>
      <c r="G317"/>
      <c r="H317"/>
      <c r="I317"/>
      <c r="J317"/>
      <c r="K317"/>
      <c r="L317"/>
      <c r="M317"/>
      <c r="N317"/>
      <c r="O317"/>
      <c r="P317"/>
      <c r="Q317"/>
      <c r="R317"/>
      <c r="S317"/>
      <c r="T317"/>
      <c r="U317"/>
      <c r="V317"/>
      <c r="W317"/>
    </row>
    <row r="318" spans="1:23" x14ac:dyDescent="0.4">
      <c r="A318"/>
      <c r="B318"/>
      <c r="C318"/>
      <c r="D318"/>
      <c r="E318"/>
      <c r="F318"/>
      <c r="G318"/>
      <c r="H318"/>
      <c r="I318"/>
      <c r="J318"/>
      <c r="K318"/>
      <c r="L318"/>
      <c r="M318"/>
      <c r="N318"/>
      <c r="O318"/>
      <c r="P318"/>
      <c r="Q318"/>
      <c r="R318"/>
      <c r="S318"/>
      <c r="T318"/>
      <c r="U318"/>
      <c r="V318"/>
      <c r="W318"/>
    </row>
    <row r="319" spans="1:23" x14ac:dyDescent="0.4">
      <c r="A319"/>
      <c r="B319"/>
      <c r="C319"/>
      <c r="D319"/>
      <c r="E319"/>
      <c r="F319"/>
      <c r="G319"/>
      <c r="H319"/>
      <c r="I319"/>
      <c r="J319"/>
      <c r="K319"/>
      <c r="L319"/>
      <c r="M319"/>
      <c r="N319"/>
      <c r="O319"/>
      <c r="P319"/>
      <c r="Q319"/>
      <c r="R319"/>
      <c r="S319"/>
      <c r="T319"/>
      <c r="U319"/>
      <c r="V319"/>
      <c r="W319"/>
    </row>
    <row r="320" spans="1:23" x14ac:dyDescent="0.4">
      <c r="A320"/>
      <c r="B320"/>
      <c r="C320"/>
      <c r="D320"/>
      <c r="E320"/>
      <c r="F320"/>
      <c r="G320"/>
      <c r="H320"/>
      <c r="I320"/>
      <c r="J320"/>
      <c r="K320"/>
      <c r="L320"/>
      <c r="M320"/>
      <c r="N320"/>
      <c r="O320"/>
      <c r="P320"/>
      <c r="Q320"/>
      <c r="R320"/>
      <c r="S320"/>
      <c r="T320"/>
      <c r="U320"/>
      <c r="V320"/>
      <c r="W320"/>
    </row>
    <row r="321" spans="1:23" x14ac:dyDescent="0.4">
      <c r="A321"/>
      <c r="B321"/>
      <c r="C321"/>
      <c r="D321"/>
      <c r="E321"/>
      <c r="F321"/>
      <c r="G321"/>
      <c r="H321"/>
      <c r="I321"/>
      <c r="J321"/>
      <c r="K321"/>
      <c r="L321"/>
      <c r="M321"/>
      <c r="N321"/>
      <c r="O321"/>
      <c r="P321"/>
      <c r="Q321"/>
      <c r="R321"/>
      <c r="S321"/>
      <c r="T321"/>
      <c r="U321"/>
      <c r="V321"/>
      <c r="W321"/>
    </row>
    <row r="322" spans="1:23" x14ac:dyDescent="0.4">
      <c r="A322"/>
      <c r="B322"/>
      <c r="C322"/>
      <c r="D322"/>
      <c r="E322"/>
      <c r="F322"/>
      <c r="G322"/>
      <c r="H322"/>
      <c r="I322"/>
      <c r="J322"/>
      <c r="K322"/>
      <c r="L322"/>
      <c r="M322"/>
      <c r="N322"/>
      <c r="O322"/>
      <c r="P322"/>
      <c r="Q322"/>
      <c r="R322"/>
      <c r="S322"/>
      <c r="T322"/>
      <c r="U322"/>
      <c r="V322"/>
      <c r="W322"/>
    </row>
    <row r="323" spans="1:23" x14ac:dyDescent="0.4">
      <c r="A323"/>
      <c r="B323"/>
      <c r="C323"/>
      <c r="D323"/>
      <c r="E323"/>
      <c r="F323"/>
      <c r="G323"/>
      <c r="H323"/>
      <c r="I323"/>
      <c r="J323"/>
      <c r="K323"/>
      <c r="L323"/>
      <c r="M323"/>
      <c r="N323"/>
      <c r="O323"/>
      <c r="P323"/>
      <c r="Q323"/>
      <c r="R323"/>
      <c r="S323"/>
      <c r="T323"/>
      <c r="U323"/>
      <c r="V323"/>
      <c r="W323"/>
    </row>
    <row r="324" spans="1:23" x14ac:dyDescent="0.4">
      <c r="A324"/>
      <c r="B324"/>
      <c r="C324"/>
      <c r="D324"/>
      <c r="E324"/>
      <c r="F324"/>
      <c r="G324"/>
      <c r="H324"/>
      <c r="I324"/>
      <c r="J324"/>
      <c r="K324"/>
      <c r="L324"/>
      <c r="M324"/>
      <c r="N324"/>
      <c r="O324"/>
      <c r="P324"/>
      <c r="Q324"/>
      <c r="R324"/>
      <c r="S324"/>
      <c r="T324"/>
      <c r="U324"/>
      <c r="V324"/>
      <c r="W324"/>
    </row>
    <row r="325" spans="1:23" x14ac:dyDescent="0.4">
      <c r="A325"/>
      <c r="B325"/>
      <c r="C325"/>
      <c r="D325"/>
      <c r="E325"/>
      <c r="F325"/>
      <c r="G325"/>
      <c r="H325"/>
      <c r="I325"/>
      <c r="J325"/>
      <c r="K325"/>
      <c r="L325"/>
      <c r="M325"/>
      <c r="N325"/>
      <c r="O325"/>
      <c r="P325"/>
      <c r="Q325"/>
      <c r="R325"/>
      <c r="S325"/>
      <c r="T325"/>
      <c r="U325"/>
      <c r="V325"/>
      <c r="W325"/>
    </row>
    <row r="326" spans="1:23" x14ac:dyDescent="0.4">
      <c r="A326"/>
      <c r="B326"/>
      <c r="C326"/>
      <c r="D326"/>
      <c r="E326"/>
      <c r="F326"/>
      <c r="G326"/>
      <c r="H326"/>
      <c r="I326"/>
      <c r="J326"/>
      <c r="K326"/>
      <c r="L326"/>
      <c r="M326"/>
      <c r="N326"/>
      <c r="O326"/>
      <c r="P326"/>
      <c r="Q326"/>
      <c r="R326"/>
      <c r="S326"/>
      <c r="T326"/>
      <c r="U326"/>
      <c r="V326"/>
      <c r="W326"/>
    </row>
    <row r="327" spans="1:23" x14ac:dyDescent="0.4">
      <c r="A327"/>
      <c r="B327"/>
      <c r="C327"/>
      <c r="D327"/>
      <c r="E327"/>
      <c r="F327"/>
      <c r="G327"/>
      <c r="H327"/>
      <c r="I327"/>
      <c r="J327"/>
      <c r="K327"/>
      <c r="L327"/>
      <c r="M327"/>
      <c r="N327"/>
      <c r="O327"/>
      <c r="P327"/>
      <c r="Q327"/>
      <c r="R327"/>
      <c r="S327"/>
      <c r="T327"/>
      <c r="U327"/>
      <c r="V327"/>
      <c r="W327"/>
    </row>
    <row r="328" spans="1:23" x14ac:dyDescent="0.4">
      <c r="A328"/>
      <c r="B328"/>
      <c r="C328"/>
      <c r="D328"/>
      <c r="E328"/>
      <c r="F328"/>
      <c r="G328"/>
      <c r="H328"/>
      <c r="I328"/>
      <c r="J328"/>
      <c r="K328"/>
      <c r="L328"/>
      <c r="M328"/>
      <c r="N328"/>
      <c r="O328"/>
      <c r="P328"/>
      <c r="Q328"/>
      <c r="R328"/>
      <c r="S328"/>
      <c r="T328"/>
      <c r="U328"/>
      <c r="V328"/>
      <c r="W328"/>
    </row>
    <row r="329" spans="1:23" x14ac:dyDescent="0.4">
      <c r="A329"/>
      <c r="B329"/>
      <c r="C329"/>
      <c r="D329"/>
      <c r="E329"/>
      <c r="F329"/>
      <c r="G329"/>
      <c r="H329"/>
      <c r="I329"/>
      <c r="J329"/>
      <c r="K329"/>
      <c r="L329"/>
      <c r="M329"/>
      <c r="N329"/>
      <c r="O329"/>
      <c r="P329"/>
      <c r="Q329"/>
      <c r="R329"/>
      <c r="S329"/>
      <c r="T329"/>
      <c r="U329"/>
      <c r="V329"/>
      <c r="W329"/>
    </row>
    <row r="330" spans="1:23" x14ac:dyDescent="0.4">
      <c r="A330"/>
      <c r="B330"/>
      <c r="C330"/>
      <c r="D330"/>
      <c r="E330"/>
      <c r="F330"/>
      <c r="G330"/>
      <c r="H330"/>
      <c r="I330"/>
      <c r="J330"/>
      <c r="K330"/>
      <c r="L330"/>
      <c r="M330"/>
      <c r="N330"/>
      <c r="O330"/>
      <c r="P330"/>
      <c r="Q330"/>
      <c r="R330"/>
      <c r="S330"/>
      <c r="T330"/>
      <c r="U330"/>
      <c r="V330"/>
      <c r="W330"/>
    </row>
    <row r="331" spans="1:23" x14ac:dyDescent="0.4">
      <c r="A331"/>
      <c r="B331"/>
      <c r="C331"/>
      <c r="D331"/>
      <c r="E331"/>
      <c r="F331"/>
      <c r="G331"/>
      <c r="H331"/>
      <c r="I331"/>
      <c r="J331"/>
      <c r="K331"/>
      <c r="L331"/>
      <c r="M331"/>
      <c r="N331"/>
      <c r="O331"/>
      <c r="P331"/>
      <c r="Q331"/>
      <c r="R331"/>
      <c r="S331"/>
      <c r="T331"/>
      <c r="U331"/>
      <c r="V331"/>
      <c r="W331"/>
    </row>
    <row r="332" spans="1:23" x14ac:dyDescent="0.4">
      <c r="A332"/>
      <c r="B332"/>
      <c r="C332"/>
      <c r="D332"/>
      <c r="E332"/>
      <c r="F332"/>
      <c r="G332"/>
      <c r="H332"/>
      <c r="I332"/>
      <c r="J332"/>
      <c r="K332"/>
      <c r="L332"/>
      <c r="M332"/>
      <c r="N332"/>
      <c r="O332"/>
      <c r="P332"/>
      <c r="Q332"/>
      <c r="R332"/>
      <c r="S332"/>
      <c r="T332"/>
      <c r="U332"/>
      <c r="V332"/>
      <c r="W332"/>
    </row>
    <row r="333" spans="1:23" x14ac:dyDescent="0.4">
      <c r="A333"/>
      <c r="B333"/>
      <c r="C333"/>
      <c r="D333"/>
      <c r="E333"/>
      <c r="F333"/>
      <c r="G333"/>
      <c r="H333"/>
      <c r="I333"/>
      <c r="J333"/>
      <c r="K333"/>
      <c r="L333"/>
      <c r="M333"/>
      <c r="N333"/>
      <c r="O333"/>
      <c r="P333"/>
      <c r="Q333"/>
      <c r="R333"/>
      <c r="S333"/>
      <c r="T333"/>
      <c r="U333"/>
      <c r="V333"/>
      <c r="W333"/>
    </row>
    <row r="334" spans="1:23" x14ac:dyDescent="0.4">
      <c r="A334"/>
      <c r="B334"/>
      <c r="C334"/>
      <c r="D334"/>
      <c r="E334"/>
      <c r="F334"/>
      <c r="G334"/>
      <c r="H334"/>
      <c r="I334"/>
      <c r="J334"/>
      <c r="K334"/>
      <c r="L334"/>
      <c r="M334"/>
      <c r="N334"/>
      <c r="O334"/>
      <c r="P334"/>
      <c r="Q334"/>
      <c r="R334"/>
      <c r="S334"/>
      <c r="T334"/>
      <c r="U334"/>
      <c r="V334"/>
      <c r="W334"/>
    </row>
    <row r="335" spans="1:23" x14ac:dyDescent="0.4">
      <c r="A335"/>
      <c r="B335"/>
      <c r="C335"/>
      <c r="D335"/>
      <c r="E335"/>
      <c r="F335"/>
      <c r="G335"/>
      <c r="H335"/>
      <c r="I335"/>
      <c r="J335"/>
      <c r="K335"/>
      <c r="L335"/>
      <c r="M335"/>
      <c r="N335"/>
      <c r="O335"/>
      <c r="P335"/>
      <c r="Q335"/>
      <c r="R335"/>
      <c r="S335"/>
      <c r="T335"/>
      <c r="U335"/>
      <c r="V335"/>
      <c r="W335"/>
    </row>
    <row r="336" spans="1:23" x14ac:dyDescent="0.4">
      <c r="A336"/>
      <c r="B336"/>
      <c r="C336"/>
      <c r="D336"/>
      <c r="E336"/>
      <c r="F336"/>
      <c r="G336"/>
      <c r="H336"/>
      <c r="I336"/>
      <c r="J336"/>
      <c r="K336"/>
      <c r="L336"/>
      <c r="M336"/>
      <c r="N336"/>
      <c r="O336"/>
      <c r="P336"/>
      <c r="Q336"/>
      <c r="R336"/>
      <c r="S336"/>
      <c r="T336"/>
      <c r="U336"/>
      <c r="V336"/>
      <c r="W336"/>
    </row>
    <row r="337" spans="1:23" x14ac:dyDescent="0.4">
      <c r="A337"/>
      <c r="B337"/>
      <c r="C337"/>
      <c r="D337"/>
      <c r="E337"/>
      <c r="F337"/>
      <c r="G337"/>
      <c r="H337"/>
      <c r="I337"/>
      <c r="J337"/>
      <c r="K337"/>
      <c r="L337"/>
      <c r="M337"/>
      <c r="N337"/>
      <c r="O337"/>
      <c r="P337"/>
      <c r="Q337"/>
      <c r="R337"/>
      <c r="S337"/>
      <c r="T337"/>
      <c r="U337"/>
      <c r="V337"/>
      <c r="W337"/>
    </row>
    <row r="338" spans="1:23" x14ac:dyDescent="0.4">
      <c r="A338"/>
      <c r="B338"/>
      <c r="C338"/>
      <c r="D338"/>
      <c r="E338"/>
      <c r="F338"/>
      <c r="G338"/>
      <c r="H338"/>
      <c r="I338"/>
      <c r="J338"/>
      <c r="K338"/>
      <c r="L338"/>
      <c r="M338"/>
      <c r="N338"/>
      <c r="O338"/>
      <c r="P338"/>
      <c r="Q338"/>
      <c r="R338"/>
      <c r="S338"/>
      <c r="T338"/>
      <c r="U338"/>
      <c r="V338"/>
      <c r="W338"/>
    </row>
    <row r="339" spans="1:23" x14ac:dyDescent="0.4">
      <c r="A339"/>
      <c r="B339"/>
      <c r="C339"/>
      <c r="D339"/>
      <c r="E339"/>
      <c r="F339"/>
      <c r="G339"/>
      <c r="H339"/>
      <c r="I339"/>
      <c r="J339"/>
      <c r="K339"/>
      <c r="L339"/>
      <c r="M339"/>
      <c r="N339"/>
      <c r="O339"/>
      <c r="P339"/>
      <c r="Q339"/>
      <c r="R339"/>
      <c r="S339"/>
      <c r="T339"/>
      <c r="U339"/>
      <c r="V339"/>
      <c r="W339"/>
    </row>
    <row r="340" spans="1:23" x14ac:dyDescent="0.4">
      <c r="A340"/>
      <c r="B340"/>
      <c r="C340"/>
      <c r="D340"/>
      <c r="E340"/>
      <c r="F340"/>
      <c r="G340"/>
      <c r="H340"/>
      <c r="I340"/>
      <c r="J340"/>
      <c r="K340"/>
      <c r="L340"/>
      <c r="M340"/>
      <c r="N340"/>
      <c r="O340"/>
      <c r="P340"/>
      <c r="Q340"/>
      <c r="R340"/>
      <c r="S340"/>
      <c r="T340"/>
      <c r="U340"/>
      <c r="V340"/>
      <c r="W340"/>
    </row>
    <row r="341" spans="1:23" x14ac:dyDescent="0.4">
      <c r="A341"/>
      <c r="B341"/>
      <c r="C341"/>
      <c r="D341"/>
      <c r="E341"/>
      <c r="F341"/>
      <c r="G341"/>
      <c r="H341"/>
      <c r="I341"/>
      <c r="J341"/>
      <c r="K341"/>
      <c r="L341"/>
      <c r="M341"/>
      <c r="N341"/>
      <c r="O341"/>
      <c r="P341"/>
      <c r="Q341"/>
      <c r="R341"/>
      <c r="S341"/>
      <c r="T341"/>
      <c r="U341"/>
      <c r="V341"/>
      <c r="W341"/>
    </row>
    <row r="342" spans="1:23" x14ac:dyDescent="0.4">
      <c r="A342"/>
      <c r="B342"/>
      <c r="C342"/>
      <c r="D342"/>
      <c r="E342"/>
      <c r="F342"/>
      <c r="G342"/>
      <c r="H342"/>
      <c r="I342"/>
      <c r="J342"/>
      <c r="K342"/>
      <c r="L342"/>
      <c r="M342"/>
      <c r="N342"/>
      <c r="O342"/>
      <c r="P342"/>
      <c r="Q342"/>
      <c r="R342"/>
      <c r="S342"/>
      <c r="T342"/>
      <c r="U342"/>
      <c r="V342"/>
      <c r="W342"/>
    </row>
    <row r="343" spans="1:23" x14ac:dyDescent="0.4">
      <c r="A343"/>
      <c r="B343"/>
      <c r="C343"/>
      <c r="D343"/>
      <c r="E343"/>
      <c r="F343"/>
      <c r="G343"/>
      <c r="H343"/>
      <c r="I343"/>
      <c r="J343"/>
      <c r="K343"/>
      <c r="L343"/>
      <c r="M343"/>
      <c r="N343"/>
      <c r="O343"/>
      <c r="P343"/>
      <c r="Q343"/>
      <c r="R343"/>
      <c r="S343"/>
      <c r="T343"/>
      <c r="U343"/>
      <c r="V343"/>
      <c r="W343"/>
    </row>
    <row r="344" spans="1:23" x14ac:dyDescent="0.4">
      <c r="A344"/>
      <c r="B344"/>
      <c r="C344"/>
      <c r="D344"/>
      <c r="E344"/>
      <c r="F344"/>
      <c r="G344"/>
      <c r="H344"/>
      <c r="I344"/>
      <c r="J344"/>
      <c r="K344"/>
      <c r="L344"/>
      <c r="M344"/>
      <c r="N344"/>
      <c r="O344"/>
      <c r="P344"/>
      <c r="Q344"/>
      <c r="R344"/>
      <c r="S344"/>
      <c r="T344"/>
      <c r="U344"/>
      <c r="V344"/>
      <c r="W344"/>
    </row>
    <row r="345" spans="1:23" x14ac:dyDescent="0.4">
      <c r="A345"/>
      <c r="B345"/>
      <c r="C345"/>
      <c r="D345"/>
      <c r="E345"/>
      <c r="F345"/>
      <c r="G345"/>
      <c r="H345"/>
      <c r="I345"/>
      <c r="J345"/>
      <c r="K345"/>
      <c r="L345"/>
      <c r="M345"/>
      <c r="N345"/>
      <c r="O345"/>
      <c r="P345"/>
      <c r="Q345"/>
      <c r="R345"/>
      <c r="S345"/>
      <c r="T345"/>
      <c r="U345"/>
      <c r="V345"/>
      <c r="W345"/>
    </row>
    <row r="346" spans="1:23" x14ac:dyDescent="0.4">
      <c r="A346"/>
      <c r="B346"/>
      <c r="C346"/>
      <c r="D346"/>
      <c r="E346"/>
      <c r="F346"/>
      <c r="G346"/>
      <c r="H346"/>
      <c r="I346"/>
      <c r="J346"/>
      <c r="K346"/>
      <c r="L346"/>
      <c r="M346"/>
      <c r="N346"/>
      <c r="O346"/>
      <c r="P346"/>
      <c r="Q346"/>
      <c r="R346"/>
      <c r="S346"/>
      <c r="T346"/>
      <c r="U346"/>
      <c r="V346"/>
      <c r="W346"/>
    </row>
    <row r="347" spans="1:23" x14ac:dyDescent="0.4">
      <c r="A347"/>
      <c r="B347"/>
      <c r="C347"/>
      <c r="D347"/>
      <c r="E347"/>
      <c r="F347"/>
      <c r="G347"/>
      <c r="H347"/>
      <c r="I347"/>
      <c r="J347"/>
      <c r="K347"/>
      <c r="L347"/>
      <c r="M347"/>
      <c r="N347"/>
      <c r="O347"/>
      <c r="P347"/>
      <c r="Q347"/>
      <c r="R347"/>
      <c r="S347"/>
      <c r="T347"/>
      <c r="U347"/>
      <c r="V347"/>
      <c r="W347"/>
    </row>
    <row r="348" spans="1:23" x14ac:dyDescent="0.4">
      <c r="A348"/>
      <c r="B348"/>
      <c r="C348"/>
      <c r="D348"/>
      <c r="E348"/>
      <c r="F348"/>
      <c r="G348"/>
      <c r="H348"/>
      <c r="I348"/>
      <c r="J348"/>
      <c r="K348"/>
      <c r="L348"/>
      <c r="M348"/>
      <c r="N348"/>
      <c r="O348"/>
      <c r="P348"/>
      <c r="Q348"/>
      <c r="R348"/>
      <c r="S348"/>
      <c r="T348"/>
      <c r="U348"/>
      <c r="V348"/>
      <c r="W348"/>
    </row>
    <row r="349" spans="1:23" x14ac:dyDescent="0.4">
      <c r="A349"/>
      <c r="B349"/>
      <c r="C349"/>
      <c r="D349"/>
      <c r="E349"/>
      <c r="F349"/>
      <c r="G349"/>
      <c r="H349"/>
      <c r="I349"/>
      <c r="J349"/>
      <c r="K349"/>
      <c r="L349"/>
      <c r="M349"/>
      <c r="N349"/>
      <c r="O349"/>
      <c r="P349"/>
      <c r="Q349"/>
      <c r="R349"/>
      <c r="S349"/>
      <c r="T349"/>
      <c r="U349"/>
      <c r="V349"/>
      <c r="W349"/>
    </row>
    <row r="350" spans="1:23" x14ac:dyDescent="0.4">
      <c r="A350"/>
      <c r="B350"/>
      <c r="C350"/>
      <c r="D350"/>
      <c r="E350"/>
      <c r="F350"/>
      <c r="G350"/>
      <c r="H350"/>
      <c r="I350"/>
      <c r="J350"/>
      <c r="K350"/>
      <c r="L350"/>
      <c r="M350"/>
      <c r="N350"/>
      <c r="O350"/>
      <c r="P350"/>
      <c r="Q350"/>
      <c r="R350"/>
      <c r="S350"/>
      <c r="T350"/>
      <c r="U350"/>
      <c r="V350"/>
      <c r="W350"/>
    </row>
    <row r="351" spans="1:23" x14ac:dyDescent="0.4">
      <c r="A351"/>
      <c r="B351"/>
      <c r="C351"/>
      <c r="D351"/>
      <c r="E351"/>
      <c r="F351"/>
      <c r="G351"/>
      <c r="H351"/>
      <c r="I351"/>
      <c r="J351"/>
      <c r="K351"/>
      <c r="L351"/>
      <c r="M351"/>
      <c r="N351"/>
      <c r="O351"/>
      <c r="P351"/>
      <c r="Q351"/>
      <c r="R351"/>
      <c r="S351"/>
      <c r="T351"/>
      <c r="U351"/>
      <c r="V351"/>
      <c r="W351"/>
    </row>
    <row r="352" spans="1:23" x14ac:dyDescent="0.4">
      <c r="A352"/>
      <c r="B352"/>
      <c r="C352"/>
      <c r="D352"/>
      <c r="E352"/>
      <c r="F352"/>
      <c r="G352"/>
      <c r="H352"/>
      <c r="I352"/>
      <c r="J352"/>
      <c r="K352"/>
      <c r="L352"/>
      <c r="M352"/>
      <c r="N352"/>
      <c r="O352"/>
      <c r="P352"/>
      <c r="Q352"/>
      <c r="R352"/>
      <c r="S352"/>
      <c r="T352"/>
      <c r="U352"/>
      <c r="V352"/>
      <c r="W352"/>
    </row>
    <row r="353" spans="1:23" x14ac:dyDescent="0.4">
      <c r="A353"/>
      <c r="B353"/>
      <c r="C353"/>
      <c r="D353"/>
      <c r="E353"/>
      <c r="F353"/>
      <c r="G353"/>
      <c r="H353"/>
      <c r="I353"/>
      <c r="J353"/>
      <c r="K353"/>
      <c r="L353"/>
      <c r="M353"/>
      <c r="N353"/>
      <c r="O353"/>
      <c r="P353"/>
      <c r="Q353"/>
      <c r="R353"/>
      <c r="S353"/>
      <c r="T353"/>
      <c r="U353"/>
      <c r="V353"/>
      <c r="W353"/>
    </row>
    <row r="354" spans="1:23" x14ac:dyDescent="0.4">
      <c r="A354"/>
      <c r="B354"/>
      <c r="C354"/>
      <c r="D354"/>
      <c r="E354"/>
      <c r="F354"/>
      <c r="G354"/>
      <c r="H354"/>
      <c r="I354"/>
      <c r="J354"/>
      <c r="K354"/>
      <c r="L354"/>
      <c r="M354"/>
      <c r="N354"/>
      <c r="O354"/>
      <c r="P354"/>
      <c r="Q354"/>
      <c r="R354"/>
      <c r="S354"/>
      <c r="T354"/>
      <c r="U354"/>
      <c r="V354"/>
      <c r="W354"/>
    </row>
    <row r="355" spans="1:23" x14ac:dyDescent="0.4">
      <c r="A355"/>
      <c r="B355"/>
      <c r="C355"/>
      <c r="D355"/>
      <c r="E355"/>
      <c r="F355"/>
      <c r="G355"/>
      <c r="H355"/>
      <c r="I355"/>
      <c r="J355"/>
      <c r="K355"/>
      <c r="L355"/>
      <c r="M355"/>
      <c r="N355"/>
      <c r="O355"/>
      <c r="P355"/>
      <c r="Q355"/>
      <c r="R355"/>
      <c r="S355"/>
      <c r="T355"/>
      <c r="U355"/>
      <c r="V355"/>
      <c r="W355"/>
    </row>
    <row r="356" spans="1:23" x14ac:dyDescent="0.4">
      <c r="A356"/>
      <c r="B356"/>
      <c r="C356"/>
      <c r="D356"/>
      <c r="E356"/>
      <c r="F356"/>
      <c r="G356"/>
      <c r="H356"/>
      <c r="I356"/>
      <c r="J356"/>
      <c r="K356"/>
      <c r="L356"/>
      <c r="M356"/>
      <c r="N356"/>
      <c r="O356"/>
      <c r="P356"/>
      <c r="Q356"/>
      <c r="R356"/>
      <c r="S356"/>
      <c r="T356"/>
      <c r="U356"/>
      <c r="V356"/>
      <c r="W356"/>
    </row>
    <row r="357" spans="1:23" x14ac:dyDescent="0.4">
      <c r="A357"/>
      <c r="B357"/>
      <c r="C357"/>
      <c r="D357"/>
      <c r="E357"/>
      <c r="F357"/>
      <c r="G357"/>
      <c r="H357"/>
      <c r="I357"/>
      <c r="J357"/>
      <c r="K357"/>
      <c r="L357"/>
      <c r="M357"/>
      <c r="N357"/>
      <c r="O357"/>
      <c r="P357"/>
      <c r="Q357"/>
      <c r="R357"/>
      <c r="S357"/>
      <c r="T357"/>
      <c r="U357"/>
      <c r="V357"/>
      <c r="W357"/>
    </row>
    <row r="358" spans="1:23" x14ac:dyDescent="0.4">
      <c r="A358"/>
      <c r="B358"/>
      <c r="C358"/>
      <c r="D358"/>
      <c r="E358"/>
      <c r="F358"/>
      <c r="G358"/>
      <c r="H358"/>
      <c r="I358"/>
      <c r="J358"/>
      <c r="K358"/>
      <c r="L358"/>
      <c r="M358"/>
      <c r="N358"/>
      <c r="O358"/>
      <c r="P358"/>
      <c r="Q358"/>
      <c r="R358"/>
      <c r="S358"/>
      <c r="T358"/>
      <c r="U358"/>
      <c r="V358"/>
      <c r="W358"/>
    </row>
    <row r="359" spans="1:23" x14ac:dyDescent="0.4">
      <c r="A359"/>
      <c r="B359"/>
      <c r="C359"/>
      <c r="D359"/>
      <c r="E359"/>
      <c r="F359"/>
      <c r="G359"/>
      <c r="H359"/>
      <c r="I359"/>
      <c r="J359"/>
      <c r="K359"/>
      <c r="L359"/>
      <c r="M359"/>
      <c r="N359"/>
      <c r="O359"/>
      <c r="P359"/>
      <c r="Q359"/>
      <c r="R359"/>
      <c r="S359"/>
      <c r="T359"/>
      <c r="U359"/>
      <c r="V359"/>
      <c r="W359"/>
    </row>
    <row r="360" spans="1:23" x14ac:dyDescent="0.4">
      <c r="A360"/>
      <c r="B360"/>
      <c r="C360"/>
      <c r="D360"/>
      <c r="E360"/>
      <c r="F360"/>
      <c r="G360"/>
      <c r="H360"/>
      <c r="I360"/>
      <c r="J360"/>
      <c r="K360"/>
      <c r="L360"/>
      <c r="M360"/>
      <c r="N360"/>
      <c r="O360"/>
      <c r="P360"/>
      <c r="Q360"/>
      <c r="R360"/>
      <c r="S360"/>
      <c r="T360"/>
      <c r="U360"/>
      <c r="V360"/>
      <c r="W360"/>
    </row>
    <row r="361" spans="1:23" x14ac:dyDescent="0.4">
      <c r="A361"/>
      <c r="B361"/>
      <c r="C361"/>
      <c r="D361"/>
      <c r="E361"/>
      <c r="F361"/>
      <c r="G361"/>
      <c r="H361"/>
      <c r="I361"/>
      <c r="J361"/>
      <c r="K361"/>
      <c r="L361"/>
      <c r="M361"/>
      <c r="N361"/>
      <c r="O361"/>
      <c r="P361"/>
      <c r="Q361"/>
      <c r="R361"/>
      <c r="S361"/>
      <c r="T361"/>
      <c r="U361"/>
      <c r="V361"/>
      <c r="W361"/>
    </row>
    <row r="362" spans="1:23" x14ac:dyDescent="0.4">
      <c r="A362"/>
      <c r="B362"/>
      <c r="C362"/>
      <c r="D362"/>
      <c r="E362"/>
      <c r="F362"/>
      <c r="G362"/>
      <c r="H362"/>
      <c r="I362"/>
      <c r="J362"/>
      <c r="K362"/>
      <c r="L362"/>
      <c r="M362"/>
      <c r="N362"/>
      <c r="O362"/>
      <c r="P362"/>
      <c r="Q362"/>
      <c r="R362"/>
      <c r="S362"/>
      <c r="T362"/>
      <c r="U362"/>
      <c r="V362"/>
      <c r="W362"/>
    </row>
    <row r="363" spans="1:23" x14ac:dyDescent="0.4">
      <c r="A363"/>
      <c r="B363"/>
      <c r="C363"/>
      <c r="D363"/>
      <c r="E363"/>
      <c r="F363"/>
      <c r="G363"/>
      <c r="H363"/>
      <c r="I363"/>
      <c r="J363"/>
      <c r="K363"/>
      <c r="L363"/>
      <c r="M363"/>
      <c r="N363"/>
      <c r="O363"/>
      <c r="P363"/>
      <c r="Q363"/>
      <c r="R363"/>
      <c r="S363"/>
      <c r="T363"/>
      <c r="U363"/>
      <c r="V363"/>
      <c r="W363"/>
    </row>
    <row r="364" spans="1:23" x14ac:dyDescent="0.4">
      <c r="A364"/>
      <c r="B364"/>
      <c r="C364"/>
      <c r="D364"/>
      <c r="E364"/>
      <c r="F364"/>
      <c r="G364"/>
      <c r="H364"/>
      <c r="I364"/>
      <c r="J364"/>
      <c r="K364"/>
      <c r="L364"/>
      <c r="M364"/>
      <c r="N364"/>
      <c r="O364"/>
      <c r="P364"/>
      <c r="Q364"/>
      <c r="R364"/>
      <c r="S364"/>
      <c r="T364"/>
      <c r="U364"/>
      <c r="V364"/>
      <c r="W364"/>
    </row>
    <row r="365" spans="1:23" x14ac:dyDescent="0.4">
      <c r="A365"/>
      <c r="B365"/>
      <c r="C365"/>
      <c r="D365"/>
      <c r="E365"/>
      <c r="F365"/>
      <c r="G365"/>
      <c r="H365"/>
      <c r="I365"/>
      <c r="J365"/>
      <c r="K365"/>
      <c r="L365"/>
      <c r="M365"/>
      <c r="N365"/>
      <c r="O365"/>
      <c r="P365"/>
      <c r="Q365"/>
      <c r="R365"/>
      <c r="S365"/>
      <c r="T365"/>
      <c r="U365"/>
      <c r="V365"/>
      <c r="W365"/>
    </row>
    <row r="366" spans="1:23" x14ac:dyDescent="0.4">
      <c r="A366"/>
      <c r="B366"/>
      <c r="C366"/>
      <c r="D366"/>
      <c r="E366"/>
      <c r="F366"/>
      <c r="G366"/>
      <c r="H366"/>
      <c r="I366"/>
      <c r="J366"/>
      <c r="K366"/>
      <c r="L366"/>
      <c r="M366"/>
      <c r="N366"/>
      <c r="O366"/>
      <c r="P366"/>
      <c r="Q366"/>
      <c r="R366"/>
      <c r="S366"/>
      <c r="T366"/>
      <c r="U366"/>
      <c r="V366"/>
      <c r="W366"/>
    </row>
    <row r="367" spans="1:23" x14ac:dyDescent="0.4">
      <c r="A367"/>
      <c r="B367"/>
      <c r="C367"/>
      <c r="D367"/>
      <c r="E367"/>
      <c r="F367"/>
      <c r="G367"/>
      <c r="H367"/>
      <c r="I367"/>
      <c r="J367"/>
      <c r="K367"/>
      <c r="L367"/>
      <c r="M367"/>
      <c r="N367"/>
      <c r="O367"/>
      <c r="P367"/>
      <c r="Q367"/>
      <c r="R367"/>
      <c r="S367"/>
      <c r="T367"/>
      <c r="U367"/>
      <c r="V367"/>
      <c r="W367"/>
    </row>
    <row r="368" spans="1:23" x14ac:dyDescent="0.4">
      <c r="A368"/>
      <c r="B368"/>
      <c r="C368"/>
      <c r="D368"/>
      <c r="E368"/>
      <c r="F368"/>
      <c r="G368"/>
      <c r="H368"/>
      <c r="I368"/>
      <c r="J368"/>
      <c r="K368"/>
      <c r="L368"/>
      <c r="M368"/>
      <c r="N368"/>
      <c r="O368"/>
      <c r="P368"/>
      <c r="Q368"/>
      <c r="R368"/>
      <c r="S368"/>
      <c r="T368"/>
      <c r="U368"/>
      <c r="V368"/>
      <c r="W368"/>
    </row>
    <row r="369" spans="1:23" x14ac:dyDescent="0.4">
      <c r="A369"/>
      <c r="B369"/>
      <c r="C369"/>
      <c r="D369"/>
      <c r="E369"/>
      <c r="F369"/>
      <c r="G369"/>
      <c r="H369"/>
      <c r="I369"/>
      <c r="J369"/>
      <c r="K369"/>
      <c r="L369"/>
      <c r="M369"/>
      <c r="N369"/>
      <c r="O369"/>
      <c r="P369"/>
      <c r="Q369"/>
      <c r="R369"/>
      <c r="S369"/>
      <c r="T369"/>
      <c r="U369"/>
      <c r="V369"/>
      <c r="W369"/>
    </row>
    <row r="370" spans="1:23" x14ac:dyDescent="0.4">
      <c r="A370"/>
      <c r="B370"/>
      <c r="C370"/>
      <c r="D370"/>
      <c r="E370"/>
      <c r="F370"/>
      <c r="G370"/>
      <c r="H370"/>
      <c r="I370"/>
      <c r="J370"/>
      <c r="K370"/>
      <c r="L370"/>
      <c r="M370"/>
      <c r="N370"/>
      <c r="O370"/>
      <c r="P370"/>
      <c r="Q370"/>
      <c r="R370"/>
      <c r="S370"/>
      <c r="T370"/>
      <c r="U370"/>
      <c r="V370"/>
      <c r="W370"/>
    </row>
    <row r="371" spans="1:23" x14ac:dyDescent="0.4">
      <c r="A371"/>
      <c r="B371"/>
      <c r="C371"/>
      <c r="D371"/>
      <c r="E371"/>
      <c r="F371"/>
      <c r="G371"/>
      <c r="H371"/>
      <c r="I371"/>
      <c r="J371"/>
      <c r="K371"/>
      <c r="L371"/>
      <c r="M371"/>
      <c r="N371"/>
      <c r="O371"/>
      <c r="P371"/>
      <c r="Q371"/>
      <c r="R371"/>
      <c r="S371"/>
      <c r="T371"/>
      <c r="U371"/>
      <c r="V371"/>
      <c r="W371"/>
    </row>
    <row r="372" spans="1:23" x14ac:dyDescent="0.4">
      <c r="A372"/>
      <c r="B372"/>
      <c r="C372"/>
      <c r="D372"/>
      <c r="E372"/>
      <c r="F372"/>
      <c r="G372"/>
      <c r="H372"/>
      <c r="I372"/>
      <c r="J372"/>
      <c r="K372"/>
      <c r="L372"/>
      <c r="M372"/>
      <c r="N372"/>
      <c r="O372"/>
      <c r="P372"/>
      <c r="Q372"/>
      <c r="R372"/>
      <c r="S372"/>
      <c r="T372"/>
      <c r="U372"/>
      <c r="V372"/>
      <c r="W372"/>
    </row>
    <row r="373" spans="1:23" x14ac:dyDescent="0.4">
      <c r="A373"/>
      <c r="B373"/>
      <c r="C373"/>
      <c r="D373"/>
      <c r="E373"/>
      <c r="F373"/>
      <c r="G373"/>
      <c r="H373"/>
      <c r="I373"/>
      <c r="J373"/>
      <c r="K373"/>
      <c r="L373"/>
      <c r="M373"/>
      <c r="N373"/>
      <c r="O373"/>
      <c r="P373"/>
      <c r="Q373"/>
      <c r="R373"/>
      <c r="S373"/>
      <c r="T373"/>
      <c r="U373"/>
      <c r="V373"/>
      <c r="W373"/>
    </row>
    <row r="374" spans="1:23" x14ac:dyDescent="0.4">
      <c r="A374"/>
      <c r="B374"/>
      <c r="C374"/>
      <c r="D374"/>
      <c r="E374"/>
      <c r="F374"/>
      <c r="G374"/>
      <c r="H374"/>
      <c r="I374"/>
      <c r="J374"/>
      <c r="K374"/>
      <c r="L374"/>
      <c r="M374"/>
      <c r="N374"/>
      <c r="O374"/>
      <c r="P374"/>
      <c r="Q374"/>
      <c r="R374"/>
      <c r="S374"/>
      <c r="T374"/>
      <c r="U374"/>
      <c r="V374"/>
      <c r="W374"/>
    </row>
    <row r="375" spans="1:23" x14ac:dyDescent="0.4">
      <c r="A375"/>
      <c r="B375"/>
      <c r="C375"/>
      <c r="D375"/>
      <c r="E375"/>
      <c r="F375"/>
      <c r="G375"/>
      <c r="H375"/>
      <c r="I375"/>
      <c r="J375"/>
      <c r="K375"/>
      <c r="L375"/>
      <c r="M375"/>
      <c r="N375"/>
      <c r="O375"/>
      <c r="P375"/>
      <c r="Q375"/>
      <c r="R375"/>
      <c r="S375"/>
      <c r="T375"/>
      <c r="U375"/>
      <c r="V375"/>
      <c r="W375"/>
    </row>
    <row r="376" spans="1:23" x14ac:dyDescent="0.4">
      <c r="A376"/>
      <c r="B376"/>
      <c r="C376"/>
      <c r="D376"/>
      <c r="E376"/>
      <c r="F376"/>
      <c r="G376"/>
      <c r="H376"/>
      <c r="I376"/>
      <c r="J376"/>
      <c r="K376"/>
      <c r="L376"/>
      <c r="M376"/>
      <c r="N376"/>
      <c r="O376"/>
      <c r="P376"/>
      <c r="Q376"/>
      <c r="R376"/>
      <c r="S376"/>
      <c r="T376"/>
      <c r="U376"/>
      <c r="V376"/>
      <c r="W376"/>
    </row>
    <row r="377" spans="1:23" x14ac:dyDescent="0.4">
      <c r="A377"/>
      <c r="B377"/>
      <c r="C377"/>
      <c r="D377"/>
      <c r="E377"/>
      <c r="F377"/>
      <c r="G377"/>
      <c r="H377"/>
      <c r="I377"/>
      <c r="J377"/>
      <c r="K377"/>
      <c r="L377"/>
      <c r="M377"/>
      <c r="N377"/>
      <c r="O377"/>
      <c r="P377"/>
      <c r="Q377"/>
      <c r="R377"/>
      <c r="S377"/>
      <c r="T377"/>
      <c r="U377"/>
      <c r="V377"/>
      <c r="W377"/>
    </row>
    <row r="378" spans="1:23" x14ac:dyDescent="0.4">
      <c r="A378"/>
      <c r="B378"/>
      <c r="C378"/>
      <c r="D378"/>
      <c r="E378"/>
      <c r="F378"/>
      <c r="G378"/>
      <c r="H378"/>
      <c r="I378"/>
      <c r="J378"/>
      <c r="K378"/>
      <c r="L378"/>
      <c r="M378"/>
      <c r="N378"/>
      <c r="O378"/>
      <c r="P378"/>
      <c r="Q378"/>
      <c r="R378"/>
      <c r="S378"/>
      <c r="T378"/>
      <c r="U378"/>
      <c r="V378"/>
      <c r="W378"/>
    </row>
    <row r="379" spans="1:23" x14ac:dyDescent="0.4">
      <c r="A379"/>
      <c r="B379"/>
      <c r="C379"/>
      <c r="D379"/>
      <c r="E379"/>
      <c r="F379"/>
      <c r="G379"/>
      <c r="H379"/>
      <c r="I379"/>
      <c r="J379"/>
      <c r="K379"/>
      <c r="L379"/>
      <c r="M379"/>
      <c r="N379"/>
      <c r="O379"/>
      <c r="P379"/>
      <c r="Q379"/>
      <c r="R379"/>
      <c r="S379"/>
      <c r="T379"/>
      <c r="U379"/>
      <c r="V379"/>
      <c r="W379"/>
    </row>
    <row r="380" spans="1:23" x14ac:dyDescent="0.4">
      <c r="A380"/>
      <c r="B380"/>
      <c r="C380"/>
      <c r="D380"/>
      <c r="E380"/>
      <c r="F380"/>
      <c r="G380"/>
      <c r="H380"/>
      <c r="I380"/>
      <c r="J380"/>
      <c r="K380"/>
      <c r="L380"/>
      <c r="M380"/>
      <c r="N380"/>
      <c r="O380"/>
      <c r="P380"/>
      <c r="Q380"/>
      <c r="R380"/>
      <c r="S380"/>
      <c r="T380"/>
      <c r="U380"/>
      <c r="V380"/>
      <c r="W380"/>
    </row>
    <row r="381" spans="1:23" x14ac:dyDescent="0.4">
      <c r="A381"/>
      <c r="B381"/>
      <c r="C381"/>
      <c r="D381"/>
      <c r="E381"/>
      <c r="F381"/>
      <c r="G381"/>
      <c r="H381"/>
      <c r="I381"/>
      <c r="J381"/>
      <c r="K381"/>
      <c r="L381"/>
      <c r="M381"/>
      <c r="N381"/>
      <c r="O381"/>
      <c r="P381"/>
      <c r="Q381"/>
      <c r="R381"/>
      <c r="S381"/>
      <c r="T381"/>
      <c r="U381"/>
      <c r="V381"/>
      <c r="W381"/>
    </row>
    <row r="382" spans="1:23" x14ac:dyDescent="0.4">
      <c r="A382"/>
      <c r="B382"/>
      <c r="C382"/>
      <c r="D382"/>
      <c r="E382"/>
      <c r="F382"/>
      <c r="G382"/>
      <c r="H382"/>
      <c r="I382"/>
      <c r="J382"/>
      <c r="K382"/>
      <c r="L382"/>
      <c r="M382"/>
      <c r="N382"/>
      <c r="O382"/>
      <c r="P382"/>
      <c r="Q382"/>
      <c r="R382"/>
      <c r="S382"/>
      <c r="T382"/>
      <c r="U382"/>
      <c r="V382"/>
      <c r="W382"/>
    </row>
    <row r="383" spans="1:23" x14ac:dyDescent="0.4">
      <c r="A383"/>
      <c r="B383"/>
      <c r="C383"/>
      <c r="D383"/>
      <c r="E383"/>
      <c r="F383"/>
      <c r="G383"/>
      <c r="H383"/>
      <c r="I383"/>
      <c r="J383"/>
      <c r="K383"/>
      <c r="L383"/>
      <c r="M383"/>
      <c r="N383"/>
      <c r="O383"/>
      <c r="P383"/>
      <c r="Q383"/>
      <c r="R383"/>
      <c r="S383"/>
      <c r="T383"/>
      <c r="U383"/>
      <c r="V383"/>
      <c r="W383"/>
    </row>
    <row r="384" spans="1:23" x14ac:dyDescent="0.4">
      <c r="A384"/>
      <c r="B384"/>
      <c r="C384"/>
      <c r="D384"/>
      <c r="E384"/>
      <c r="F384"/>
      <c r="G384"/>
      <c r="H384"/>
      <c r="I384"/>
      <c r="J384"/>
      <c r="K384"/>
      <c r="L384"/>
      <c r="M384"/>
      <c r="N384"/>
      <c r="O384"/>
      <c r="P384"/>
      <c r="Q384"/>
      <c r="R384"/>
      <c r="S384"/>
      <c r="T384"/>
      <c r="U384"/>
      <c r="V384"/>
      <c r="W384"/>
    </row>
    <row r="385" spans="1:23" x14ac:dyDescent="0.4">
      <c r="A385"/>
      <c r="B385"/>
      <c r="C385"/>
      <c r="D385"/>
      <c r="E385"/>
      <c r="F385"/>
      <c r="G385"/>
      <c r="H385"/>
      <c r="I385"/>
      <c r="J385"/>
      <c r="K385"/>
      <c r="L385"/>
      <c r="M385"/>
      <c r="N385"/>
      <c r="O385"/>
      <c r="P385"/>
      <c r="Q385"/>
      <c r="R385"/>
      <c r="S385"/>
      <c r="T385"/>
      <c r="U385"/>
      <c r="V385"/>
      <c r="W385"/>
    </row>
    <row r="386" spans="1:23" x14ac:dyDescent="0.4">
      <c r="A386"/>
      <c r="B386"/>
      <c r="C386"/>
      <c r="D386"/>
      <c r="E386"/>
      <c r="F386"/>
      <c r="G386"/>
      <c r="H386"/>
      <c r="I386"/>
      <c r="J386"/>
      <c r="K386"/>
      <c r="L386"/>
      <c r="M386"/>
      <c r="N386"/>
      <c r="O386"/>
      <c r="P386"/>
      <c r="Q386"/>
      <c r="R386"/>
      <c r="S386"/>
      <c r="T386"/>
      <c r="U386"/>
      <c r="V386"/>
      <c r="W386"/>
    </row>
    <row r="387" spans="1:23" x14ac:dyDescent="0.4">
      <c r="A387"/>
      <c r="B387"/>
      <c r="C387"/>
      <c r="D387"/>
      <c r="E387"/>
      <c r="F387"/>
      <c r="G387"/>
      <c r="H387"/>
      <c r="I387"/>
      <c r="J387"/>
      <c r="K387"/>
      <c r="L387"/>
      <c r="M387"/>
      <c r="N387"/>
      <c r="O387"/>
      <c r="P387"/>
      <c r="Q387"/>
      <c r="R387"/>
      <c r="S387"/>
      <c r="T387"/>
      <c r="U387"/>
      <c r="V387"/>
      <c r="W387"/>
    </row>
    <row r="388" spans="1:23" x14ac:dyDescent="0.4">
      <c r="A388"/>
      <c r="B388"/>
      <c r="C388"/>
      <c r="D388"/>
      <c r="E388"/>
      <c r="F388"/>
      <c r="G388"/>
      <c r="H388"/>
      <c r="I388"/>
      <c r="J388"/>
      <c r="K388"/>
      <c r="L388"/>
      <c r="M388"/>
      <c r="N388"/>
      <c r="O388"/>
      <c r="P388"/>
      <c r="Q388"/>
      <c r="R388"/>
      <c r="S388"/>
      <c r="T388"/>
      <c r="U388"/>
      <c r="V388"/>
      <c r="W388"/>
    </row>
    <row r="389" spans="1:23" x14ac:dyDescent="0.4">
      <c r="A389"/>
      <c r="B389"/>
      <c r="C389"/>
      <c r="D389"/>
      <c r="E389"/>
      <c r="F389"/>
      <c r="G389"/>
      <c r="H389"/>
      <c r="I389"/>
      <c r="J389"/>
      <c r="K389"/>
      <c r="L389"/>
      <c r="M389"/>
      <c r="N389"/>
      <c r="O389"/>
      <c r="P389"/>
      <c r="Q389"/>
      <c r="R389"/>
      <c r="S389"/>
      <c r="T389"/>
      <c r="U389"/>
      <c r="V389"/>
      <c r="W389"/>
    </row>
    <row r="390" spans="1:23" x14ac:dyDescent="0.4">
      <c r="A390"/>
      <c r="B390"/>
      <c r="C390"/>
      <c r="D390"/>
      <c r="E390"/>
      <c r="F390"/>
      <c r="G390"/>
      <c r="H390"/>
      <c r="I390"/>
      <c r="J390"/>
      <c r="K390"/>
      <c r="L390"/>
      <c r="M390"/>
      <c r="N390"/>
      <c r="O390"/>
      <c r="P390"/>
      <c r="Q390"/>
      <c r="R390"/>
      <c r="S390"/>
      <c r="T390"/>
      <c r="U390"/>
      <c r="V390"/>
      <c r="W390"/>
    </row>
    <row r="391" spans="1:23" x14ac:dyDescent="0.4">
      <c r="A391"/>
      <c r="B391"/>
      <c r="C391"/>
      <c r="D391"/>
      <c r="E391"/>
      <c r="F391"/>
      <c r="G391"/>
      <c r="H391"/>
      <c r="I391"/>
      <c r="J391"/>
      <c r="K391"/>
      <c r="L391"/>
      <c r="M391"/>
      <c r="N391"/>
      <c r="O391"/>
      <c r="P391"/>
      <c r="Q391"/>
      <c r="R391"/>
      <c r="S391"/>
      <c r="T391"/>
      <c r="U391"/>
      <c r="V391"/>
      <c r="W391"/>
    </row>
    <row r="392" spans="1:23" x14ac:dyDescent="0.4">
      <c r="A392"/>
      <c r="B392"/>
      <c r="C392"/>
      <c r="D392"/>
      <c r="E392"/>
      <c r="F392"/>
      <c r="G392"/>
      <c r="H392"/>
      <c r="I392"/>
      <c r="J392"/>
      <c r="K392"/>
      <c r="L392"/>
      <c r="M392"/>
      <c r="N392"/>
      <c r="O392"/>
      <c r="P392"/>
      <c r="Q392"/>
      <c r="R392"/>
      <c r="S392"/>
      <c r="T392"/>
      <c r="U392"/>
      <c r="V392"/>
      <c r="W392"/>
    </row>
    <row r="393" spans="1:23" x14ac:dyDescent="0.4">
      <c r="A393"/>
      <c r="B393"/>
      <c r="C393"/>
      <c r="D393"/>
      <c r="E393"/>
      <c r="F393"/>
      <c r="G393"/>
      <c r="H393"/>
      <c r="I393"/>
      <c r="J393"/>
      <c r="K393"/>
      <c r="L393"/>
      <c r="M393"/>
      <c r="N393"/>
      <c r="O393"/>
      <c r="P393"/>
      <c r="Q393"/>
      <c r="R393"/>
      <c r="S393"/>
      <c r="T393"/>
      <c r="U393"/>
      <c r="V393"/>
      <c r="W393"/>
    </row>
    <row r="394" spans="1:23" x14ac:dyDescent="0.4">
      <c r="A394"/>
      <c r="B394"/>
      <c r="C394"/>
      <c r="D394"/>
      <c r="E394"/>
      <c r="F394"/>
      <c r="G394"/>
      <c r="H394"/>
      <c r="I394"/>
      <c r="J394"/>
      <c r="K394"/>
      <c r="L394"/>
      <c r="M394"/>
      <c r="N394"/>
      <c r="O394"/>
      <c r="P394"/>
      <c r="Q394"/>
      <c r="R394"/>
      <c r="S394"/>
      <c r="T394"/>
      <c r="U394"/>
      <c r="V394"/>
      <c r="W394"/>
    </row>
    <row r="395" spans="1:23" x14ac:dyDescent="0.4">
      <c r="A395"/>
      <c r="B395"/>
      <c r="C395"/>
      <c r="D395"/>
      <c r="E395"/>
      <c r="F395"/>
      <c r="G395"/>
      <c r="H395"/>
      <c r="I395"/>
      <c r="J395"/>
      <c r="K395"/>
      <c r="L395"/>
      <c r="M395"/>
      <c r="N395"/>
      <c r="O395"/>
      <c r="P395"/>
      <c r="Q395"/>
      <c r="R395"/>
      <c r="S395"/>
      <c r="T395"/>
      <c r="U395"/>
      <c r="V395"/>
      <c r="W395"/>
    </row>
    <row r="396" spans="1:23" x14ac:dyDescent="0.4">
      <c r="A396"/>
      <c r="B396"/>
      <c r="C396"/>
      <c r="D396"/>
      <c r="E396"/>
      <c r="F396"/>
      <c r="G396"/>
      <c r="H396"/>
      <c r="I396"/>
      <c r="J396"/>
      <c r="K396"/>
      <c r="L396"/>
      <c r="M396"/>
      <c r="N396"/>
      <c r="O396"/>
      <c r="P396"/>
      <c r="Q396"/>
      <c r="R396"/>
      <c r="S396"/>
      <c r="T396"/>
      <c r="U396"/>
      <c r="V396"/>
      <c r="W396"/>
    </row>
    <row r="397" spans="1:23" x14ac:dyDescent="0.4">
      <c r="A397"/>
      <c r="B397"/>
      <c r="C397"/>
      <c r="D397"/>
      <c r="E397"/>
      <c r="F397"/>
      <c r="G397"/>
      <c r="H397"/>
      <c r="I397"/>
      <c r="J397"/>
      <c r="K397"/>
      <c r="L397"/>
      <c r="M397"/>
      <c r="N397"/>
      <c r="O397"/>
      <c r="P397"/>
      <c r="Q397"/>
      <c r="R397"/>
      <c r="S397"/>
      <c r="T397"/>
      <c r="U397"/>
      <c r="V397"/>
      <c r="W397"/>
    </row>
    <row r="398" spans="1:23" x14ac:dyDescent="0.4">
      <c r="A398"/>
      <c r="B398"/>
      <c r="C398"/>
      <c r="D398"/>
      <c r="E398"/>
      <c r="F398"/>
      <c r="G398"/>
      <c r="H398"/>
      <c r="I398"/>
      <c r="J398"/>
      <c r="K398"/>
      <c r="L398"/>
      <c r="M398"/>
      <c r="N398"/>
      <c r="O398"/>
      <c r="P398"/>
      <c r="Q398"/>
      <c r="R398"/>
      <c r="S398"/>
      <c r="T398"/>
      <c r="U398"/>
      <c r="V398"/>
      <c r="W398"/>
    </row>
    <row r="399" spans="1:23" x14ac:dyDescent="0.4">
      <c r="A399"/>
      <c r="B399"/>
      <c r="C399"/>
      <c r="D399"/>
      <c r="E399"/>
      <c r="F399"/>
      <c r="G399"/>
      <c r="H399"/>
      <c r="I399"/>
      <c r="J399"/>
      <c r="K399"/>
      <c r="L399"/>
      <c r="M399"/>
      <c r="N399"/>
      <c r="O399"/>
      <c r="P399"/>
      <c r="Q399"/>
      <c r="R399"/>
      <c r="S399"/>
      <c r="T399"/>
      <c r="U399"/>
      <c r="V399"/>
      <c r="W399"/>
    </row>
    <row r="400" spans="1:23" x14ac:dyDescent="0.4">
      <c r="A400"/>
      <c r="B400"/>
      <c r="C400"/>
      <c r="D400"/>
      <c r="E400"/>
      <c r="F400"/>
      <c r="G400"/>
      <c r="H400"/>
      <c r="I400"/>
      <c r="J400"/>
      <c r="K400"/>
      <c r="L400"/>
      <c r="M400"/>
      <c r="N400"/>
      <c r="O400"/>
      <c r="P400"/>
      <c r="Q400"/>
      <c r="R400"/>
      <c r="S400"/>
      <c r="T400"/>
      <c r="U400"/>
      <c r="V400"/>
      <c r="W400"/>
    </row>
    <row r="401" spans="1:23" x14ac:dyDescent="0.4">
      <c r="A401"/>
      <c r="B401"/>
      <c r="C401"/>
      <c r="D401"/>
      <c r="E401"/>
      <c r="F401"/>
      <c r="G401"/>
      <c r="H401"/>
      <c r="I401"/>
      <c r="J401"/>
      <c r="K401"/>
      <c r="L401"/>
      <c r="M401"/>
      <c r="N401"/>
      <c r="O401"/>
      <c r="P401"/>
      <c r="Q401"/>
      <c r="R401"/>
      <c r="S401"/>
      <c r="T401"/>
      <c r="U401"/>
      <c r="V401"/>
      <c r="W401"/>
    </row>
    <row r="402" spans="1:23" x14ac:dyDescent="0.4">
      <c r="A402"/>
      <c r="B402"/>
      <c r="C402"/>
      <c r="D402"/>
      <c r="E402"/>
      <c r="F402"/>
      <c r="G402"/>
      <c r="H402"/>
      <c r="I402"/>
      <c r="J402"/>
      <c r="K402"/>
      <c r="L402"/>
      <c r="M402"/>
      <c r="N402"/>
      <c r="O402"/>
      <c r="P402"/>
      <c r="Q402"/>
      <c r="R402"/>
      <c r="S402"/>
      <c r="T402"/>
      <c r="U402"/>
      <c r="V402"/>
      <c r="W402"/>
    </row>
    <row r="403" spans="1:23" x14ac:dyDescent="0.4">
      <c r="A403"/>
      <c r="B403"/>
      <c r="C403"/>
      <c r="D403"/>
      <c r="E403"/>
      <c r="F403"/>
      <c r="G403"/>
      <c r="H403"/>
      <c r="I403"/>
      <c r="J403"/>
      <c r="K403"/>
      <c r="L403"/>
      <c r="M403"/>
      <c r="N403"/>
      <c r="O403"/>
      <c r="P403"/>
      <c r="Q403"/>
      <c r="R403"/>
      <c r="S403"/>
      <c r="T403"/>
      <c r="U403"/>
      <c r="V403"/>
      <c r="W403"/>
    </row>
    <row r="404" spans="1:23" x14ac:dyDescent="0.4">
      <c r="A404"/>
      <c r="B404"/>
      <c r="C404"/>
      <c r="D404"/>
      <c r="E404"/>
      <c r="F404"/>
      <c r="G404"/>
      <c r="H404"/>
      <c r="I404"/>
      <c r="J404"/>
      <c r="K404"/>
      <c r="L404"/>
      <c r="M404"/>
      <c r="N404"/>
      <c r="O404"/>
      <c r="P404"/>
      <c r="Q404"/>
      <c r="R404"/>
      <c r="S404"/>
      <c r="T404"/>
      <c r="U404"/>
      <c r="V404"/>
      <c r="W404"/>
    </row>
    <row r="405" spans="1:23" x14ac:dyDescent="0.4">
      <c r="A405"/>
      <c r="B405"/>
      <c r="C405"/>
      <c r="D405"/>
      <c r="E405"/>
      <c r="F405"/>
      <c r="G405"/>
      <c r="H405"/>
      <c r="I405"/>
      <c r="J405"/>
      <c r="K405"/>
      <c r="L405"/>
      <c r="M405"/>
      <c r="N405"/>
      <c r="O405"/>
      <c r="P405"/>
      <c r="Q405"/>
      <c r="R405"/>
      <c r="S405"/>
      <c r="T405"/>
      <c r="U405"/>
      <c r="V405"/>
      <c r="W405"/>
    </row>
    <row r="406" spans="1:23" x14ac:dyDescent="0.4">
      <c r="A406"/>
      <c r="B406"/>
      <c r="C406"/>
      <c r="D406"/>
      <c r="E406"/>
      <c r="F406"/>
      <c r="G406"/>
      <c r="H406"/>
      <c r="I406"/>
      <c r="J406"/>
      <c r="K406"/>
      <c r="L406"/>
      <c r="M406"/>
      <c r="N406"/>
      <c r="O406"/>
      <c r="P406"/>
      <c r="Q406"/>
      <c r="R406"/>
      <c r="S406"/>
      <c r="T406"/>
      <c r="U406"/>
      <c r="V406"/>
      <c r="W406"/>
    </row>
    <row r="407" spans="1:23" x14ac:dyDescent="0.4">
      <c r="A407"/>
      <c r="B407"/>
      <c r="C407"/>
      <c r="D407"/>
      <c r="E407"/>
      <c r="F407"/>
      <c r="G407"/>
      <c r="H407"/>
      <c r="I407"/>
      <c r="J407"/>
      <c r="K407"/>
      <c r="L407"/>
      <c r="M407"/>
      <c r="N407"/>
      <c r="O407"/>
      <c r="P407"/>
      <c r="Q407"/>
      <c r="R407"/>
      <c r="S407"/>
      <c r="T407"/>
      <c r="U407"/>
      <c r="V407"/>
      <c r="W407"/>
    </row>
    <row r="408" spans="1:23" x14ac:dyDescent="0.4">
      <c r="A408"/>
      <c r="B408"/>
      <c r="C408"/>
      <c r="D408"/>
      <c r="E408"/>
      <c r="F408"/>
      <c r="G408"/>
      <c r="H408"/>
      <c r="I408"/>
      <c r="J408"/>
      <c r="K408"/>
      <c r="L408"/>
      <c r="M408"/>
      <c r="N408"/>
      <c r="O408"/>
      <c r="P408"/>
      <c r="Q408"/>
      <c r="R408"/>
      <c r="S408"/>
      <c r="T408"/>
      <c r="U408"/>
      <c r="V408"/>
      <c r="W408"/>
    </row>
    <row r="409" spans="1:23" x14ac:dyDescent="0.4">
      <c r="A409"/>
      <c r="B409"/>
      <c r="C409"/>
      <c r="D409"/>
      <c r="E409"/>
      <c r="F409"/>
      <c r="G409"/>
      <c r="H409"/>
      <c r="I409"/>
      <c r="J409"/>
      <c r="K409"/>
      <c r="L409"/>
      <c r="M409"/>
      <c r="N409"/>
      <c r="O409"/>
      <c r="P409"/>
      <c r="Q409"/>
      <c r="R409"/>
      <c r="S409"/>
      <c r="T409"/>
      <c r="U409"/>
      <c r="V409"/>
      <c r="W409"/>
    </row>
    <row r="410" spans="1:23" x14ac:dyDescent="0.4">
      <c r="A410"/>
      <c r="B410"/>
      <c r="C410"/>
      <c r="D410"/>
      <c r="E410"/>
      <c r="F410"/>
      <c r="G410"/>
      <c r="H410"/>
      <c r="I410"/>
      <c r="J410"/>
      <c r="K410"/>
      <c r="L410"/>
      <c r="M410"/>
      <c r="N410"/>
      <c r="O410"/>
      <c r="P410"/>
      <c r="Q410"/>
      <c r="R410"/>
      <c r="S410"/>
      <c r="T410"/>
      <c r="U410"/>
      <c r="V410"/>
      <c r="W410"/>
    </row>
    <row r="411" spans="1:23" x14ac:dyDescent="0.4">
      <c r="A411"/>
      <c r="B411"/>
      <c r="C411"/>
      <c r="D411"/>
      <c r="E411"/>
      <c r="F411"/>
      <c r="G411"/>
      <c r="H411"/>
      <c r="I411"/>
      <c r="J411"/>
      <c r="K411"/>
      <c r="L411"/>
      <c r="M411"/>
      <c r="N411"/>
      <c r="O411"/>
      <c r="P411"/>
      <c r="Q411"/>
      <c r="R411"/>
      <c r="S411"/>
      <c r="T411"/>
      <c r="U411"/>
      <c r="V411"/>
      <c r="W411"/>
    </row>
    <row r="412" spans="1:23" x14ac:dyDescent="0.4">
      <c r="A412"/>
      <c r="B412"/>
      <c r="C412"/>
      <c r="D412"/>
      <c r="E412"/>
      <c r="F412"/>
      <c r="G412"/>
      <c r="H412"/>
      <c r="I412"/>
      <c r="J412"/>
      <c r="K412"/>
      <c r="L412"/>
      <c r="M412"/>
      <c r="N412"/>
      <c r="O412"/>
      <c r="P412"/>
      <c r="Q412"/>
      <c r="R412"/>
      <c r="S412"/>
      <c r="T412"/>
      <c r="U412"/>
      <c r="V412"/>
      <c r="W412"/>
    </row>
    <row r="413" spans="1:23" x14ac:dyDescent="0.4">
      <c r="A413"/>
      <c r="B413"/>
      <c r="C413"/>
      <c r="D413"/>
      <c r="E413"/>
      <c r="F413"/>
      <c r="G413"/>
      <c r="H413"/>
      <c r="I413"/>
      <c r="J413"/>
      <c r="K413"/>
      <c r="L413"/>
      <c r="M413"/>
      <c r="N413"/>
      <c r="O413"/>
      <c r="P413"/>
      <c r="Q413"/>
      <c r="R413"/>
      <c r="S413"/>
      <c r="T413"/>
      <c r="U413"/>
      <c r="V413"/>
      <c r="W413"/>
    </row>
    <row r="414" spans="1:23" x14ac:dyDescent="0.4">
      <c r="A414"/>
      <c r="B414"/>
      <c r="C414"/>
      <c r="D414"/>
      <c r="E414"/>
      <c r="F414"/>
      <c r="G414"/>
      <c r="H414"/>
      <c r="I414"/>
      <c r="J414"/>
      <c r="K414"/>
      <c r="L414"/>
      <c r="M414"/>
      <c r="N414"/>
      <c r="O414"/>
      <c r="P414"/>
      <c r="Q414"/>
      <c r="R414"/>
      <c r="S414"/>
      <c r="T414"/>
      <c r="U414"/>
      <c r="V414"/>
      <c r="W414"/>
    </row>
    <row r="415" spans="1:23" x14ac:dyDescent="0.4">
      <c r="A415"/>
      <c r="B415"/>
      <c r="C415"/>
      <c r="D415"/>
      <c r="E415"/>
      <c r="F415"/>
      <c r="G415"/>
      <c r="H415"/>
      <c r="I415"/>
      <c r="J415"/>
      <c r="K415"/>
      <c r="L415"/>
      <c r="M415"/>
      <c r="N415"/>
      <c r="O415"/>
      <c r="P415"/>
      <c r="Q415"/>
      <c r="R415"/>
      <c r="S415"/>
      <c r="T415"/>
      <c r="U415"/>
      <c r="V415"/>
      <c r="W415"/>
    </row>
    <row r="416" spans="1:23" x14ac:dyDescent="0.4">
      <c r="A416"/>
      <c r="B416"/>
      <c r="C416"/>
      <c r="D416"/>
      <c r="E416"/>
      <c r="F416"/>
      <c r="G416"/>
      <c r="H416"/>
      <c r="I416"/>
      <c r="J416"/>
      <c r="K416"/>
      <c r="L416"/>
      <c r="M416"/>
      <c r="N416"/>
      <c r="O416"/>
      <c r="P416"/>
      <c r="Q416"/>
      <c r="R416"/>
      <c r="S416"/>
      <c r="T416"/>
      <c r="U416"/>
      <c r="V416"/>
      <c r="W416"/>
    </row>
    <row r="417" spans="1:23" x14ac:dyDescent="0.4">
      <c r="A417"/>
      <c r="B417"/>
      <c r="C417"/>
      <c r="D417"/>
      <c r="E417"/>
      <c r="F417"/>
      <c r="G417"/>
      <c r="H417"/>
      <c r="I417"/>
      <c r="J417"/>
      <c r="K417"/>
      <c r="L417"/>
      <c r="M417"/>
      <c r="N417"/>
      <c r="O417"/>
      <c r="P417"/>
      <c r="Q417"/>
      <c r="R417"/>
      <c r="S417"/>
      <c r="T417"/>
      <c r="U417"/>
      <c r="V417"/>
      <c r="W417"/>
    </row>
    <row r="418" spans="1:23" x14ac:dyDescent="0.4">
      <c r="A418"/>
      <c r="B418"/>
      <c r="C418"/>
      <c r="D418"/>
      <c r="E418"/>
      <c r="F418"/>
      <c r="G418"/>
      <c r="H418"/>
      <c r="I418"/>
      <c r="J418"/>
      <c r="K418"/>
      <c r="L418"/>
      <c r="M418"/>
      <c r="N418"/>
      <c r="O418"/>
      <c r="P418"/>
      <c r="Q418"/>
      <c r="R418"/>
      <c r="S418"/>
      <c r="T418"/>
      <c r="U418"/>
      <c r="V418"/>
      <c r="W418"/>
    </row>
    <row r="419" spans="1:23" x14ac:dyDescent="0.4">
      <c r="A419"/>
      <c r="B419"/>
      <c r="C419"/>
      <c r="D419"/>
      <c r="E419"/>
      <c r="F419"/>
      <c r="G419"/>
      <c r="H419"/>
      <c r="I419"/>
      <c r="J419"/>
      <c r="K419"/>
      <c r="L419"/>
      <c r="M419"/>
      <c r="N419"/>
      <c r="O419"/>
      <c r="P419"/>
      <c r="Q419"/>
      <c r="R419"/>
      <c r="S419"/>
      <c r="T419"/>
      <c r="U419"/>
      <c r="V419"/>
      <c r="W419"/>
    </row>
    <row r="420" spans="1:23" x14ac:dyDescent="0.4">
      <c r="A420"/>
      <c r="B420"/>
      <c r="C420"/>
      <c r="D420"/>
      <c r="E420"/>
      <c r="F420"/>
      <c r="G420"/>
      <c r="H420"/>
      <c r="I420"/>
      <c r="J420"/>
      <c r="K420"/>
      <c r="L420"/>
      <c r="M420"/>
      <c r="N420"/>
      <c r="O420"/>
      <c r="P420"/>
      <c r="Q420"/>
      <c r="R420"/>
      <c r="S420"/>
      <c r="T420"/>
      <c r="U420"/>
      <c r="V420"/>
      <c r="W420"/>
    </row>
    <row r="421" spans="1:23" x14ac:dyDescent="0.4">
      <c r="A421"/>
      <c r="B421"/>
      <c r="C421"/>
      <c r="D421"/>
      <c r="E421"/>
      <c r="F421"/>
      <c r="G421"/>
      <c r="H421"/>
      <c r="I421"/>
      <c r="J421"/>
      <c r="K421"/>
      <c r="L421"/>
      <c r="M421"/>
      <c r="N421"/>
      <c r="O421"/>
      <c r="P421"/>
      <c r="Q421"/>
      <c r="R421"/>
      <c r="S421"/>
      <c r="T421"/>
      <c r="U421"/>
      <c r="V421"/>
      <c r="W421"/>
    </row>
    <row r="422" spans="1:23" x14ac:dyDescent="0.4">
      <c r="A422"/>
      <c r="B422"/>
      <c r="C422"/>
      <c r="D422"/>
      <c r="E422"/>
      <c r="F422"/>
      <c r="G422"/>
      <c r="H422"/>
      <c r="I422"/>
      <c r="J422"/>
      <c r="K422"/>
      <c r="L422"/>
      <c r="M422"/>
      <c r="N422"/>
      <c r="O422"/>
      <c r="P422"/>
      <c r="Q422"/>
      <c r="R422"/>
      <c r="S422"/>
      <c r="T422"/>
      <c r="U422"/>
      <c r="V422"/>
      <c r="W422"/>
    </row>
    <row r="423" spans="1:23" x14ac:dyDescent="0.4">
      <c r="A423"/>
      <c r="B423"/>
      <c r="C423"/>
      <c r="D423"/>
      <c r="E423"/>
      <c r="F423"/>
      <c r="G423"/>
      <c r="H423"/>
      <c r="I423"/>
      <c r="J423"/>
      <c r="K423"/>
      <c r="L423"/>
      <c r="M423"/>
      <c r="N423"/>
      <c r="O423"/>
      <c r="P423"/>
      <c r="Q423"/>
      <c r="R423"/>
      <c r="S423"/>
      <c r="T423"/>
      <c r="U423"/>
      <c r="V423"/>
      <c r="W423"/>
    </row>
    <row r="424" spans="1:23" x14ac:dyDescent="0.4">
      <c r="A424"/>
      <c r="B424"/>
      <c r="C424"/>
      <c r="D424"/>
      <c r="E424"/>
      <c r="F424"/>
      <c r="G424"/>
      <c r="H424"/>
      <c r="I424"/>
      <c r="J424"/>
      <c r="K424"/>
      <c r="L424"/>
      <c r="M424"/>
      <c r="N424"/>
      <c r="O424"/>
      <c r="P424"/>
      <c r="Q424"/>
      <c r="R424"/>
      <c r="S424"/>
      <c r="T424"/>
      <c r="U424"/>
      <c r="V424"/>
      <c r="W424"/>
    </row>
    <row r="425" spans="1:23" x14ac:dyDescent="0.4">
      <c r="A425"/>
      <c r="B425"/>
      <c r="C425"/>
      <c r="D425"/>
      <c r="E425"/>
      <c r="F425"/>
      <c r="G425"/>
      <c r="H425"/>
      <c r="I425"/>
      <c r="J425"/>
      <c r="K425"/>
      <c r="L425"/>
      <c r="M425"/>
      <c r="N425"/>
      <c r="O425"/>
      <c r="P425"/>
      <c r="Q425"/>
      <c r="R425"/>
      <c r="S425"/>
      <c r="T425"/>
      <c r="U425"/>
      <c r="V425"/>
      <c r="W425"/>
    </row>
    <row r="426" spans="1:23" x14ac:dyDescent="0.4">
      <c r="A426"/>
      <c r="B426"/>
      <c r="C426"/>
      <c r="D426"/>
      <c r="E426"/>
      <c r="F426"/>
      <c r="G426"/>
      <c r="H426"/>
      <c r="I426"/>
      <c r="J426"/>
      <c r="K426"/>
      <c r="L426"/>
      <c r="M426"/>
      <c r="N426"/>
      <c r="O426"/>
      <c r="P426"/>
      <c r="Q426"/>
      <c r="R426"/>
      <c r="S426"/>
      <c r="T426"/>
      <c r="U426"/>
      <c r="V426"/>
      <c r="W426"/>
    </row>
    <row r="427" spans="1:23" x14ac:dyDescent="0.4">
      <c r="A427"/>
      <c r="B427"/>
      <c r="C427"/>
      <c r="D427"/>
      <c r="E427"/>
      <c r="F427"/>
      <c r="G427"/>
      <c r="H427"/>
      <c r="I427"/>
      <c r="J427"/>
      <c r="K427"/>
      <c r="L427"/>
      <c r="M427"/>
      <c r="N427"/>
      <c r="O427"/>
      <c r="P427"/>
      <c r="Q427"/>
      <c r="R427"/>
      <c r="S427"/>
      <c r="T427"/>
      <c r="U427"/>
      <c r="V427"/>
      <c r="W427"/>
    </row>
    <row r="428" spans="1:23" x14ac:dyDescent="0.4">
      <c r="A428"/>
      <c r="B428"/>
      <c r="C428"/>
      <c r="D428"/>
      <c r="E428"/>
      <c r="F428"/>
      <c r="G428"/>
      <c r="H428"/>
      <c r="I428"/>
      <c r="J428"/>
      <c r="K428"/>
      <c r="L428"/>
      <c r="M428"/>
      <c r="N428"/>
      <c r="O428"/>
      <c r="P428"/>
      <c r="Q428"/>
      <c r="R428"/>
      <c r="S428"/>
      <c r="T428"/>
      <c r="U428"/>
      <c r="V428"/>
      <c r="W428"/>
    </row>
    <row r="429" spans="1:23" x14ac:dyDescent="0.4">
      <c r="A429"/>
      <c r="B429"/>
      <c r="C429"/>
      <c r="D429"/>
      <c r="E429"/>
      <c r="F429"/>
      <c r="G429"/>
      <c r="H429"/>
      <c r="I429"/>
      <c r="J429"/>
      <c r="K429"/>
      <c r="L429"/>
      <c r="M429"/>
      <c r="N429"/>
      <c r="O429"/>
      <c r="P429"/>
      <c r="Q429"/>
      <c r="R429"/>
      <c r="S429"/>
      <c r="T429"/>
      <c r="U429"/>
      <c r="V429"/>
      <c r="W429"/>
    </row>
    <row r="430" spans="1:23" x14ac:dyDescent="0.4">
      <c r="A430"/>
      <c r="B430"/>
      <c r="C430"/>
      <c r="D430"/>
      <c r="E430"/>
      <c r="F430"/>
      <c r="G430"/>
      <c r="H430"/>
      <c r="I430"/>
      <c r="J430"/>
      <c r="K430"/>
      <c r="L430"/>
      <c r="M430"/>
      <c r="N430"/>
      <c r="O430"/>
      <c r="P430"/>
      <c r="Q430"/>
      <c r="R430"/>
      <c r="S430"/>
      <c r="T430"/>
      <c r="U430"/>
      <c r="V430"/>
      <c r="W430"/>
    </row>
    <row r="431" spans="1:23" x14ac:dyDescent="0.4">
      <c r="A431"/>
      <c r="B431"/>
      <c r="C431"/>
      <c r="D431"/>
      <c r="E431"/>
      <c r="F431"/>
      <c r="G431"/>
      <c r="H431"/>
      <c r="I431"/>
      <c r="J431"/>
      <c r="K431"/>
      <c r="L431"/>
      <c r="M431"/>
      <c r="N431"/>
      <c r="O431"/>
      <c r="P431"/>
      <c r="Q431"/>
      <c r="R431"/>
      <c r="S431"/>
      <c r="T431"/>
      <c r="U431"/>
      <c r="V431"/>
      <c r="W431"/>
    </row>
    <row r="432" spans="1:23" x14ac:dyDescent="0.4">
      <c r="A432"/>
      <c r="B432"/>
      <c r="C432"/>
      <c r="D432"/>
      <c r="E432"/>
      <c r="F432"/>
      <c r="G432"/>
      <c r="H432"/>
      <c r="I432"/>
      <c r="J432"/>
      <c r="K432"/>
      <c r="L432"/>
      <c r="M432"/>
      <c r="N432"/>
      <c r="O432"/>
      <c r="P432"/>
      <c r="Q432"/>
      <c r="R432"/>
      <c r="S432"/>
      <c r="T432"/>
      <c r="U432"/>
      <c r="V432"/>
      <c r="W432"/>
    </row>
    <row r="433" spans="1:23" x14ac:dyDescent="0.4">
      <c r="A433"/>
      <c r="B433"/>
      <c r="C433"/>
      <c r="D433"/>
      <c r="E433"/>
      <c r="F433"/>
      <c r="G433"/>
      <c r="H433"/>
      <c r="I433"/>
      <c r="J433"/>
      <c r="K433"/>
      <c r="L433"/>
      <c r="M433"/>
      <c r="N433"/>
      <c r="O433"/>
      <c r="P433"/>
      <c r="Q433"/>
      <c r="R433"/>
      <c r="S433"/>
      <c r="T433"/>
      <c r="U433"/>
      <c r="V433"/>
      <c r="W433"/>
    </row>
    <row r="434" spans="1:23" x14ac:dyDescent="0.4">
      <c r="A434"/>
      <c r="B434"/>
      <c r="C434"/>
      <c r="D434"/>
      <c r="E434"/>
      <c r="F434"/>
      <c r="G434"/>
      <c r="H434"/>
      <c r="I434"/>
      <c r="J434"/>
      <c r="K434"/>
      <c r="L434"/>
      <c r="M434"/>
      <c r="N434"/>
      <c r="O434"/>
      <c r="P434"/>
      <c r="Q434"/>
      <c r="R434"/>
      <c r="S434"/>
      <c r="T434"/>
      <c r="U434"/>
      <c r="V434"/>
      <c r="W434"/>
    </row>
    <row r="435" spans="1:23" x14ac:dyDescent="0.4">
      <c r="A435"/>
      <c r="B435"/>
      <c r="C435"/>
      <c r="D435"/>
      <c r="E435"/>
      <c r="F435"/>
      <c r="G435"/>
      <c r="H435"/>
      <c r="I435"/>
      <c r="J435"/>
      <c r="K435"/>
      <c r="L435"/>
      <c r="M435"/>
      <c r="N435"/>
      <c r="O435"/>
      <c r="P435"/>
      <c r="Q435"/>
      <c r="R435"/>
      <c r="S435"/>
      <c r="T435"/>
      <c r="U435"/>
      <c r="V435"/>
      <c r="W435"/>
    </row>
    <row r="436" spans="1:23" x14ac:dyDescent="0.4">
      <c r="A436"/>
      <c r="B436"/>
      <c r="C436"/>
      <c r="D436"/>
      <c r="E436"/>
      <c r="F436"/>
      <c r="G436"/>
      <c r="H436"/>
      <c r="I436"/>
      <c r="J436"/>
      <c r="K436"/>
      <c r="L436"/>
      <c r="M436"/>
      <c r="N436"/>
      <c r="O436"/>
      <c r="P436"/>
      <c r="Q436"/>
      <c r="R436"/>
      <c r="S436"/>
      <c r="T436"/>
      <c r="U436"/>
      <c r="V436"/>
      <c r="W436"/>
    </row>
    <row r="437" spans="1:23" x14ac:dyDescent="0.4">
      <c r="A437"/>
      <c r="B437"/>
      <c r="C437"/>
      <c r="D437"/>
      <c r="E437"/>
      <c r="F437"/>
      <c r="G437"/>
      <c r="H437"/>
      <c r="I437"/>
      <c r="J437"/>
      <c r="K437"/>
      <c r="L437"/>
      <c r="M437"/>
      <c r="N437"/>
      <c r="O437"/>
      <c r="P437"/>
      <c r="Q437"/>
      <c r="R437"/>
      <c r="S437"/>
      <c r="T437"/>
      <c r="U437"/>
      <c r="V437"/>
      <c r="W437"/>
    </row>
    <row r="438" spans="1:23" x14ac:dyDescent="0.4">
      <c r="A438"/>
      <c r="B438"/>
      <c r="C438"/>
      <c r="D438"/>
      <c r="E438"/>
      <c r="F438"/>
      <c r="G438"/>
      <c r="H438"/>
      <c r="I438"/>
      <c r="J438"/>
      <c r="K438"/>
      <c r="L438"/>
      <c r="M438"/>
      <c r="N438"/>
      <c r="O438"/>
      <c r="P438"/>
      <c r="Q438"/>
      <c r="R438"/>
      <c r="S438"/>
      <c r="T438"/>
      <c r="U438"/>
      <c r="V438"/>
      <c r="W438"/>
    </row>
    <row r="439" spans="1:23" x14ac:dyDescent="0.4">
      <c r="A439"/>
      <c r="B439"/>
      <c r="C439"/>
      <c r="D439"/>
      <c r="E439"/>
      <c r="F439"/>
      <c r="G439"/>
      <c r="H439"/>
      <c r="I439"/>
      <c r="J439"/>
      <c r="K439"/>
      <c r="L439"/>
      <c r="M439"/>
      <c r="N439"/>
      <c r="O439"/>
      <c r="P439"/>
      <c r="Q439"/>
      <c r="R439"/>
      <c r="S439"/>
      <c r="T439"/>
      <c r="U439"/>
      <c r="V439"/>
      <c r="W439"/>
    </row>
    <row r="440" spans="1:23" x14ac:dyDescent="0.4">
      <c r="A440"/>
      <c r="B440"/>
      <c r="C440"/>
      <c r="D440"/>
      <c r="E440"/>
      <c r="F440"/>
      <c r="G440"/>
      <c r="H440"/>
      <c r="I440"/>
      <c r="J440"/>
      <c r="K440"/>
      <c r="L440"/>
      <c r="M440"/>
      <c r="N440"/>
      <c r="O440"/>
      <c r="P440"/>
      <c r="Q440"/>
      <c r="R440"/>
      <c r="S440"/>
      <c r="T440"/>
      <c r="U440"/>
      <c r="V440"/>
      <c r="W440"/>
    </row>
    <row r="441" spans="1:23" x14ac:dyDescent="0.4">
      <c r="A441"/>
      <c r="B441"/>
      <c r="C441"/>
      <c r="D441"/>
      <c r="E441"/>
      <c r="F441"/>
      <c r="G441"/>
      <c r="H441"/>
      <c r="I441"/>
      <c r="J441"/>
      <c r="K441"/>
      <c r="L441"/>
      <c r="M441"/>
      <c r="N441"/>
      <c r="O441"/>
      <c r="P441"/>
      <c r="Q441"/>
      <c r="R441"/>
      <c r="S441"/>
      <c r="T441"/>
      <c r="U441"/>
      <c r="V441"/>
      <c r="W441"/>
    </row>
    <row r="442" spans="1:23" x14ac:dyDescent="0.4">
      <c r="A442"/>
      <c r="B442"/>
      <c r="C442"/>
      <c r="D442"/>
      <c r="E442"/>
      <c r="F442"/>
      <c r="G442"/>
      <c r="H442"/>
      <c r="I442"/>
      <c r="J442"/>
      <c r="K442"/>
      <c r="L442"/>
      <c r="M442"/>
      <c r="N442"/>
      <c r="O442"/>
      <c r="P442"/>
      <c r="Q442"/>
      <c r="R442"/>
      <c r="S442"/>
      <c r="T442"/>
      <c r="U442"/>
      <c r="V442"/>
      <c r="W442"/>
    </row>
    <row r="443" spans="1:23" x14ac:dyDescent="0.4">
      <c r="A443"/>
      <c r="B443"/>
      <c r="C443"/>
      <c r="D443"/>
      <c r="E443"/>
      <c r="F443"/>
      <c r="G443"/>
      <c r="H443"/>
      <c r="I443"/>
      <c r="J443"/>
      <c r="K443"/>
      <c r="L443"/>
      <c r="M443"/>
      <c r="N443"/>
      <c r="O443"/>
      <c r="P443"/>
      <c r="Q443"/>
      <c r="R443"/>
      <c r="S443"/>
      <c r="T443"/>
      <c r="U443"/>
      <c r="V443"/>
      <c r="W443"/>
    </row>
    <row r="444" spans="1:23" x14ac:dyDescent="0.4">
      <c r="A444"/>
      <c r="B444"/>
      <c r="C444"/>
      <c r="D444"/>
      <c r="E444"/>
      <c r="F444"/>
      <c r="G444"/>
      <c r="H444"/>
      <c r="I444"/>
      <c r="J444"/>
      <c r="K444"/>
      <c r="L444"/>
      <c r="M444"/>
      <c r="N444"/>
      <c r="O444"/>
      <c r="P444"/>
      <c r="Q444"/>
      <c r="R444"/>
      <c r="S444"/>
      <c r="T444"/>
      <c r="U444"/>
      <c r="V444"/>
      <c r="W444"/>
    </row>
    <row r="445" spans="1:23" x14ac:dyDescent="0.4">
      <c r="A445"/>
      <c r="B445"/>
      <c r="C445"/>
      <c r="D445"/>
      <c r="E445"/>
      <c r="F445"/>
      <c r="G445"/>
      <c r="H445"/>
      <c r="I445"/>
      <c r="J445"/>
      <c r="K445"/>
      <c r="L445"/>
      <c r="M445"/>
      <c r="N445"/>
      <c r="O445"/>
      <c r="P445"/>
      <c r="Q445"/>
      <c r="R445"/>
      <c r="S445"/>
      <c r="T445"/>
      <c r="U445"/>
      <c r="V445"/>
      <c r="W445"/>
    </row>
    <row r="446" spans="1:23" x14ac:dyDescent="0.4">
      <c r="A446"/>
      <c r="B446"/>
      <c r="C446"/>
      <c r="D446"/>
      <c r="E446"/>
      <c r="F446"/>
      <c r="G446"/>
      <c r="H446"/>
      <c r="I446"/>
      <c r="J446"/>
      <c r="K446"/>
      <c r="L446"/>
      <c r="M446"/>
      <c r="N446"/>
      <c r="O446"/>
      <c r="P446"/>
      <c r="Q446"/>
      <c r="R446"/>
      <c r="S446"/>
      <c r="T446"/>
      <c r="U446"/>
      <c r="V446"/>
      <c r="W446"/>
    </row>
    <row r="447" spans="1:23" x14ac:dyDescent="0.4">
      <c r="A447"/>
      <c r="B447"/>
      <c r="C447"/>
      <c r="D447"/>
      <c r="E447"/>
      <c r="F447"/>
      <c r="G447"/>
      <c r="H447"/>
      <c r="I447"/>
      <c r="J447"/>
      <c r="K447"/>
      <c r="L447"/>
      <c r="M447"/>
      <c r="N447"/>
      <c r="O447"/>
      <c r="P447"/>
      <c r="Q447"/>
      <c r="R447"/>
      <c r="S447"/>
      <c r="T447"/>
      <c r="U447"/>
      <c r="V447"/>
      <c r="W447"/>
    </row>
    <row r="448" spans="1:23" x14ac:dyDescent="0.4">
      <c r="A448"/>
      <c r="B448"/>
      <c r="C448"/>
      <c r="D448"/>
      <c r="E448"/>
      <c r="F448"/>
      <c r="G448"/>
      <c r="H448"/>
      <c r="I448"/>
      <c r="J448"/>
      <c r="K448"/>
      <c r="L448"/>
      <c r="M448"/>
      <c r="N448"/>
      <c r="O448"/>
      <c r="P448"/>
      <c r="Q448"/>
      <c r="R448"/>
      <c r="S448"/>
      <c r="T448"/>
      <c r="U448"/>
      <c r="V448"/>
      <c r="W448"/>
    </row>
    <row r="449" spans="1:23" x14ac:dyDescent="0.4">
      <c r="A449"/>
      <c r="B449"/>
      <c r="C449"/>
      <c r="D449"/>
      <c r="E449"/>
      <c r="F449"/>
      <c r="G449"/>
      <c r="H449"/>
      <c r="I449"/>
      <c r="J449"/>
      <c r="K449"/>
      <c r="L449"/>
      <c r="M449"/>
      <c r="N449"/>
      <c r="O449"/>
      <c r="P449"/>
      <c r="Q449"/>
      <c r="R449"/>
      <c r="S449"/>
      <c r="T449"/>
      <c r="U449"/>
      <c r="V449"/>
      <c r="W449"/>
    </row>
    <row r="450" spans="1:23" x14ac:dyDescent="0.4">
      <c r="A450"/>
      <c r="B450"/>
      <c r="C450"/>
      <c r="D450"/>
      <c r="E450"/>
      <c r="F450"/>
      <c r="G450"/>
      <c r="H450"/>
      <c r="I450"/>
      <c r="J450"/>
      <c r="K450"/>
      <c r="L450"/>
      <c r="M450"/>
      <c r="N450"/>
      <c r="O450"/>
      <c r="P450"/>
      <c r="Q450"/>
      <c r="R450"/>
      <c r="S450"/>
      <c r="T450"/>
      <c r="U450"/>
      <c r="V450"/>
      <c r="W450"/>
    </row>
    <row r="451" spans="1:23" x14ac:dyDescent="0.4">
      <c r="A451"/>
      <c r="B451"/>
      <c r="C451"/>
      <c r="D451"/>
      <c r="E451"/>
      <c r="F451"/>
      <c r="G451"/>
      <c r="H451"/>
      <c r="I451"/>
      <c r="J451"/>
      <c r="K451"/>
      <c r="L451"/>
      <c r="M451"/>
      <c r="N451"/>
      <c r="O451"/>
      <c r="P451"/>
      <c r="Q451"/>
      <c r="R451"/>
      <c r="S451"/>
      <c r="T451"/>
      <c r="U451"/>
      <c r="V451"/>
      <c r="W451"/>
    </row>
    <row r="452" spans="1:23" x14ac:dyDescent="0.4">
      <c r="A452"/>
      <c r="B452"/>
      <c r="C452"/>
      <c r="D452"/>
      <c r="E452"/>
      <c r="F452"/>
      <c r="G452"/>
      <c r="H452"/>
      <c r="I452"/>
      <c r="J452"/>
      <c r="K452"/>
      <c r="L452"/>
      <c r="M452"/>
      <c r="N452"/>
      <c r="O452"/>
      <c r="P452"/>
      <c r="Q452"/>
      <c r="R452"/>
      <c r="S452"/>
      <c r="T452"/>
      <c r="U452"/>
      <c r="V452"/>
      <c r="W452"/>
    </row>
    <row r="453" spans="1:23" x14ac:dyDescent="0.4">
      <c r="A453"/>
      <c r="B453"/>
      <c r="C453"/>
      <c r="D453"/>
      <c r="E453"/>
      <c r="F453"/>
      <c r="G453"/>
      <c r="H453"/>
      <c r="I453"/>
      <c r="J453"/>
      <c r="K453"/>
      <c r="L453"/>
      <c r="M453"/>
      <c r="N453"/>
      <c r="O453"/>
      <c r="P453"/>
      <c r="Q453"/>
      <c r="R453"/>
      <c r="S453"/>
      <c r="T453"/>
      <c r="U453"/>
      <c r="V453"/>
      <c r="W453"/>
    </row>
    <row r="454" spans="1:23" x14ac:dyDescent="0.4">
      <c r="A454"/>
      <c r="B454"/>
      <c r="C454"/>
      <c r="D454"/>
      <c r="E454"/>
      <c r="F454"/>
      <c r="G454"/>
      <c r="H454"/>
      <c r="I454"/>
      <c r="J454"/>
      <c r="K454"/>
      <c r="L454"/>
      <c r="M454"/>
      <c r="N454"/>
      <c r="O454"/>
      <c r="P454"/>
      <c r="Q454"/>
      <c r="R454"/>
      <c r="S454"/>
      <c r="T454"/>
      <c r="U454"/>
      <c r="V454"/>
      <c r="W454"/>
    </row>
    <row r="455" spans="1:23" x14ac:dyDescent="0.4">
      <c r="A455"/>
      <c r="B455"/>
      <c r="C455"/>
      <c r="D455"/>
      <c r="E455"/>
      <c r="F455"/>
      <c r="G455"/>
      <c r="H455"/>
      <c r="I455"/>
      <c r="J455"/>
      <c r="K455"/>
      <c r="L455"/>
      <c r="M455"/>
      <c r="N455"/>
      <c r="O455"/>
      <c r="P455"/>
      <c r="Q455"/>
      <c r="R455"/>
      <c r="S455"/>
      <c r="T455"/>
      <c r="U455"/>
      <c r="V455"/>
      <c r="W455"/>
    </row>
    <row r="456" spans="1:23" x14ac:dyDescent="0.4">
      <c r="A456"/>
      <c r="B456"/>
      <c r="C456"/>
      <c r="D456"/>
      <c r="E456"/>
      <c r="F456"/>
      <c r="G456"/>
      <c r="H456"/>
      <c r="I456"/>
      <c r="J456"/>
      <c r="K456"/>
      <c r="L456"/>
      <c r="M456"/>
      <c r="N456"/>
      <c r="O456"/>
      <c r="P456"/>
      <c r="Q456"/>
      <c r="R456"/>
      <c r="S456"/>
      <c r="T456"/>
      <c r="U456"/>
      <c r="V456"/>
      <c r="W456"/>
    </row>
    <row r="457" spans="1:23" x14ac:dyDescent="0.4">
      <c r="A457"/>
      <c r="B457"/>
      <c r="C457"/>
      <c r="D457"/>
      <c r="E457"/>
      <c r="F457"/>
      <c r="G457"/>
      <c r="H457"/>
      <c r="I457"/>
      <c r="J457"/>
      <c r="K457"/>
      <c r="L457"/>
      <c r="M457"/>
      <c r="N457"/>
      <c r="O457"/>
      <c r="P457"/>
      <c r="Q457"/>
      <c r="R457"/>
      <c r="S457"/>
      <c r="T457"/>
      <c r="U457"/>
      <c r="V457"/>
      <c r="W457"/>
    </row>
    <row r="458" spans="1:23" x14ac:dyDescent="0.4">
      <c r="A458"/>
      <c r="B458"/>
      <c r="C458"/>
      <c r="D458"/>
      <c r="E458"/>
      <c r="F458"/>
      <c r="G458"/>
      <c r="H458"/>
      <c r="I458"/>
      <c r="J458"/>
      <c r="K458"/>
      <c r="L458"/>
      <c r="M458"/>
      <c r="N458"/>
      <c r="O458"/>
      <c r="P458"/>
      <c r="Q458"/>
      <c r="R458"/>
      <c r="S458"/>
      <c r="T458"/>
      <c r="U458"/>
      <c r="V458"/>
      <c r="W458"/>
    </row>
    <row r="459" spans="1:23" x14ac:dyDescent="0.4">
      <c r="A459"/>
      <c r="B459"/>
      <c r="C459"/>
      <c r="D459"/>
      <c r="E459"/>
      <c r="F459"/>
      <c r="G459"/>
      <c r="H459"/>
      <c r="I459"/>
      <c r="J459"/>
      <c r="K459"/>
      <c r="L459"/>
      <c r="M459"/>
      <c r="N459"/>
      <c r="O459"/>
      <c r="P459"/>
      <c r="Q459"/>
      <c r="R459"/>
      <c r="S459"/>
      <c r="T459"/>
      <c r="U459"/>
      <c r="V459"/>
      <c r="W459"/>
    </row>
    <row r="460" spans="1:23" x14ac:dyDescent="0.4">
      <c r="A460"/>
      <c r="B460"/>
      <c r="C460"/>
      <c r="D460"/>
      <c r="E460"/>
      <c r="F460"/>
      <c r="G460"/>
      <c r="H460"/>
      <c r="I460"/>
      <c r="J460"/>
      <c r="K460"/>
      <c r="L460"/>
      <c r="M460"/>
      <c r="N460"/>
      <c r="O460"/>
      <c r="P460"/>
      <c r="Q460"/>
      <c r="R460"/>
      <c r="S460"/>
      <c r="T460"/>
      <c r="U460"/>
      <c r="V460"/>
      <c r="W460"/>
    </row>
    <row r="461" spans="1:23" x14ac:dyDescent="0.4">
      <c r="A461"/>
      <c r="B461"/>
      <c r="C461"/>
      <c r="D461"/>
      <c r="E461"/>
      <c r="F461"/>
      <c r="G461"/>
      <c r="H461"/>
      <c r="I461"/>
      <c r="J461"/>
      <c r="K461"/>
      <c r="L461"/>
      <c r="M461"/>
      <c r="N461"/>
      <c r="O461"/>
      <c r="P461"/>
      <c r="Q461"/>
      <c r="R461"/>
      <c r="S461"/>
      <c r="T461"/>
      <c r="U461"/>
      <c r="V461"/>
      <c r="W461"/>
    </row>
    <row r="462" spans="1:23" x14ac:dyDescent="0.4">
      <c r="A462"/>
      <c r="B462"/>
      <c r="C462"/>
      <c r="D462"/>
      <c r="E462"/>
      <c r="F462"/>
      <c r="G462"/>
      <c r="H462"/>
      <c r="I462"/>
      <c r="J462"/>
      <c r="K462"/>
      <c r="L462"/>
      <c r="M462"/>
      <c r="N462"/>
      <c r="O462"/>
      <c r="P462"/>
      <c r="Q462"/>
      <c r="R462"/>
      <c r="S462"/>
      <c r="T462"/>
      <c r="U462"/>
      <c r="V462"/>
      <c r="W462"/>
    </row>
    <row r="463" spans="1:23" x14ac:dyDescent="0.4">
      <c r="A463"/>
      <c r="B463"/>
      <c r="C463"/>
      <c r="D463"/>
      <c r="E463"/>
      <c r="F463"/>
      <c r="G463"/>
      <c r="H463"/>
      <c r="I463"/>
      <c r="J463"/>
      <c r="K463"/>
      <c r="L463"/>
      <c r="M463"/>
      <c r="N463"/>
      <c r="O463"/>
      <c r="P463"/>
      <c r="Q463"/>
      <c r="R463"/>
      <c r="S463"/>
      <c r="T463"/>
      <c r="U463"/>
      <c r="V463"/>
      <c r="W463"/>
    </row>
    <row r="464" spans="1:23" x14ac:dyDescent="0.4">
      <c r="A464"/>
      <c r="B464"/>
      <c r="C464"/>
      <c r="D464"/>
      <c r="E464"/>
      <c r="F464"/>
      <c r="G464"/>
      <c r="H464"/>
      <c r="I464"/>
      <c r="J464"/>
      <c r="K464"/>
      <c r="L464"/>
      <c r="M464"/>
      <c r="N464"/>
      <c r="O464"/>
      <c r="P464"/>
      <c r="Q464"/>
      <c r="R464"/>
      <c r="S464"/>
      <c r="T464"/>
      <c r="U464"/>
      <c r="V464"/>
      <c r="W464"/>
    </row>
    <row r="465" spans="1:23" x14ac:dyDescent="0.4">
      <c r="A465"/>
      <c r="B465"/>
      <c r="C465"/>
      <c r="D465"/>
      <c r="E465"/>
      <c r="F465"/>
      <c r="G465"/>
      <c r="H465"/>
      <c r="I465"/>
      <c r="J465"/>
      <c r="K465"/>
      <c r="L465"/>
      <c r="M465"/>
      <c r="N465"/>
      <c r="O465"/>
      <c r="P465"/>
      <c r="Q465"/>
      <c r="R465"/>
      <c r="S465"/>
      <c r="T465"/>
      <c r="U465"/>
      <c r="V465"/>
      <c r="W465"/>
    </row>
    <row r="466" spans="1:23" x14ac:dyDescent="0.4">
      <c r="A466"/>
      <c r="B466"/>
      <c r="C466"/>
      <c r="D466"/>
      <c r="E466"/>
      <c r="F466"/>
      <c r="G466"/>
      <c r="H466"/>
      <c r="I466"/>
      <c r="J466"/>
      <c r="K466"/>
      <c r="L466"/>
      <c r="M466"/>
      <c r="N466"/>
      <c r="O466"/>
      <c r="P466"/>
      <c r="Q466"/>
      <c r="R466"/>
      <c r="S466"/>
      <c r="T466"/>
      <c r="U466"/>
      <c r="V466"/>
      <c r="W466"/>
    </row>
    <row r="467" spans="1:23" x14ac:dyDescent="0.4">
      <c r="A467"/>
      <c r="B467"/>
      <c r="C467"/>
      <c r="D467"/>
      <c r="E467"/>
      <c r="F467"/>
      <c r="G467"/>
      <c r="H467"/>
      <c r="I467"/>
      <c r="J467"/>
      <c r="K467"/>
      <c r="L467"/>
      <c r="M467"/>
      <c r="N467"/>
      <c r="O467"/>
      <c r="P467"/>
      <c r="Q467"/>
      <c r="R467"/>
      <c r="S467"/>
      <c r="T467"/>
      <c r="U467"/>
      <c r="V467"/>
      <c r="W467"/>
    </row>
    <row r="468" spans="1:23" x14ac:dyDescent="0.4">
      <c r="A468"/>
      <c r="B468"/>
      <c r="C468"/>
      <c r="D468"/>
      <c r="E468"/>
      <c r="F468"/>
      <c r="G468"/>
      <c r="H468"/>
      <c r="I468"/>
      <c r="J468"/>
      <c r="K468"/>
      <c r="L468"/>
      <c r="M468"/>
      <c r="N468"/>
      <c r="O468"/>
      <c r="P468"/>
      <c r="Q468"/>
      <c r="R468"/>
      <c r="S468"/>
      <c r="T468"/>
      <c r="U468"/>
      <c r="V468"/>
      <c r="W468"/>
    </row>
    <row r="469" spans="1:23" x14ac:dyDescent="0.4">
      <c r="A469"/>
      <c r="B469"/>
      <c r="C469"/>
      <c r="D469"/>
      <c r="E469"/>
      <c r="F469"/>
      <c r="G469"/>
      <c r="H469"/>
      <c r="I469"/>
      <c r="J469"/>
      <c r="K469"/>
      <c r="L469"/>
      <c r="M469"/>
      <c r="N469"/>
      <c r="O469"/>
      <c r="P469"/>
      <c r="Q469"/>
      <c r="R469"/>
      <c r="S469"/>
      <c r="T469"/>
      <c r="U469"/>
      <c r="V469"/>
      <c r="W469"/>
    </row>
    <row r="470" spans="1:23" x14ac:dyDescent="0.4">
      <c r="A470"/>
      <c r="B470"/>
      <c r="C470"/>
      <c r="D470"/>
      <c r="E470"/>
      <c r="F470"/>
      <c r="G470"/>
      <c r="H470"/>
      <c r="I470"/>
      <c r="J470"/>
      <c r="K470"/>
      <c r="L470"/>
      <c r="M470"/>
      <c r="N470"/>
      <c r="O470"/>
      <c r="P470"/>
      <c r="Q470"/>
      <c r="R470"/>
      <c r="S470"/>
      <c r="T470"/>
      <c r="U470"/>
      <c r="V470"/>
      <c r="W470"/>
    </row>
    <row r="471" spans="1:23" x14ac:dyDescent="0.4">
      <c r="A471"/>
      <c r="B471"/>
      <c r="C471"/>
      <c r="D471"/>
      <c r="E471"/>
      <c r="F471"/>
      <c r="G471"/>
      <c r="H471"/>
      <c r="I471"/>
      <c r="J471"/>
      <c r="K471"/>
      <c r="L471"/>
      <c r="M471"/>
      <c r="N471"/>
      <c r="O471"/>
      <c r="P471"/>
      <c r="Q471"/>
      <c r="R471"/>
      <c r="S471"/>
      <c r="T471"/>
      <c r="U471"/>
      <c r="V471"/>
      <c r="W471"/>
    </row>
    <row r="472" spans="1:23" x14ac:dyDescent="0.4">
      <c r="A472"/>
      <c r="B472"/>
      <c r="C472"/>
      <c r="D472"/>
      <c r="E472"/>
      <c r="F472"/>
      <c r="G472"/>
      <c r="H472"/>
      <c r="I472"/>
      <c r="J472"/>
      <c r="K472"/>
      <c r="L472"/>
      <c r="M472"/>
      <c r="N472"/>
      <c r="O472"/>
      <c r="P472"/>
      <c r="Q472"/>
      <c r="R472"/>
      <c r="S472"/>
      <c r="T472"/>
      <c r="U472"/>
      <c r="V472"/>
      <c r="W472"/>
    </row>
    <row r="473" spans="1:23" x14ac:dyDescent="0.4">
      <c r="A473"/>
      <c r="B473"/>
      <c r="C473"/>
      <c r="D473"/>
      <c r="E473"/>
      <c r="F473"/>
      <c r="G473"/>
      <c r="H473"/>
      <c r="I473"/>
      <c r="J473"/>
      <c r="K473"/>
      <c r="L473"/>
      <c r="M473"/>
      <c r="N473"/>
      <c r="O473"/>
      <c r="P473"/>
      <c r="Q473"/>
      <c r="R473"/>
      <c r="S473"/>
      <c r="T473"/>
      <c r="U473"/>
      <c r="V473"/>
      <c r="W473"/>
    </row>
    <row r="474" spans="1:23" x14ac:dyDescent="0.4">
      <c r="A474"/>
      <c r="B474"/>
      <c r="C474"/>
      <c r="D474"/>
      <c r="E474"/>
      <c r="F474"/>
      <c r="G474"/>
      <c r="H474"/>
      <c r="I474"/>
      <c r="J474"/>
      <c r="K474"/>
      <c r="L474"/>
      <c r="M474"/>
      <c r="N474"/>
      <c r="O474"/>
      <c r="P474"/>
      <c r="Q474"/>
      <c r="R474"/>
      <c r="S474"/>
      <c r="T474"/>
      <c r="U474"/>
      <c r="V474"/>
      <c r="W474"/>
    </row>
    <row r="475" spans="1:23" x14ac:dyDescent="0.4">
      <c r="A475"/>
      <c r="B475"/>
      <c r="C475"/>
      <c r="D475"/>
      <c r="E475"/>
      <c r="F475"/>
      <c r="G475"/>
      <c r="H475"/>
      <c r="I475"/>
      <c r="J475"/>
      <c r="K475"/>
      <c r="L475"/>
      <c r="M475"/>
      <c r="N475"/>
      <c r="O475"/>
      <c r="P475"/>
      <c r="Q475"/>
      <c r="R475"/>
      <c r="S475"/>
      <c r="T475"/>
      <c r="U475"/>
      <c r="V475"/>
      <c r="W475"/>
    </row>
    <row r="476" spans="1:23" x14ac:dyDescent="0.4">
      <c r="A476"/>
      <c r="B476"/>
      <c r="C476"/>
      <c r="D476"/>
      <c r="E476"/>
      <c r="F476"/>
      <c r="G476"/>
      <c r="H476"/>
      <c r="I476"/>
      <c r="J476"/>
      <c r="K476"/>
      <c r="L476"/>
      <c r="M476"/>
      <c r="N476"/>
      <c r="O476"/>
      <c r="P476"/>
      <c r="Q476"/>
      <c r="R476"/>
      <c r="S476"/>
      <c r="T476"/>
      <c r="U476"/>
      <c r="V476"/>
      <c r="W476"/>
    </row>
    <row r="477" spans="1:23" x14ac:dyDescent="0.4">
      <c r="A477"/>
      <c r="B477"/>
      <c r="C477"/>
      <c r="D477"/>
      <c r="E477"/>
      <c r="F477"/>
      <c r="G477"/>
      <c r="H477"/>
      <c r="I477"/>
      <c r="J477"/>
      <c r="K477"/>
      <c r="L477"/>
      <c r="M477"/>
      <c r="N477"/>
      <c r="O477"/>
      <c r="P477"/>
      <c r="Q477"/>
      <c r="R477"/>
      <c r="S477"/>
      <c r="T477"/>
      <c r="U477"/>
      <c r="V477"/>
      <c r="W477"/>
    </row>
    <row r="478" spans="1:23" x14ac:dyDescent="0.4">
      <c r="A478"/>
      <c r="B478"/>
      <c r="C478"/>
      <c r="D478"/>
      <c r="E478"/>
      <c r="F478"/>
      <c r="G478"/>
      <c r="H478"/>
      <c r="I478"/>
      <c r="J478"/>
      <c r="K478"/>
      <c r="L478"/>
      <c r="M478"/>
      <c r="N478"/>
      <c r="O478"/>
      <c r="P478"/>
      <c r="Q478"/>
      <c r="R478"/>
      <c r="S478"/>
      <c r="T478"/>
      <c r="U478"/>
      <c r="V478"/>
      <c r="W478"/>
    </row>
    <row r="479" spans="1:23" x14ac:dyDescent="0.4">
      <c r="A479"/>
      <c r="B479"/>
      <c r="C479"/>
      <c r="D479"/>
      <c r="E479"/>
      <c r="F479"/>
      <c r="G479"/>
      <c r="H479"/>
      <c r="I479"/>
      <c r="J479"/>
      <c r="K479"/>
      <c r="L479"/>
      <c r="M479"/>
      <c r="N479"/>
      <c r="O479"/>
      <c r="P479"/>
      <c r="Q479"/>
      <c r="R479"/>
      <c r="S479"/>
      <c r="T479"/>
      <c r="U479"/>
      <c r="V479"/>
      <c r="W479"/>
    </row>
    <row r="480" spans="1:23" x14ac:dyDescent="0.4">
      <c r="A480"/>
      <c r="B480"/>
      <c r="C480"/>
      <c r="D480"/>
      <c r="E480"/>
      <c r="F480"/>
      <c r="G480"/>
      <c r="H480"/>
      <c r="I480"/>
      <c r="J480"/>
      <c r="K480"/>
      <c r="L480"/>
      <c r="M480"/>
      <c r="N480"/>
      <c r="O480"/>
      <c r="P480"/>
      <c r="Q480"/>
      <c r="R480"/>
      <c r="S480"/>
      <c r="T480"/>
      <c r="U480"/>
      <c r="V480"/>
      <c r="W480"/>
    </row>
    <row r="481" spans="1:23" x14ac:dyDescent="0.4">
      <c r="A481"/>
      <c r="B481"/>
      <c r="C481"/>
      <c r="D481"/>
      <c r="E481"/>
      <c r="F481"/>
      <c r="G481"/>
      <c r="H481"/>
      <c r="I481"/>
      <c r="J481"/>
      <c r="K481"/>
      <c r="L481"/>
      <c r="M481"/>
      <c r="N481"/>
      <c r="O481"/>
      <c r="P481"/>
      <c r="Q481"/>
      <c r="R481"/>
      <c r="S481"/>
      <c r="T481"/>
      <c r="U481"/>
      <c r="V481"/>
      <c r="W481"/>
    </row>
    <row r="482" spans="1:23" x14ac:dyDescent="0.4">
      <c r="A482"/>
      <c r="B482"/>
      <c r="C482"/>
      <c r="D482"/>
      <c r="E482"/>
      <c r="F482"/>
      <c r="G482"/>
      <c r="H482"/>
      <c r="I482"/>
      <c r="J482"/>
      <c r="K482"/>
      <c r="L482"/>
      <c r="M482"/>
      <c r="N482"/>
      <c r="O482"/>
      <c r="P482"/>
      <c r="Q482"/>
      <c r="R482"/>
      <c r="S482"/>
      <c r="T482"/>
      <c r="U482"/>
      <c r="V482"/>
      <c r="W482"/>
    </row>
    <row r="483" spans="1:23" x14ac:dyDescent="0.4">
      <c r="A483"/>
      <c r="B483"/>
      <c r="C483"/>
      <c r="D483"/>
      <c r="E483"/>
      <c r="F483"/>
      <c r="G483"/>
      <c r="H483"/>
      <c r="I483"/>
      <c r="J483"/>
      <c r="K483"/>
      <c r="L483"/>
      <c r="M483"/>
      <c r="N483"/>
      <c r="O483"/>
      <c r="P483"/>
      <c r="Q483"/>
      <c r="R483"/>
      <c r="S483"/>
      <c r="T483"/>
      <c r="U483"/>
      <c r="V483"/>
      <c r="W483"/>
    </row>
    <row r="484" spans="1:23" x14ac:dyDescent="0.4">
      <c r="A484"/>
      <c r="B484"/>
      <c r="C484"/>
      <c r="D484"/>
      <c r="E484"/>
      <c r="F484"/>
      <c r="G484"/>
      <c r="H484"/>
      <c r="I484"/>
      <c r="J484"/>
      <c r="K484"/>
      <c r="L484"/>
      <c r="M484"/>
      <c r="N484"/>
      <c r="O484"/>
      <c r="P484"/>
      <c r="Q484"/>
      <c r="R484"/>
      <c r="S484"/>
      <c r="T484"/>
      <c r="U484"/>
      <c r="V484"/>
      <c r="W484"/>
    </row>
    <row r="485" spans="1:23" x14ac:dyDescent="0.4">
      <c r="A485"/>
      <c r="B485"/>
      <c r="C485"/>
      <c r="D485"/>
      <c r="E485"/>
      <c r="F485"/>
      <c r="G485"/>
      <c r="H485"/>
      <c r="I485"/>
      <c r="J485"/>
      <c r="K485"/>
      <c r="L485"/>
      <c r="M485"/>
      <c r="N485"/>
      <c r="O485"/>
      <c r="P485"/>
      <c r="Q485"/>
      <c r="R485"/>
      <c r="S485"/>
      <c r="T485"/>
      <c r="U485"/>
      <c r="V485"/>
      <c r="W485"/>
    </row>
    <row r="486" spans="1:23" x14ac:dyDescent="0.4">
      <c r="A486"/>
      <c r="B486"/>
      <c r="C486"/>
      <c r="D486"/>
      <c r="E486"/>
      <c r="F486"/>
      <c r="G486"/>
      <c r="H486"/>
      <c r="I486"/>
      <c r="J486"/>
      <c r="K486"/>
      <c r="L486"/>
      <c r="M486"/>
      <c r="N486"/>
      <c r="O486"/>
      <c r="P486"/>
      <c r="Q486"/>
      <c r="R486"/>
      <c r="S486"/>
      <c r="T486"/>
      <c r="U486"/>
      <c r="V486"/>
      <c r="W486"/>
    </row>
    <row r="487" spans="1:23" x14ac:dyDescent="0.4">
      <c r="A487"/>
      <c r="B487"/>
      <c r="C487"/>
      <c r="D487"/>
      <c r="E487"/>
      <c r="F487"/>
      <c r="G487"/>
      <c r="H487"/>
      <c r="I487"/>
      <c r="J487"/>
      <c r="K487"/>
      <c r="L487"/>
      <c r="M487"/>
      <c r="N487"/>
      <c r="O487"/>
      <c r="P487"/>
      <c r="Q487"/>
      <c r="R487"/>
      <c r="S487"/>
      <c r="T487"/>
      <c r="U487"/>
      <c r="V487"/>
      <c r="W487"/>
    </row>
    <row r="488" spans="1:23" x14ac:dyDescent="0.4">
      <c r="A488"/>
      <c r="B488"/>
      <c r="C488"/>
      <c r="D488"/>
      <c r="E488"/>
      <c r="F488"/>
      <c r="G488"/>
      <c r="H488"/>
      <c r="I488"/>
      <c r="J488"/>
      <c r="K488"/>
      <c r="L488"/>
      <c r="M488"/>
      <c r="N488"/>
      <c r="O488"/>
      <c r="P488"/>
      <c r="Q488"/>
      <c r="R488"/>
      <c r="S488"/>
      <c r="T488"/>
      <c r="U488"/>
      <c r="V488"/>
      <c r="W488"/>
    </row>
    <row r="489" spans="1:23" x14ac:dyDescent="0.4">
      <c r="A489"/>
      <c r="B489"/>
      <c r="C489"/>
      <c r="D489"/>
      <c r="E489"/>
      <c r="F489"/>
      <c r="G489"/>
      <c r="H489"/>
      <c r="I489"/>
      <c r="J489"/>
      <c r="K489"/>
      <c r="L489"/>
      <c r="M489"/>
      <c r="N489"/>
      <c r="O489"/>
      <c r="P489"/>
      <c r="Q489"/>
      <c r="R489"/>
      <c r="S489"/>
      <c r="T489"/>
      <c r="U489"/>
      <c r="V489"/>
      <c r="W489"/>
    </row>
    <row r="490" spans="1:23" x14ac:dyDescent="0.4">
      <c r="A490"/>
      <c r="B490"/>
      <c r="C490"/>
      <c r="D490"/>
      <c r="E490"/>
      <c r="F490"/>
      <c r="G490"/>
      <c r="H490"/>
      <c r="I490"/>
      <c r="J490"/>
      <c r="K490"/>
      <c r="L490"/>
      <c r="M490"/>
      <c r="N490"/>
      <c r="O490"/>
      <c r="P490"/>
      <c r="Q490"/>
      <c r="R490"/>
      <c r="S490"/>
      <c r="T490"/>
      <c r="U490"/>
      <c r="V490"/>
      <c r="W490"/>
    </row>
    <row r="491" spans="1:23" x14ac:dyDescent="0.4">
      <c r="A491"/>
      <c r="B491"/>
      <c r="C491"/>
      <c r="D491"/>
      <c r="E491"/>
      <c r="F491"/>
      <c r="G491"/>
      <c r="H491"/>
      <c r="I491"/>
      <c r="J491"/>
      <c r="K491"/>
      <c r="L491"/>
      <c r="M491"/>
      <c r="N491"/>
      <c r="O491"/>
      <c r="P491"/>
      <c r="Q491"/>
      <c r="R491"/>
      <c r="S491"/>
      <c r="T491"/>
      <c r="U491"/>
      <c r="V491"/>
      <c r="W491"/>
    </row>
    <row r="492" spans="1:23" x14ac:dyDescent="0.4">
      <c r="A492"/>
      <c r="B492"/>
      <c r="C492"/>
      <c r="D492"/>
      <c r="E492"/>
      <c r="F492"/>
      <c r="G492"/>
      <c r="H492"/>
      <c r="I492"/>
      <c r="J492"/>
      <c r="K492"/>
      <c r="L492"/>
      <c r="M492"/>
      <c r="N492"/>
      <c r="O492"/>
      <c r="P492"/>
      <c r="Q492"/>
      <c r="R492"/>
      <c r="S492"/>
      <c r="T492"/>
      <c r="U492"/>
      <c r="V492"/>
      <c r="W492"/>
    </row>
    <row r="493" spans="1:23" x14ac:dyDescent="0.4">
      <c r="A493"/>
      <c r="B493"/>
      <c r="C493"/>
      <c r="D493"/>
      <c r="E493"/>
      <c r="F493"/>
      <c r="G493"/>
      <c r="H493"/>
      <c r="I493"/>
      <c r="J493"/>
      <c r="K493"/>
      <c r="L493"/>
      <c r="M493"/>
      <c r="N493"/>
      <c r="O493"/>
      <c r="P493"/>
      <c r="Q493"/>
      <c r="R493"/>
      <c r="S493"/>
      <c r="T493"/>
      <c r="U493"/>
      <c r="V493"/>
      <c r="W493"/>
    </row>
    <row r="494" spans="1:23" x14ac:dyDescent="0.4">
      <c r="A494"/>
      <c r="B494"/>
      <c r="C494"/>
      <c r="D494"/>
      <c r="E494"/>
      <c r="F494"/>
      <c r="G494"/>
      <c r="H494"/>
      <c r="I494"/>
      <c r="J494"/>
      <c r="K494"/>
      <c r="L494"/>
      <c r="M494"/>
      <c r="N494"/>
      <c r="O494"/>
      <c r="P494"/>
      <c r="Q494"/>
      <c r="R494"/>
      <c r="S494"/>
      <c r="T494"/>
      <c r="U494"/>
      <c r="V494"/>
      <c r="W494"/>
    </row>
    <row r="495" spans="1:23" x14ac:dyDescent="0.4">
      <c r="A495"/>
      <c r="B495"/>
      <c r="C495"/>
      <c r="D495"/>
      <c r="E495"/>
      <c r="F495"/>
      <c r="G495"/>
      <c r="H495"/>
      <c r="I495"/>
      <c r="J495"/>
      <c r="K495"/>
      <c r="L495"/>
      <c r="M495"/>
      <c r="N495"/>
      <c r="O495"/>
      <c r="P495"/>
      <c r="Q495"/>
      <c r="R495"/>
      <c r="S495"/>
      <c r="T495"/>
      <c r="U495"/>
      <c r="V495"/>
      <c r="W495"/>
    </row>
    <row r="496" spans="1:23" x14ac:dyDescent="0.4">
      <c r="A496"/>
      <c r="B496"/>
      <c r="C496"/>
      <c r="D496"/>
      <c r="E496"/>
      <c r="F496"/>
      <c r="G496"/>
      <c r="H496"/>
      <c r="I496"/>
      <c r="J496"/>
      <c r="K496"/>
      <c r="L496"/>
      <c r="M496"/>
      <c r="N496"/>
      <c r="O496"/>
      <c r="P496"/>
      <c r="Q496"/>
      <c r="R496"/>
      <c r="S496"/>
      <c r="T496"/>
      <c r="U496"/>
      <c r="V496"/>
      <c r="W496"/>
    </row>
    <row r="497" spans="1:23" x14ac:dyDescent="0.4">
      <c r="A497"/>
      <c r="B497"/>
      <c r="C497"/>
      <c r="D497"/>
      <c r="E497"/>
      <c r="F497"/>
      <c r="G497"/>
      <c r="H497"/>
      <c r="I497"/>
      <c r="J497"/>
      <c r="K497"/>
      <c r="L497"/>
      <c r="M497"/>
      <c r="N497"/>
      <c r="O497"/>
      <c r="P497"/>
      <c r="Q497"/>
      <c r="R497"/>
      <c r="S497"/>
      <c r="T497"/>
      <c r="U497"/>
      <c r="V497"/>
      <c r="W497"/>
    </row>
    <row r="498" spans="1:23" x14ac:dyDescent="0.4">
      <c r="A498"/>
      <c r="B498"/>
      <c r="C498"/>
      <c r="D498"/>
      <c r="E498"/>
      <c r="F498"/>
      <c r="G498"/>
      <c r="H498"/>
      <c r="I498"/>
      <c r="J498"/>
      <c r="K498"/>
      <c r="L498"/>
      <c r="M498"/>
      <c r="N498"/>
      <c r="O498"/>
      <c r="P498"/>
      <c r="Q498"/>
      <c r="R498"/>
      <c r="S498"/>
      <c r="T498"/>
      <c r="U498"/>
      <c r="V498"/>
      <c r="W498"/>
    </row>
    <row r="499" spans="1:23" x14ac:dyDescent="0.4">
      <c r="A499"/>
      <c r="B499"/>
      <c r="C499"/>
      <c r="D499"/>
      <c r="E499"/>
      <c r="F499"/>
      <c r="G499"/>
      <c r="H499"/>
      <c r="I499"/>
      <c r="J499"/>
      <c r="K499"/>
      <c r="L499"/>
      <c r="M499"/>
      <c r="N499"/>
      <c r="O499"/>
      <c r="P499"/>
      <c r="Q499"/>
      <c r="R499"/>
      <c r="S499"/>
      <c r="T499"/>
      <c r="U499"/>
      <c r="V499"/>
      <c r="W499"/>
    </row>
    <row r="500" spans="1:23" x14ac:dyDescent="0.4">
      <c r="A500"/>
      <c r="B500"/>
      <c r="C500"/>
      <c r="D500"/>
      <c r="E500"/>
      <c r="F500"/>
      <c r="G500"/>
      <c r="H500"/>
      <c r="I500"/>
      <c r="J500"/>
      <c r="K500"/>
      <c r="L500"/>
      <c r="M500"/>
      <c r="N500"/>
      <c r="O500"/>
      <c r="P500"/>
      <c r="Q500"/>
      <c r="R500"/>
      <c r="S500"/>
      <c r="T500"/>
      <c r="U500"/>
      <c r="V500"/>
      <c r="W500"/>
    </row>
    <row r="501" spans="1:23" x14ac:dyDescent="0.4">
      <c r="A501"/>
      <c r="B501"/>
      <c r="C501"/>
      <c r="D501"/>
      <c r="E501"/>
      <c r="F501"/>
      <c r="G501"/>
      <c r="H501"/>
      <c r="I501"/>
      <c r="J501"/>
      <c r="K501"/>
      <c r="L501"/>
      <c r="M501"/>
      <c r="N501"/>
      <c r="O501"/>
      <c r="P501"/>
      <c r="Q501"/>
      <c r="R501"/>
      <c r="S501"/>
      <c r="T501"/>
      <c r="U501"/>
      <c r="V501"/>
      <c r="W501"/>
    </row>
    <row r="502" spans="1:23" x14ac:dyDescent="0.4">
      <c r="A502"/>
      <c r="B502"/>
      <c r="C502"/>
      <c r="D502"/>
      <c r="E502"/>
      <c r="F502"/>
      <c r="G502"/>
      <c r="H502"/>
      <c r="I502"/>
      <c r="J502"/>
      <c r="K502"/>
      <c r="L502"/>
      <c r="M502"/>
      <c r="N502"/>
      <c r="O502"/>
      <c r="P502"/>
      <c r="Q502"/>
      <c r="R502"/>
      <c r="S502"/>
      <c r="T502"/>
      <c r="U502"/>
      <c r="V502"/>
      <c r="W502"/>
    </row>
    <row r="503" spans="1:23" x14ac:dyDescent="0.4">
      <c r="A503"/>
      <c r="B503"/>
      <c r="C503"/>
      <c r="D503"/>
      <c r="E503"/>
      <c r="F503"/>
      <c r="G503"/>
      <c r="H503"/>
      <c r="I503"/>
      <c r="J503"/>
      <c r="K503"/>
      <c r="L503"/>
      <c r="M503"/>
      <c r="N503"/>
      <c r="O503"/>
      <c r="P503"/>
      <c r="Q503"/>
      <c r="R503"/>
      <c r="S503"/>
      <c r="T503"/>
      <c r="U503"/>
      <c r="V503"/>
      <c r="W503"/>
    </row>
    <row r="504" spans="1:23" x14ac:dyDescent="0.4">
      <c r="A504"/>
      <c r="B504"/>
      <c r="C504"/>
      <c r="D504"/>
      <c r="E504"/>
      <c r="F504"/>
      <c r="G504"/>
      <c r="H504"/>
      <c r="I504"/>
      <c r="J504"/>
      <c r="K504"/>
      <c r="L504"/>
      <c r="M504"/>
      <c r="N504"/>
      <c r="O504"/>
      <c r="P504"/>
      <c r="Q504"/>
      <c r="R504"/>
      <c r="S504"/>
      <c r="T504"/>
      <c r="U504"/>
      <c r="V504"/>
      <c r="W504"/>
    </row>
    <row r="505" spans="1:23" x14ac:dyDescent="0.4">
      <c r="A505"/>
      <c r="B505"/>
      <c r="C505"/>
      <c r="D505"/>
      <c r="E505"/>
      <c r="F505"/>
      <c r="G505"/>
      <c r="H505"/>
      <c r="I505"/>
      <c r="J505"/>
      <c r="K505"/>
      <c r="L505"/>
      <c r="M505"/>
      <c r="N505"/>
      <c r="O505"/>
      <c r="P505"/>
      <c r="Q505"/>
      <c r="R505"/>
      <c r="S505"/>
      <c r="T505"/>
      <c r="U505"/>
      <c r="V505"/>
      <c r="W505"/>
    </row>
    <row r="506" spans="1:23" x14ac:dyDescent="0.4">
      <c r="A506"/>
      <c r="B506"/>
      <c r="C506"/>
      <c r="D506"/>
      <c r="E506"/>
      <c r="F506"/>
      <c r="G506"/>
      <c r="H506"/>
      <c r="I506"/>
      <c r="J506"/>
      <c r="K506"/>
      <c r="L506"/>
      <c r="M506"/>
      <c r="N506"/>
      <c r="O506"/>
      <c r="P506"/>
      <c r="Q506"/>
      <c r="R506"/>
      <c r="S506"/>
      <c r="T506"/>
      <c r="U506"/>
      <c r="V506"/>
      <c r="W506"/>
    </row>
    <row r="507" spans="1:23" x14ac:dyDescent="0.4">
      <c r="A507"/>
      <c r="B507"/>
      <c r="C507"/>
      <c r="D507"/>
      <c r="E507"/>
      <c r="F507"/>
      <c r="G507"/>
      <c r="H507"/>
      <c r="I507"/>
      <c r="J507"/>
      <c r="K507"/>
      <c r="L507"/>
      <c r="M507"/>
      <c r="N507"/>
      <c r="O507"/>
      <c r="P507"/>
      <c r="Q507"/>
      <c r="R507"/>
      <c r="S507"/>
      <c r="T507"/>
      <c r="U507"/>
      <c r="V507"/>
      <c r="W507"/>
    </row>
    <row r="508" spans="1:23" x14ac:dyDescent="0.4">
      <c r="A508"/>
      <c r="B508"/>
      <c r="C508"/>
      <c r="D508"/>
      <c r="E508"/>
      <c r="F508"/>
      <c r="G508"/>
      <c r="H508"/>
      <c r="I508"/>
      <c r="J508"/>
      <c r="K508"/>
      <c r="L508"/>
      <c r="M508"/>
      <c r="N508"/>
      <c r="O508"/>
      <c r="P508"/>
      <c r="Q508"/>
      <c r="R508"/>
      <c r="S508"/>
      <c r="T508"/>
      <c r="U508"/>
      <c r="V508"/>
      <c r="W508"/>
    </row>
    <row r="509" spans="1:23" x14ac:dyDescent="0.4">
      <c r="A509"/>
      <c r="B509"/>
      <c r="C509"/>
      <c r="D509"/>
      <c r="E509"/>
      <c r="F509"/>
      <c r="G509"/>
      <c r="H509"/>
      <c r="I509"/>
      <c r="J509"/>
      <c r="K509"/>
      <c r="L509"/>
      <c r="M509"/>
      <c r="N509"/>
      <c r="O509"/>
      <c r="P509"/>
      <c r="Q509"/>
      <c r="R509"/>
      <c r="S509"/>
      <c r="T509"/>
      <c r="U509"/>
      <c r="V509"/>
      <c r="W509"/>
    </row>
    <row r="510" spans="1:23" x14ac:dyDescent="0.4">
      <c r="A510"/>
      <c r="B510"/>
      <c r="C510"/>
      <c r="D510"/>
      <c r="E510"/>
      <c r="F510"/>
      <c r="G510"/>
      <c r="H510"/>
      <c r="I510"/>
      <c r="J510"/>
      <c r="K510"/>
      <c r="L510"/>
      <c r="M510"/>
      <c r="N510"/>
      <c r="O510"/>
      <c r="P510"/>
      <c r="Q510"/>
      <c r="R510"/>
      <c r="S510"/>
      <c r="T510"/>
      <c r="U510"/>
      <c r="V510"/>
      <c r="W510"/>
    </row>
    <row r="511" spans="1:23" x14ac:dyDescent="0.4">
      <c r="A511"/>
      <c r="B511"/>
      <c r="C511"/>
      <c r="D511"/>
      <c r="E511"/>
      <c r="F511"/>
      <c r="G511"/>
      <c r="H511"/>
      <c r="I511"/>
      <c r="J511"/>
      <c r="K511"/>
      <c r="L511"/>
      <c r="M511"/>
      <c r="N511"/>
      <c r="O511"/>
      <c r="P511"/>
      <c r="Q511"/>
      <c r="R511"/>
      <c r="S511"/>
      <c r="T511"/>
      <c r="U511"/>
      <c r="V511"/>
      <c r="W511"/>
    </row>
    <row r="512" spans="1:23" x14ac:dyDescent="0.4">
      <c r="A512"/>
      <c r="B512"/>
      <c r="C512"/>
      <c r="D512"/>
      <c r="E512"/>
      <c r="F512"/>
      <c r="G512"/>
      <c r="H512"/>
      <c r="I512"/>
      <c r="J512"/>
      <c r="K512"/>
      <c r="L512"/>
      <c r="M512"/>
      <c r="N512"/>
      <c r="O512"/>
      <c r="P512"/>
      <c r="Q512"/>
      <c r="R512"/>
      <c r="S512"/>
      <c r="T512"/>
      <c r="U512"/>
      <c r="V512"/>
      <c r="W512"/>
    </row>
    <row r="513" spans="1:23" x14ac:dyDescent="0.4">
      <c r="A513"/>
      <c r="B513"/>
      <c r="C513"/>
      <c r="D513"/>
      <c r="E513"/>
      <c r="F513"/>
      <c r="G513"/>
      <c r="H513"/>
      <c r="I513"/>
      <c r="J513"/>
      <c r="K513"/>
      <c r="L513"/>
      <c r="M513"/>
      <c r="N513"/>
      <c r="O513"/>
      <c r="P513"/>
      <c r="Q513"/>
      <c r="R513"/>
      <c r="S513"/>
      <c r="T513"/>
      <c r="U513"/>
      <c r="V513"/>
      <c r="W513"/>
    </row>
    <row r="514" spans="1:23" x14ac:dyDescent="0.4">
      <c r="A514"/>
      <c r="B514"/>
      <c r="C514"/>
      <c r="D514"/>
      <c r="E514"/>
      <c r="F514"/>
      <c r="G514"/>
      <c r="H514"/>
      <c r="I514"/>
      <c r="J514"/>
      <c r="K514"/>
      <c r="L514"/>
      <c r="M514"/>
      <c r="N514"/>
      <c r="O514"/>
      <c r="P514"/>
      <c r="Q514"/>
      <c r="R514"/>
      <c r="S514"/>
      <c r="T514"/>
      <c r="U514"/>
      <c r="V514"/>
      <c r="W514"/>
    </row>
    <row r="515" spans="1:23" x14ac:dyDescent="0.4">
      <c r="A515"/>
      <c r="B515"/>
      <c r="C515"/>
      <c r="D515"/>
      <c r="E515"/>
      <c r="F515"/>
      <c r="G515"/>
      <c r="H515"/>
      <c r="I515"/>
      <c r="J515"/>
      <c r="K515"/>
      <c r="L515"/>
      <c r="M515"/>
      <c r="N515"/>
      <c r="O515"/>
      <c r="P515"/>
      <c r="Q515"/>
      <c r="R515"/>
      <c r="S515"/>
      <c r="T515"/>
      <c r="U515"/>
      <c r="V515"/>
      <c r="W515"/>
    </row>
    <row r="516" spans="1:23" x14ac:dyDescent="0.4">
      <c r="A516"/>
      <c r="B516"/>
      <c r="C516"/>
      <c r="D516"/>
      <c r="E516"/>
      <c r="F516"/>
      <c r="G516"/>
      <c r="H516"/>
      <c r="I516"/>
      <c r="J516"/>
      <c r="K516"/>
      <c r="L516"/>
      <c r="M516"/>
      <c r="N516"/>
      <c r="O516"/>
      <c r="P516"/>
      <c r="Q516"/>
      <c r="R516"/>
      <c r="S516"/>
      <c r="T516"/>
      <c r="U516"/>
      <c r="V516"/>
      <c r="W516"/>
    </row>
    <row r="517" spans="1:23" x14ac:dyDescent="0.4">
      <c r="A517"/>
      <c r="B517"/>
      <c r="C517"/>
      <c r="D517"/>
      <c r="E517"/>
      <c r="F517"/>
      <c r="G517"/>
      <c r="H517"/>
      <c r="I517"/>
      <c r="J517"/>
      <c r="K517"/>
      <c r="L517"/>
      <c r="M517"/>
      <c r="N517"/>
      <c r="O517"/>
      <c r="P517"/>
      <c r="Q517"/>
      <c r="R517"/>
      <c r="S517"/>
      <c r="T517"/>
      <c r="U517"/>
      <c r="V517"/>
      <c r="W517"/>
    </row>
    <row r="518" spans="1:23" x14ac:dyDescent="0.4">
      <c r="A518"/>
      <c r="B518"/>
      <c r="C518"/>
      <c r="D518"/>
      <c r="E518"/>
      <c r="F518"/>
      <c r="G518"/>
      <c r="H518"/>
      <c r="I518"/>
      <c r="J518"/>
      <c r="K518"/>
      <c r="L518"/>
      <c r="M518"/>
      <c r="N518"/>
      <c r="O518"/>
      <c r="P518"/>
      <c r="Q518"/>
      <c r="R518"/>
      <c r="S518"/>
      <c r="T518"/>
      <c r="U518"/>
      <c r="V518"/>
      <c r="W518"/>
    </row>
    <row r="519" spans="1:23" x14ac:dyDescent="0.4">
      <c r="A519"/>
      <c r="B519"/>
      <c r="C519"/>
      <c r="D519"/>
      <c r="E519"/>
      <c r="F519"/>
      <c r="G519"/>
      <c r="H519"/>
      <c r="I519"/>
      <c r="J519"/>
      <c r="K519"/>
      <c r="L519"/>
      <c r="M519"/>
      <c r="N519"/>
      <c r="O519"/>
      <c r="P519"/>
      <c r="Q519"/>
      <c r="R519"/>
      <c r="S519"/>
      <c r="T519"/>
      <c r="U519"/>
      <c r="V519"/>
      <c r="W519"/>
    </row>
    <row r="520" spans="1:23" x14ac:dyDescent="0.4">
      <c r="A520"/>
      <c r="B520"/>
      <c r="C520"/>
      <c r="D520"/>
      <c r="E520"/>
      <c r="F520"/>
      <c r="G520"/>
      <c r="H520"/>
      <c r="I520"/>
      <c r="J520"/>
      <c r="K520"/>
      <c r="L520"/>
      <c r="M520"/>
      <c r="N520"/>
      <c r="O520"/>
      <c r="P520"/>
      <c r="Q520"/>
      <c r="R520"/>
      <c r="S520"/>
      <c r="T520"/>
      <c r="U520"/>
      <c r="V520"/>
      <c r="W520"/>
    </row>
    <row r="521" spans="1:23" x14ac:dyDescent="0.4">
      <c r="A521"/>
      <c r="B521"/>
      <c r="C521"/>
      <c r="D521"/>
      <c r="E521"/>
      <c r="F521"/>
      <c r="G521"/>
      <c r="H521"/>
      <c r="I521"/>
      <c r="J521"/>
      <c r="K521"/>
      <c r="L521"/>
      <c r="M521"/>
      <c r="N521"/>
      <c r="O521"/>
      <c r="P521"/>
      <c r="Q521"/>
      <c r="R521"/>
      <c r="S521"/>
      <c r="T521"/>
      <c r="U521"/>
      <c r="V521"/>
      <c r="W521"/>
    </row>
    <row r="522" spans="1:23" x14ac:dyDescent="0.4">
      <c r="A522"/>
      <c r="B522"/>
      <c r="C522"/>
      <c r="D522"/>
      <c r="E522"/>
      <c r="F522"/>
      <c r="G522"/>
      <c r="H522"/>
      <c r="I522"/>
      <c r="J522"/>
      <c r="K522"/>
      <c r="L522"/>
      <c r="M522"/>
      <c r="N522"/>
      <c r="O522"/>
      <c r="P522"/>
      <c r="Q522"/>
      <c r="R522"/>
      <c r="S522"/>
      <c r="T522"/>
      <c r="U522"/>
      <c r="V522"/>
      <c r="W522"/>
    </row>
    <row r="523" spans="1:23" x14ac:dyDescent="0.4">
      <c r="A523"/>
      <c r="B523"/>
      <c r="C523"/>
      <c r="D523"/>
      <c r="E523"/>
      <c r="F523"/>
      <c r="G523"/>
      <c r="H523"/>
      <c r="I523"/>
      <c r="J523"/>
      <c r="K523"/>
      <c r="L523"/>
      <c r="M523"/>
      <c r="N523"/>
      <c r="O523"/>
      <c r="P523"/>
      <c r="Q523"/>
      <c r="R523"/>
      <c r="S523"/>
      <c r="T523"/>
      <c r="U523"/>
      <c r="V523"/>
      <c r="W523"/>
    </row>
    <row r="524" spans="1:23" x14ac:dyDescent="0.4">
      <c r="A524"/>
      <c r="B524"/>
      <c r="C524"/>
      <c r="D524"/>
      <c r="E524"/>
      <c r="F524"/>
      <c r="G524"/>
      <c r="H524"/>
      <c r="I524"/>
      <c r="J524"/>
      <c r="K524"/>
      <c r="L524"/>
      <c r="M524"/>
      <c r="N524"/>
      <c r="O524"/>
      <c r="P524"/>
      <c r="Q524"/>
      <c r="R524"/>
      <c r="S524"/>
      <c r="T524"/>
      <c r="U524"/>
      <c r="V524"/>
      <c r="W524"/>
    </row>
    <row r="525" spans="1:23" x14ac:dyDescent="0.4">
      <c r="A525"/>
      <c r="B525"/>
      <c r="C525"/>
      <c r="D525"/>
      <c r="E525"/>
      <c r="F525"/>
      <c r="G525"/>
      <c r="H525"/>
      <c r="I525"/>
      <c r="J525"/>
      <c r="K525"/>
      <c r="L525"/>
      <c r="M525"/>
      <c r="N525"/>
      <c r="O525"/>
      <c r="P525"/>
      <c r="Q525"/>
      <c r="R525"/>
      <c r="S525"/>
      <c r="T525"/>
      <c r="U525"/>
      <c r="V525"/>
      <c r="W525"/>
    </row>
    <row r="526" spans="1:23" x14ac:dyDescent="0.4">
      <c r="A526"/>
      <c r="B526"/>
      <c r="C526"/>
      <c r="D526"/>
      <c r="E526"/>
      <c r="F526"/>
      <c r="G526"/>
      <c r="H526"/>
      <c r="I526"/>
      <c r="J526"/>
      <c r="K526"/>
      <c r="L526"/>
      <c r="M526"/>
      <c r="N526"/>
      <c r="O526"/>
      <c r="P526"/>
      <c r="Q526"/>
      <c r="R526"/>
      <c r="S526"/>
      <c r="T526"/>
      <c r="U526"/>
      <c r="V526"/>
      <c r="W526"/>
    </row>
    <row r="527" spans="1:23" x14ac:dyDescent="0.4">
      <c r="A527"/>
      <c r="B527"/>
      <c r="C527"/>
      <c r="D527"/>
      <c r="E527"/>
      <c r="F527"/>
      <c r="G527"/>
      <c r="H527"/>
      <c r="I527"/>
      <c r="J527"/>
      <c r="K527"/>
      <c r="L527"/>
      <c r="M527"/>
      <c r="N527"/>
      <c r="O527"/>
      <c r="P527"/>
      <c r="Q527"/>
      <c r="R527"/>
      <c r="S527"/>
      <c r="T527"/>
      <c r="U527"/>
      <c r="V527"/>
      <c r="W527"/>
    </row>
    <row r="528" spans="1:23" x14ac:dyDescent="0.4">
      <c r="A528"/>
      <c r="B528"/>
      <c r="C528"/>
      <c r="D528"/>
      <c r="E528"/>
      <c r="F528"/>
      <c r="G528"/>
      <c r="H528"/>
      <c r="I528"/>
      <c r="J528"/>
      <c r="K528"/>
      <c r="L528"/>
      <c r="M528"/>
      <c r="N528"/>
      <c r="O528"/>
      <c r="P528"/>
      <c r="Q528"/>
      <c r="R528"/>
      <c r="S528"/>
      <c r="T528"/>
      <c r="U528"/>
      <c r="V528"/>
      <c r="W528"/>
    </row>
    <row r="529" spans="1:23" x14ac:dyDescent="0.4">
      <c r="A529"/>
      <c r="B529"/>
      <c r="C529"/>
      <c r="D529"/>
      <c r="E529"/>
      <c r="F529"/>
      <c r="G529"/>
      <c r="H529"/>
      <c r="I529"/>
      <c r="J529"/>
      <c r="K529"/>
      <c r="L529"/>
      <c r="M529"/>
      <c r="N529"/>
      <c r="O529"/>
      <c r="P529"/>
      <c r="Q529"/>
      <c r="R529"/>
      <c r="S529"/>
      <c r="T529"/>
      <c r="U529"/>
      <c r="V529"/>
      <c r="W529"/>
    </row>
    <row r="530" spans="1:23" x14ac:dyDescent="0.4">
      <c r="A530"/>
      <c r="B530"/>
      <c r="C530"/>
      <c r="D530"/>
      <c r="E530"/>
      <c r="F530"/>
      <c r="G530"/>
      <c r="H530"/>
      <c r="I530"/>
      <c r="J530"/>
      <c r="K530"/>
      <c r="L530"/>
      <c r="M530"/>
      <c r="N530"/>
      <c r="O530"/>
      <c r="P530"/>
      <c r="Q530"/>
      <c r="R530"/>
      <c r="S530"/>
      <c r="T530"/>
      <c r="U530"/>
      <c r="V530"/>
      <c r="W530"/>
    </row>
    <row r="531" spans="1:23" x14ac:dyDescent="0.4">
      <c r="A531"/>
      <c r="B531"/>
      <c r="C531"/>
      <c r="D531"/>
      <c r="E531"/>
      <c r="F531"/>
      <c r="G531"/>
      <c r="H531"/>
      <c r="I531"/>
      <c r="J531"/>
      <c r="K531"/>
      <c r="L531"/>
      <c r="M531"/>
      <c r="N531"/>
      <c r="O531"/>
      <c r="P531"/>
      <c r="Q531"/>
      <c r="R531"/>
      <c r="S531"/>
      <c r="T531"/>
      <c r="U531"/>
      <c r="V531"/>
      <c r="W531"/>
    </row>
    <row r="532" spans="1:23" x14ac:dyDescent="0.4">
      <c r="A532"/>
      <c r="B532"/>
      <c r="C532"/>
      <c r="D532"/>
      <c r="E532"/>
      <c r="F532"/>
      <c r="G532"/>
      <c r="H532"/>
      <c r="I532"/>
      <c r="J532"/>
      <c r="K532"/>
      <c r="L532"/>
      <c r="M532"/>
      <c r="N532"/>
      <c r="O532"/>
      <c r="P532"/>
      <c r="Q532"/>
      <c r="R532"/>
      <c r="S532"/>
      <c r="T532"/>
      <c r="U532"/>
      <c r="V532"/>
      <c r="W532"/>
    </row>
    <row r="533" spans="1:23" x14ac:dyDescent="0.4">
      <c r="A533"/>
      <c r="B533"/>
      <c r="C533"/>
      <c r="D533"/>
      <c r="E533"/>
      <c r="F533"/>
      <c r="G533"/>
      <c r="H533"/>
      <c r="I533"/>
      <c r="J533"/>
      <c r="K533"/>
      <c r="L533"/>
      <c r="M533"/>
      <c r="N533"/>
      <c r="O533"/>
      <c r="P533"/>
      <c r="Q533"/>
      <c r="R533"/>
      <c r="S533"/>
      <c r="T533"/>
      <c r="U533"/>
      <c r="V533"/>
      <c r="W533"/>
    </row>
    <row r="534" spans="1:23" x14ac:dyDescent="0.4">
      <c r="A534"/>
      <c r="B534"/>
      <c r="C534"/>
      <c r="D534"/>
      <c r="E534"/>
      <c r="F534"/>
      <c r="G534"/>
      <c r="H534"/>
      <c r="I534"/>
      <c r="J534"/>
      <c r="K534"/>
      <c r="L534"/>
      <c r="M534"/>
      <c r="N534"/>
      <c r="O534"/>
      <c r="P534"/>
      <c r="Q534"/>
      <c r="R534"/>
      <c r="S534"/>
      <c r="T534"/>
      <c r="U534"/>
      <c r="V534"/>
      <c r="W534"/>
    </row>
    <row r="535" spans="1:23" x14ac:dyDescent="0.4">
      <c r="A535"/>
      <c r="B535"/>
      <c r="C535"/>
      <c r="D535"/>
      <c r="E535"/>
      <c r="F535"/>
      <c r="G535"/>
      <c r="H535"/>
      <c r="I535"/>
      <c r="J535"/>
      <c r="K535"/>
      <c r="L535"/>
      <c r="M535"/>
      <c r="N535"/>
      <c r="O535"/>
      <c r="P535"/>
      <c r="Q535"/>
      <c r="R535"/>
      <c r="S535"/>
      <c r="T535"/>
      <c r="U535"/>
      <c r="V535"/>
      <c r="W535"/>
    </row>
    <row r="536" spans="1:23" x14ac:dyDescent="0.4">
      <c r="A536"/>
      <c r="B536"/>
      <c r="C536"/>
      <c r="D536"/>
      <c r="E536"/>
      <c r="F536"/>
      <c r="G536"/>
      <c r="H536"/>
      <c r="I536"/>
      <c r="J536"/>
      <c r="K536"/>
      <c r="L536"/>
      <c r="M536"/>
      <c r="N536"/>
      <c r="O536"/>
      <c r="P536"/>
      <c r="Q536"/>
      <c r="R536"/>
      <c r="S536"/>
      <c r="T536"/>
      <c r="U536"/>
      <c r="V536"/>
      <c r="W536"/>
    </row>
    <row r="537" spans="1:23" x14ac:dyDescent="0.4">
      <c r="A537"/>
      <c r="B537"/>
      <c r="C537"/>
      <c r="D537"/>
      <c r="E537"/>
      <c r="F537"/>
      <c r="G537"/>
      <c r="H537"/>
      <c r="I537"/>
      <c r="J537"/>
      <c r="K537"/>
      <c r="L537"/>
      <c r="M537"/>
      <c r="N537"/>
      <c r="O537"/>
      <c r="P537"/>
      <c r="Q537"/>
      <c r="R537"/>
      <c r="S537"/>
      <c r="T537"/>
      <c r="U537"/>
      <c r="V537"/>
      <c r="W537"/>
    </row>
    <row r="538" spans="1:23" x14ac:dyDescent="0.4">
      <c r="A538"/>
      <c r="B538"/>
      <c r="C538"/>
      <c r="D538"/>
      <c r="E538"/>
      <c r="F538"/>
      <c r="G538"/>
      <c r="H538"/>
      <c r="I538"/>
      <c r="J538"/>
      <c r="K538"/>
      <c r="L538"/>
      <c r="M538"/>
      <c r="N538"/>
      <c r="O538"/>
      <c r="P538"/>
      <c r="Q538"/>
      <c r="R538"/>
      <c r="S538"/>
      <c r="T538"/>
      <c r="U538"/>
      <c r="V538"/>
      <c r="W538"/>
    </row>
    <row r="539" spans="1:23" x14ac:dyDescent="0.4">
      <c r="A539"/>
      <c r="B539"/>
      <c r="C539"/>
      <c r="D539"/>
      <c r="E539"/>
      <c r="F539"/>
      <c r="G539"/>
      <c r="H539"/>
      <c r="I539"/>
      <c r="J539"/>
      <c r="K539"/>
      <c r="L539"/>
      <c r="M539"/>
      <c r="N539"/>
      <c r="O539"/>
      <c r="P539"/>
      <c r="Q539"/>
      <c r="R539"/>
      <c r="S539"/>
      <c r="T539"/>
      <c r="U539"/>
      <c r="V539"/>
      <c r="W539"/>
    </row>
    <row r="540" spans="1:23" x14ac:dyDescent="0.4">
      <c r="A540"/>
      <c r="B540"/>
      <c r="C540"/>
      <c r="D540"/>
      <c r="E540"/>
      <c r="F540"/>
      <c r="G540"/>
      <c r="H540"/>
      <c r="I540"/>
      <c r="J540"/>
      <c r="K540"/>
      <c r="L540"/>
      <c r="M540"/>
      <c r="N540"/>
      <c r="O540"/>
      <c r="P540"/>
      <c r="Q540"/>
      <c r="R540"/>
      <c r="S540"/>
      <c r="T540"/>
      <c r="U540"/>
      <c r="V540"/>
      <c r="W540"/>
    </row>
    <row r="541" spans="1:23" x14ac:dyDescent="0.4">
      <c r="A541"/>
      <c r="B541"/>
      <c r="C541"/>
      <c r="D541"/>
      <c r="E541"/>
      <c r="F541"/>
      <c r="G541"/>
      <c r="H541"/>
      <c r="I541"/>
      <c r="J541"/>
      <c r="K541"/>
      <c r="L541"/>
      <c r="M541"/>
      <c r="N541"/>
      <c r="O541"/>
      <c r="P541"/>
      <c r="Q541"/>
      <c r="R541"/>
      <c r="S541"/>
      <c r="T541"/>
      <c r="U541"/>
      <c r="V541"/>
      <c r="W541"/>
    </row>
    <row r="542" spans="1:23" x14ac:dyDescent="0.4">
      <c r="A542"/>
      <c r="B542"/>
      <c r="C542"/>
      <c r="D542"/>
      <c r="E542"/>
      <c r="F542"/>
      <c r="G542"/>
      <c r="H542"/>
      <c r="I542"/>
      <c r="J542"/>
      <c r="K542"/>
      <c r="L542"/>
      <c r="M542"/>
      <c r="N542"/>
      <c r="O542"/>
      <c r="P542"/>
      <c r="Q542"/>
      <c r="R542"/>
      <c r="S542"/>
      <c r="T542"/>
      <c r="U542"/>
      <c r="V542"/>
      <c r="W542"/>
    </row>
    <row r="543" spans="1:23" x14ac:dyDescent="0.4">
      <c r="A543"/>
      <c r="B543"/>
      <c r="C543"/>
      <c r="D543"/>
      <c r="E543"/>
      <c r="F543"/>
      <c r="G543"/>
      <c r="H543"/>
      <c r="I543"/>
      <c r="J543"/>
      <c r="K543"/>
      <c r="L543"/>
      <c r="M543"/>
      <c r="N543"/>
      <c r="O543"/>
      <c r="P543"/>
      <c r="Q543"/>
      <c r="R543"/>
      <c r="S543"/>
      <c r="T543"/>
      <c r="U543"/>
      <c r="V543"/>
      <c r="W543"/>
    </row>
    <row r="544" spans="1:23" x14ac:dyDescent="0.4">
      <c r="A544"/>
      <c r="B544"/>
      <c r="C544"/>
      <c r="D544"/>
      <c r="E544"/>
      <c r="F544"/>
      <c r="G544"/>
      <c r="H544"/>
      <c r="I544"/>
      <c r="J544"/>
      <c r="K544"/>
      <c r="L544"/>
      <c r="M544"/>
      <c r="N544"/>
      <c r="O544"/>
      <c r="P544"/>
      <c r="Q544"/>
      <c r="R544"/>
      <c r="S544"/>
      <c r="T544"/>
      <c r="U544"/>
      <c r="V544"/>
      <c r="W544"/>
    </row>
    <row r="545" spans="1:23" x14ac:dyDescent="0.4">
      <c r="A545"/>
      <c r="B545"/>
      <c r="C545"/>
      <c r="D545"/>
      <c r="E545"/>
      <c r="F545"/>
      <c r="G545"/>
      <c r="H545"/>
      <c r="I545"/>
      <c r="J545"/>
      <c r="K545"/>
      <c r="L545"/>
      <c r="M545"/>
      <c r="N545"/>
      <c r="O545"/>
      <c r="P545"/>
      <c r="Q545"/>
      <c r="R545"/>
      <c r="S545"/>
      <c r="T545"/>
      <c r="U545"/>
      <c r="V545"/>
      <c r="W545"/>
    </row>
    <row r="546" spans="1:23" x14ac:dyDescent="0.4">
      <c r="A546"/>
      <c r="B546"/>
      <c r="C546"/>
      <c r="D546"/>
      <c r="E546"/>
      <c r="F546"/>
      <c r="G546"/>
      <c r="H546"/>
      <c r="I546"/>
      <c r="J546"/>
      <c r="K546"/>
      <c r="L546"/>
      <c r="M546"/>
      <c r="N546"/>
      <c r="O546"/>
      <c r="P546"/>
      <c r="Q546"/>
      <c r="R546"/>
      <c r="S546"/>
      <c r="T546"/>
      <c r="U546"/>
      <c r="V546"/>
      <c r="W546"/>
    </row>
    <row r="547" spans="1:23" x14ac:dyDescent="0.4">
      <c r="A547"/>
      <c r="B547"/>
      <c r="C547"/>
      <c r="D547"/>
      <c r="E547"/>
      <c r="F547"/>
      <c r="G547"/>
      <c r="H547"/>
      <c r="I547"/>
      <c r="J547"/>
      <c r="K547"/>
      <c r="L547"/>
      <c r="M547"/>
      <c r="N547"/>
      <c r="O547"/>
      <c r="P547"/>
      <c r="Q547"/>
      <c r="R547"/>
      <c r="S547"/>
      <c r="T547"/>
      <c r="U547"/>
      <c r="V547"/>
      <c r="W547"/>
    </row>
    <row r="548" spans="1:23" x14ac:dyDescent="0.4">
      <c r="A548"/>
      <c r="B548"/>
      <c r="C548"/>
      <c r="D548"/>
      <c r="E548"/>
      <c r="F548"/>
      <c r="G548"/>
      <c r="H548"/>
      <c r="I548"/>
      <c r="J548"/>
      <c r="K548"/>
      <c r="L548"/>
      <c r="M548"/>
      <c r="N548"/>
      <c r="O548"/>
      <c r="P548"/>
      <c r="Q548"/>
      <c r="R548"/>
      <c r="S548"/>
      <c r="T548"/>
      <c r="U548"/>
      <c r="V548"/>
      <c r="W548"/>
    </row>
    <row r="549" spans="1:23" x14ac:dyDescent="0.4">
      <c r="A549"/>
      <c r="B549"/>
      <c r="C549"/>
      <c r="D549"/>
      <c r="E549"/>
      <c r="F549"/>
      <c r="G549"/>
      <c r="H549"/>
      <c r="I549"/>
      <c r="J549"/>
      <c r="K549"/>
      <c r="L549"/>
      <c r="M549"/>
      <c r="N549"/>
      <c r="O549"/>
      <c r="P549"/>
      <c r="Q549"/>
      <c r="R549"/>
      <c r="S549"/>
      <c r="T549"/>
      <c r="U549"/>
      <c r="V549"/>
      <c r="W549"/>
    </row>
    <row r="550" spans="1:23" x14ac:dyDescent="0.4">
      <c r="A550"/>
      <c r="B550"/>
      <c r="C550"/>
      <c r="D550"/>
      <c r="E550"/>
      <c r="F550"/>
      <c r="G550"/>
      <c r="H550"/>
      <c r="I550"/>
      <c r="J550"/>
      <c r="K550"/>
      <c r="L550"/>
      <c r="M550"/>
      <c r="N550"/>
      <c r="O550"/>
      <c r="P550"/>
      <c r="Q550"/>
      <c r="R550"/>
      <c r="S550"/>
      <c r="T550"/>
      <c r="U550"/>
      <c r="V550"/>
      <c r="W550"/>
    </row>
    <row r="551" spans="1:23" x14ac:dyDescent="0.4">
      <c r="A551"/>
      <c r="B551"/>
      <c r="C551"/>
      <c r="D551"/>
      <c r="E551"/>
      <c r="F551"/>
      <c r="G551"/>
      <c r="H551"/>
      <c r="I551"/>
      <c r="J551"/>
      <c r="K551"/>
      <c r="L551"/>
      <c r="M551"/>
      <c r="N551"/>
      <c r="O551"/>
      <c r="P551"/>
      <c r="Q551"/>
      <c r="R551"/>
      <c r="S551"/>
      <c r="T551"/>
      <c r="U551"/>
      <c r="V551"/>
      <c r="W551"/>
    </row>
    <row r="552" spans="1:23" x14ac:dyDescent="0.4">
      <c r="A552"/>
      <c r="B552"/>
      <c r="C552"/>
      <c r="D552"/>
      <c r="E552"/>
      <c r="F552"/>
      <c r="G552"/>
      <c r="H552"/>
      <c r="I552"/>
      <c r="J552"/>
      <c r="K552"/>
      <c r="L552"/>
      <c r="M552"/>
      <c r="N552"/>
      <c r="O552"/>
      <c r="P552"/>
      <c r="Q552"/>
      <c r="R552"/>
      <c r="S552"/>
      <c r="T552"/>
      <c r="U552"/>
      <c r="V552"/>
      <c r="W552"/>
    </row>
    <row r="553" spans="1:23" x14ac:dyDescent="0.4">
      <c r="A553"/>
      <c r="B553"/>
      <c r="C553"/>
      <c r="D553"/>
      <c r="E553"/>
      <c r="F553"/>
      <c r="G553"/>
      <c r="H553"/>
      <c r="I553"/>
      <c r="J553"/>
      <c r="K553"/>
      <c r="L553"/>
      <c r="M553"/>
      <c r="N553"/>
      <c r="O553"/>
      <c r="P553"/>
      <c r="Q553"/>
      <c r="R553"/>
      <c r="S553"/>
      <c r="T553"/>
      <c r="U553"/>
      <c r="V553"/>
      <c r="W553"/>
    </row>
    <row r="554" spans="1:23" x14ac:dyDescent="0.4">
      <c r="A554"/>
      <c r="B554"/>
      <c r="C554"/>
      <c r="D554"/>
      <c r="E554"/>
      <c r="F554"/>
      <c r="G554"/>
      <c r="H554"/>
      <c r="I554"/>
      <c r="J554"/>
      <c r="K554"/>
      <c r="L554"/>
      <c r="M554"/>
      <c r="N554"/>
      <c r="O554"/>
      <c r="P554"/>
      <c r="Q554"/>
      <c r="R554"/>
      <c r="S554"/>
      <c r="T554"/>
      <c r="U554"/>
      <c r="V554"/>
      <c r="W554"/>
    </row>
    <row r="555" spans="1:23" x14ac:dyDescent="0.4">
      <c r="A555"/>
      <c r="B555"/>
      <c r="C555"/>
      <c r="D555"/>
      <c r="E555"/>
      <c r="F555"/>
      <c r="G555"/>
      <c r="H555"/>
      <c r="I555"/>
      <c r="J555"/>
      <c r="K555"/>
      <c r="L555"/>
      <c r="M555"/>
      <c r="N555"/>
      <c r="O555"/>
      <c r="P555"/>
      <c r="Q555"/>
      <c r="R555"/>
      <c r="S555"/>
      <c r="T555"/>
      <c r="U555"/>
      <c r="V555"/>
      <c r="W555"/>
    </row>
    <row r="556" spans="1:23" x14ac:dyDescent="0.4">
      <c r="A556"/>
      <c r="B556"/>
      <c r="C556"/>
      <c r="D556"/>
      <c r="E556"/>
      <c r="F556"/>
      <c r="G556"/>
      <c r="H556"/>
      <c r="I556"/>
      <c r="J556"/>
      <c r="K556"/>
      <c r="L556"/>
      <c r="M556"/>
      <c r="N556"/>
      <c r="O556"/>
      <c r="P556"/>
      <c r="Q556"/>
      <c r="R556"/>
      <c r="S556"/>
      <c r="T556"/>
      <c r="U556"/>
      <c r="V556"/>
      <c r="W556"/>
    </row>
    <row r="557" spans="1:23" x14ac:dyDescent="0.4">
      <c r="A557"/>
      <c r="B557"/>
      <c r="C557"/>
      <c r="D557"/>
      <c r="E557"/>
      <c r="F557"/>
      <c r="G557"/>
      <c r="H557"/>
      <c r="I557"/>
      <c r="J557"/>
      <c r="K557"/>
      <c r="L557"/>
      <c r="M557"/>
      <c r="N557"/>
      <c r="O557"/>
      <c r="P557"/>
      <c r="Q557"/>
      <c r="R557"/>
      <c r="S557"/>
      <c r="T557"/>
      <c r="U557"/>
      <c r="V557"/>
      <c r="W557"/>
    </row>
    <row r="558" spans="1:23" x14ac:dyDescent="0.4">
      <c r="A558"/>
      <c r="B558"/>
      <c r="C558"/>
      <c r="D558"/>
      <c r="E558"/>
      <c r="F558"/>
      <c r="G558"/>
      <c r="H558"/>
      <c r="I558"/>
      <c r="J558"/>
      <c r="K558"/>
      <c r="L558"/>
      <c r="M558"/>
      <c r="N558"/>
      <c r="O558"/>
      <c r="P558"/>
      <c r="Q558"/>
      <c r="R558"/>
      <c r="S558"/>
      <c r="T558"/>
      <c r="U558"/>
      <c r="V558"/>
      <c r="W558"/>
    </row>
    <row r="559" spans="1:23" x14ac:dyDescent="0.4">
      <c r="A559"/>
      <c r="B559"/>
      <c r="C559"/>
      <c r="D559"/>
      <c r="E559"/>
      <c r="F559"/>
      <c r="G559"/>
      <c r="H559"/>
      <c r="I559"/>
      <c r="J559"/>
      <c r="K559"/>
      <c r="L559"/>
      <c r="M559"/>
      <c r="N559"/>
      <c r="O559"/>
      <c r="P559"/>
      <c r="Q559"/>
      <c r="R559"/>
      <c r="S559"/>
      <c r="T559"/>
      <c r="U559"/>
      <c r="V559"/>
      <c r="W559"/>
    </row>
    <row r="560" spans="1:23" x14ac:dyDescent="0.4">
      <c r="A560"/>
      <c r="B560"/>
      <c r="C560"/>
      <c r="D560"/>
      <c r="E560"/>
      <c r="F560"/>
      <c r="G560"/>
      <c r="H560"/>
      <c r="I560"/>
      <c r="J560"/>
      <c r="K560"/>
      <c r="L560"/>
      <c r="M560"/>
      <c r="N560"/>
      <c r="O560"/>
      <c r="P560"/>
      <c r="Q560"/>
      <c r="R560"/>
      <c r="S560"/>
      <c r="T560"/>
      <c r="U560"/>
      <c r="V560"/>
      <c r="W560"/>
    </row>
    <row r="561" spans="1:23" x14ac:dyDescent="0.4">
      <c r="A561"/>
      <c r="B561"/>
      <c r="C561"/>
      <c r="D561"/>
      <c r="E561"/>
      <c r="F561"/>
      <c r="G561"/>
      <c r="H561"/>
      <c r="I561"/>
      <c r="J561"/>
      <c r="K561"/>
      <c r="L561"/>
      <c r="M561"/>
      <c r="N561"/>
      <c r="O561"/>
      <c r="P561"/>
      <c r="Q561"/>
      <c r="R561"/>
      <c r="S561"/>
      <c r="T561"/>
      <c r="U561"/>
      <c r="V561"/>
      <c r="W561"/>
    </row>
    <row r="562" spans="1:23" x14ac:dyDescent="0.4">
      <c r="A562"/>
      <c r="B562"/>
      <c r="C562"/>
      <c r="D562"/>
      <c r="E562"/>
      <c r="F562"/>
      <c r="G562"/>
      <c r="H562"/>
      <c r="I562"/>
      <c r="J562"/>
      <c r="K562"/>
      <c r="L562"/>
      <c r="M562"/>
      <c r="N562"/>
      <c r="O562"/>
      <c r="P562"/>
      <c r="Q562"/>
      <c r="R562"/>
      <c r="S562"/>
      <c r="T562"/>
      <c r="U562"/>
      <c r="V562"/>
      <c r="W562"/>
    </row>
    <row r="563" spans="1:23" x14ac:dyDescent="0.4">
      <c r="A563"/>
      <c r="B563"/>
      <c r="C563"/>
      <c r="D563"/>
      <c r="E563"/>
      <c r="F563"/>
      <c r="G563"/>
      <c r="H563"/>
      <c r="I563"/>
      <c r="J563"/>
      <c r="K563"/>
      <c r="L563"/>
      <c r="M563"/>
      <c r="N563"/>
      <c r="O563"/>
      <c r="P563"/>
      <c r="Q563"/>
      <c r="R563"/>
      <c r="S563"/>
      <c r="T563"/>
      <c r="U563"/>
      <c r="V563"/>
      <c r="W563"/>
    </row>
    <row r="564" spans="1:23" x14ac:dyDescent="0.4">
      <c r="A564"/>
      <c r="B564"/>
      <c r="C564"/>
      <c r="D564"/>
      <c r="E564"/>
      <c r="F564"/>
      <c r="G564"/>
      <c r="H564"/>
      <c r="I564"/>
      <c r="J564"/>
      <c r="K564"/>
      <c r="L564"/>
      <c r="M564"/>
      <c r="N564"/>
      <c r="O564"/>
      <c r="P564"/>
      <c r="Q564"/>
      <c r="R564"/>
      <c r="S564"/>
      <c r="T564"/>
      <c r="U564"/>
      <c r="V564"/>
      <c r="W564"/>
    </row>
    <row r="565" spans="1:23" x14ac:dyDescent="0.4">
      <c r="A565"/>
      <c r="B565"/>
      <c r="C565"/>
      <c r="D565"/>
      <c r="E565"/>
      <c r="F565"/>
      <c r="G565"/>
      <c r="H565"/>
      <c r="I565"/>
      <c r="J565"/>
      <c r="K565"/>
      <c r="L565"/>
      <c r="M565"/>
      <c r="N565"/>
      <c r="O565"/>
      <c r="P565"/>
      <c r="Q565"/>
      <c r="R565"/>
      <c r="S565"/>
      <c r="T565"/>
      <c r="U565"/>
      <c r="V565"/>
      <c r="W565"/>
    </row>
    <row r="566" spans="1:23" x14ac:dyDescent="0.4">
      <c r="A566"/>
      <c r="B566"/>
      <c r="C566"/>
      <c r="D566"/>
      <c r="E566"/>
      <c r="F566"/>
      <c r="G566"/>
      <c r="H566"/>
      <c r="I566"/>
      <c r="J566"/>
      <c r="K566"/>
      <c r="L566"/>
      <c r="M566"/>
      <c r="N566"/>
      <c r="O566"/>
      <c r="P566"/>
      <c r="Q566"/>
      <c r="R566"/>
      <c r="S566"/>
      <c r="T566"/>
      <c r="U566"/>
      <c r="V566"/>
      <c r="W566"/>
    </row>
    <row r="567" spans="1:23" x14ac:dyDescent="0.4">
      <c r="A567"/>
      <c r="B567"/>
      <c r="C567"/>
      <c r="D567"/>
      <c r="E567"/>
      <c r="F567"/>
      <c r="G567"/>
      <c r="H567"/>
      <c r="I567"/>
      <c r="J567"/>
      <c r="K567"/>
      <c r="L567"/>
      <c r="M567"/>
      <c r="N567"/>
      <c r="O567"/>
      <c r="P567"/>
      <c r="Q567"/>
      <c r="R567"/>
      <c r="S567"/>
      <c r="T567"/>
      <c r="U567"/>
      <c r="V567"/>
      <c r="W567"/>
    </row>
    <row r="568" spans="1:23" x14ac:dyDescent="0.4">
      <c r="A568"/>
      <c r="B568"/>
      <c r="C568"/>
      <c r="D568"/>
      <c r="E568"/>
      <c r="F568"/>
      <c r="G568"/>
      <c r="H568"/>
      <c r="I568"/>
      <c r="J568"/>
      <c r="K568"/>
      <c r="L568"/>
      <c r="M568"/>
      <c r="N568"/>
      <c r="O568"/>
      <c r="P568"/>
      <c r="Q568"/>
      <c r="R568"/>
      <c r="S568"/>
      <c r="T568"/>
      <c r="U568"/>
      <c r="V568"/>
      <c r="W568"/>
    </row>
    <row r="569" spans="1:23" x14ac:dyDescent="0.4">
      <c r="A569"/>
      <c r="B569"/>
      <c r="C569"/>
      <c r="D569"/>
      <c r="E569"/>
      <c r="F569"/>
      <c r="G569"/>
      <c r="H569"/>
      <c r="I569"/>
      <c r="J569"/>
      <c r="K569"/>
      <c r="L569"/>
      <c r="M569"/>
      <c r="N569"/>
      <c r="O569"/>
      <c r="P569"/>
      <c r="Q569"/>
      <c r="R569"/>
      <c r="S569"/>
      <c r="T569"/>
      <c r="U569"/>
      <c r="V569"/>
      <c r="W569"/>
    </row>
    <row r="570" spans="1:23" x14ac:dyDescent="0.4">
      <c r="A570"/>
      <c r="B570"/>
      <c r="C570"/>
      <c r="D570"/>
      <c r="E570"/>
      <c r="F570"/>
      <c r="G570"/>
      <c r="H570"/>
      <c r="I570"/>
      <c r="J570"/>
      <c r="K570"/>
      <c r="L570"/>
      <c r="M570"/>
      <c r="N570"/>
      <c r="O570"/>
      <c r="P570"/>
      <c r="Q570"/>
      <c r="R570"/>
      <c r="S570"/>
      <c r="T570"/>
      <c r="U570"/>
      <c r="V570"/>
      <c r="W570"/>
    </row>
    <row r="571" spans="1:23" x14ac:dyDescent="0.4">
      <c r="A571"/>
      <c r="B571"/>
      <c r="C571"/>
      <c r="D571"/>
      <c r="E571"/>
      <c r="F571"/>
      <c r="G571"/>
      <c r="H571"/>
      <c r="I571"/>
      <c r="J571"/>
      <c r="K571"/>
      <c r="L571"/>
      <c r="M571"/>
      <c r="N571"/>
      <c r="O571"/>
      <c r="P571"/>
      <c r="Q571"/>
      <c r="R571"/>
      <c r="S571"/>
      <c r="T571"/>
      <c r="U571"/>
      <c r="V571"/>
      <c r="W571"/>
    </row>
    <row r="572" spans="1:23" x14ac:dyDescent="0.4">
      <c r="A572"/>
      <c r="B572"/>
      <c r="C572"/>
      <c r="D572"/>
      <c r="E572"/>
      <c r="F572"/>
      <c r="G572"/>
      <c r="H572"/>
      <c r="I572"/>
      <c r="J572"/>
      <c r="K572"/>
      <c r="L572"/>
      <c r="M572"/>
      <c r="N572"/>
      <c r="O572"/>
      <c r="P572"/>
      <c r="Q572"/>
      <c r="R572"/>
      <c r="S572"/>
      <c r="T572"/>
      <c r="U572"/>
      <c r="V572"/>
      <c r="W572"/>
    </row>
    <row r="573" spans="1:23" x14ac:dyDescent="0.4">
      <c r="A573"/>
      <c r="B573"/>
      <c r="C573"/>
      <c r="D573"/>
      <c r="E573"/>
      <c r="F573"/>
      <c r="G573"/>
      <c r="H573"/>
      <c r="I573"/>
      <c r="J573"/>
      <c r="K573"/>
      <c r="L573"/>
      <c r="M573"/>
      <c r="N573"/>
      <c r="O573"/>
      <c r="P573"/>
      <c r="Q573"/>
      <c r="R573"/>
      <c r="S573"/>
      <c r="T573"/>
      <c r="U573"/>
      <c r="V573"/>
      <c r="W573"/>
    </row>
    <row r="574" spans="1:23" x14ac:dyDescent="0.4">
      <c r="A574"/>
      <c r="B574"/>
      <c r="C574"/>
      <c r="D574"/>
      <c r="E574"/>
      <c r="F574"/>
      <c r="G574"/>
      <c r="H574"/>
      <c r="I574"/>
      <c r="J574"/>
      <c r="K574"/>
      <c r="L574"/>
      <c r="M574"/>
      <c r="N574"/>
      <c r="O574"/>
      <c r="P574"/>
      <c r="Q574"/>
      <c r="R574"/>
      <c r="S574"/>
      <c r="T574"/>
      <c r="U574"/>
      <c r="V574"/>
      <c r="W574"/>
    </row>
    <row r="575" spans="1:23" x14ac:dyDescent="0.4">
      <c r="A575"/>
      <c r="B575"/>
      <c r="C575"/>
      <c r="D575"/>
      <c r="E575"/>
      <c r="F575"/>
      <c r="G575"/>
      <c r="H575"/>
      <c r="I575"/>
      <c r="J575"/>
      <c r="K575"/>
      <c r="L575"/>
      <c r="M575"/>
      <c r="N575"/>
      <c r="O575"/>
      <c r="P575"/>
      <c r="Q575"/>
      <c r="R575"/>
      <c r="S575"/>
      <c r="T575"/>
      <c r="U575"/>
      <c r="V575"/>
      <c r="W575"/>
    </row>
    <row r="576" spans="1:23" x14ac:dyDescent="0.4">
      <c r="A576"/>
      <c r="B576"/>
      <c r="C576"/>
      <c r="D576"/>
      <c r="E576"/>
      <c r="F576"/>
      <c r="G576"/>
      <c r="H576"/>
      <c r="I576"/>
      <c r="J576"/>
      <c r="K576"/>
      <c r="L576"/>
      <c r="M576"/>
      <c r="N576"/>
      <c r="O576"/>
      <c r="P576"/>
      <c r="Q576"/>
      <c r="R576"/>
      <c r="S576"/>
      <c r="T576"/>
      <c r="U576"/>
      <c r="V576"/>
      <c r="W576"/>
    </row>
    <row r="577" spans="1:23" x14ac:dyDescent="0.4">
      <c r="A577"/>
      <c r="B577"/>
      <c r="C577"/>
      <c r="D577"/>
      <c r="E577"/>
      <c r="F577"/>
      <c r="G577"/>
      <c r="H577"/>
      <c r="I577"/>
      <c r="J577"/>
      <c r="K577"/>
      <c r="L577"/>
      <c r="M577"/>
      <c r="N577"/>
      <c r="O577"/>
      <c r="P577"/>
      <c r="Q577"/>
      <c r="R577"/>
      <c r="S577"/>
      <c r="T577"/>
      <c r="U577"/>
      <c r="V577"/>
      <c r="W577"/>
    </row>
    <row r="578" spans="1:23" x14ac:dyDescent="0.4">
      <c r="A578"/>
      <c r="B578"/>
      <c r="C578"/>
      <c r="D578"/>
      <c r="E578"/>
      <c r="F578"/>
      <c r="G578"/>
      <c r="H578"/>
      <c r="I578"/>
      <c r="J578"/>
      <c r="K578"/>
      <c r="L578"/>
      <c r="M578"/>
      <c r="N578"/>
      <c r="O578"/>
      <c r="P578"/>
      <c r="Q578"/>
      <c r="R578"/>
      <c r="S578"/>
      <c r="T578"/>
      <c r="U578"/>
      <c r="V578"/>
      <c r="W578"/>
    </row>
    <row r="579" spans="1:23" x14ac:dyDescent="0.4">
      <c r="A579"/>
      <c r="B579"/>
      <c r="C579"/>
      <c r="D579"/>
      <c r="E579"/>
      <c r="F579"/>
      <c r="G579"/>
      <c r="H579"/>
      <c r="I579"/>
      <c r="J579"/>
      <c r="K579"/>
      <c r="L579"/>
      <c r="M579"/>
      <c r="N579"/>
      <c r="O579"/>
      <c r="P579"/>
      <c r="Q579"/>
      <c r="R579"/>
      <c r="S579"/>
      <c r="T579"/>
      <c r="U579"/>
      <c r="V579"/>
      <c r="W579"/>
    </row>
    <row r="580" spans="1:23" x14ac:dyDescent="0.4">
      <c r="A580"/>
      <c r="B580"/>
      <c r="C580"/>
      <c r="D580"/>
      <c r="E580"/>
      <c r="F580"/>
      <c r="G580"/>
      <c r="H580"/>
      <c r="I580"/>
      <c r="J580"/>
      <c r="K580"/>
      <c r="L580"/>
      <c r="M580"/>
      <c r="N580"/>
      <c r="O580"/>
      <c r="P580"/>
      <c r="Q580"/>
      <c r="R580"/>
      <c r="S580"/>
      <c r="T580"/>
      <c r="U580"/>
      <c r="V580"/>
      <c r="W580"/>
    </row>
    <row r="581" spans="1:23" x14ac:dyDescent="0.4">
      <c r="A581"/>
      <c r="B581"/>
      <c r="C581"/>
      <c r="D581"/>
      <c r="E581"/>
      <c r="F581"/>
      <c r="G581"/>
      <c r="H581"/>
      <c r="I581"/>
      <c r="J581"/>
      <c r="K581"/>
      <c r="L581"/>
      <c r="M581"/>
      <c r="N581"/>
      <c r="O581"/>
      <c r="P581"/>
      <c r="Q581"/>
      <c r="R581"/>
      <c r="S581"/>
      <c r="T581"/>
      <c r="U581"/>
      <c r="V581"/>
      <c r="W581"/>
    </row>
    <row r="582" spans="1:23" x14ac:dyDescent="0.4">
      <c r="A582"/>
      <c r="B582"/>
      <c r="C582"/>
      <c r="D582"/>
      <c r="E582"/>
      <c r="F582"/>
      <c r="G582"/>
      <c r="H582"/>
      <c r="I582"/>
      <c r="J582"/>
      <c r="K582"/>
      <c r="L582"/>
      <c r="M582"/>
      <c r="N582"/>
      <c r="O582"/>
      <c r="P582"/>
      <c r="Q582"/>
      <c r="R582"/>
      <c r="S582"/>
      <c r="T582"/>
      <c r="U582"/>
      <c r="V582"/>
      <c r="W582"/>
    </row>
    <row r="583" spans="1:23" x14ac:dyDescent="0.4">
      <c r="A583"/>
      <c r="B583"/>
      <c r="C583"/>
      <c r="D583"/>
      <c r="E583"/>
      <c r="F583"/>
      <c r="G583"/>
      <c r="H583"/>
      <c r="I583"/>
      <c r="J583"/>
      <c r="K583"/>
      <c r="L583"/>
      <c r="M583"/>
      <c r="N583"/>
      <c r="O583"/>
      <c r="P583"/>
      <c r="Q583"/>
      <c r="R583"/>
      <c r="S583"/>
      <c r="T583"/>
      <c r="U583"/>
      <c r="V583"/>
      <c r="W583"/>
    </row>
    <row r="584" spans="1:23" x14ac:dyDescent="0.4">
      <c r="A584"/>
      <c r="B584"/>
      <c r="C584"/>
      <c r="D584"/>
      <c r="E584"/>
      <c r="F584"/>
      <c r="G584"/>
      <c r="H584"/>
      <c r="I584"/>
      <c r="J584"/>
      <c r="K584"/>
      <c r="L584"/>
      <c r="M584"/>
      <c r="N584"/>
      <c r="O584"/>
      <c r="P584"/>
      <c r="Q584"/>
      <c r="R584"/>
      <c r="S584"/>
      <c r="T584"/>
      <c r="U584"/>
      <c r="V584"/>
      <c r="W584"/>
    </row>
    <row r="585" spans="1:23" x14ac:dyDescent="0.4">
      <c r="A585"/>
      <c r="B585"/>
      <c r="C585"/>
      <c r="D585"/>
      <c r="E585"/>
      <c r="F585"/>
      <c r="G585"/>
      <c r="H585"/>
      <c r="I585"/>
      <c r="J585"/>
      <c r="K585"/>
      <c r="L585"/>
      <c r="M585"/>
      <c r="N585"/>
      <c r="O585"/>
      <c r="P585"/>
      <c r="Q585"/>
      <c r="R585"/>
      <c r="S585"/>
      <c r="T585"/>
      <c r="U585"/>
      <c r="V585"/>
      <c r="W585"/>
    </row>
    <row r="586" spans="1:23" x14ac:dyDescent="0.4">
      <c r="A586"/>
      <c r="B586"/>
      <c r="C586"/>
      <c r="D586"/>
      <c r="E586"/>
      <c r="F586"/>
      <c r="G586"/>
      <c r="H586"/>
      <c r="I586"/>
      <c r="J586"/>
      <c r="K586"/>
      <c r="L586"/>
      <c r="M586"/>
      <c r="N586"/>
      <c r="O586"/>
      <c r="P586"/>
      <c r="Q586"/>
      <c r="R586"/>
      <c r="S586"/>
      <c r="T586"/>
      <c r="U586"/>
      <c r="V586"/>
      <c r="W586"/>
    </row>
    <row r="587" spans="1:23" x14ac:dyDescent="0.4">
      <c r="A587"/>
      <c r="B587"/>
      <c r="C587"/>
      <c r="D587"/>
      <c r="E587"/>
      <c r="F587"/>
      <c r="G587"/>
      <c r="H587"/>
      <c r="I587"/>
      <c r="J587"/>
      <c r="K587"/>
      <c r="L587"/>
      <c r="M587"/>
      <c r="N587"/>
      <c r="O587"/>
      <c r="P587"/>
      <c r="Q587"/>
      <c r="R587"/>
      <c r="S587"/>
      <c r="T587"/>
      <c r="U587"/>
      <c r="V587"/>
      <c r="W587"/>
    </row>
    <row r="588" spans="1:23" x14ac:dyDescent="0.4">
      <c r="A588"/>
      <c r="B588"/>
      <c r="C588"/>
      <c r="D588"/>
      <c r="E588"/>
      <c r="F588"/>
      <c r="G588"/>
      <c r="H588"/>
      <c r="I588"/>
      <c r="J588"/>
      <c r="K588"/>
      <c r="L588"/>
      <c r="M588"/>
      <c r="N588"/>
      <c r="O588"/>
      <c r="P588"/>
      <c r="Q588"/>
      <c r="R588"/>
      <c r="S588"/>
      <c r="T588"/>
      <c r="U588"/>
      <c r="V588"/>
      <c r="W588"/>
    </row>
    <row r="589" spans="1:23" x14ac:dyDescent="0.4">
      <c r="A589"/>
      <c r="B589"/>
      <c r="C589"/>
      <c r="D589"/>
      <c r="E589"/>
      <c r="F589"/>
      <c r="G589"/>
      <c r="H589"/>
      <c r="I589"/>
      <c r="J589"/>
      <c r="K589"/>
      <c r="L589"/>
      <c r="M589"/>
      <c r="N589"/>
      <c r="O589"/>
      <c r="P589"/>
      <c r="Q589"/>
      <c r="R589"/>
      <c r="S589"/>
      <c r="T589"/>
      <c r="U589"/>
      <c r="V589"/>
      <c r="W589"/>
    </row>
    <row r="590" spans="1:23" x14ac:dyDescent="0.4">
      <c r="A590"/>
      <c r="B590"/>
      <c r="C590"/>
      <c r="D590"/>
      <c r="E590"/>
      <c r="F590"/>
      <c r="G590"/>
      <c r="H590"/>
      <c r="I590"/>
      <c r="J590"/>
      <c r="K590"/>
      <c r="L590"/>
      <c r="M590"/>
      <c r="N590"/>
      <c r="O590"/>
      <c r="P590"/>
      <c r="Q590"/>
      <c r="R590"/>
      <c r="S590"/>
      <c r="T590"/>
      <c r="U590"/>
      <c r="V590"/>
      <c r="W590"/>
    </row>
    <row r="591" spans="1:23" x14ac:dyDescent="0.4">
      <c r="A591"/>
      <c r="B591"/>
      <c r="C591"/>
      <c r="D591"/>
      <c r="E591"/>
      <c r="F591"/>
      <c r="G591"/>
      <c r="H591"/>
      <c r="I591"/>
      <c r="J591"/>
      <c r="K591"/>
      <c r="L591"/>
      <c r="M591"/>
      <c r="N591"/>
      <c r="O591"/>
      <c r="P591"/>
      <c r="Q591"/>
      <c r="R591"/>
      <c r="S591"/>
      <c r="T591"/>
      <c r="U591"/>
      <c r="V591"/>
      <c r="W591"/>
    </row>
    <row r="592" spans="1:23" x14ac:dyDescent="0.4">
      <c r="A592"/>
      <c r="B592"/>
      <c r="C592"/>
      <c r="D592"/>
      <c r="E592"/>
      <c r="F592"/>
      <c r="G592"/>
      <c r="H592"/>
      <c r="I592"/>
      <c r="J592"/>
      <c r="K592"/>
      <c r="L592"/>
      <c r="M592"/>
      <c r="N592"/>
      <c r="O592"/>
      <c r="P592"/>
      <c r="Q592"/>
      <c r="R592"/>
      <c r="S592"/>
      <c r="T592"/>
      <c r="U592"/>
      <c r="V592"/>
      <c r="W592"/>
    </row>
    <row r="593" spans="1:23" x14ac:dyDescent="0.4">
      <c r="A593"/>
      <c r="B593"/>
      <c r="C593"/>
      <c r="D593"/>
      <c r="E593"/>
      <c r="F593"/>
      <c r="G593"/>
      <c r="H593"/>
      <c r="I593"/>
      <c r="J593"/>
      <c r="K593"/>
      <c r="L593"/>
      <c r="M593"/>
      <c r="N593"/>
      <c r="O593"/>
      <c r="P593"/>
      <c r="Q593"/>
      <c r="R593"/>
      <c r="S593"/>
      <c r="T593"/>
      <c r="U593"/>
      <c r="V593"/>
      <c r="W593"/>
    </row>
    <row r="594" spans="1:23" x14ac:dyDescent="0.4">
      <c r="A594"/>
      <c r="B594"/>
      <c r="C594"/>
      <c r="D594"/>
      <c r="E594"/>
      <c r="F594"/>
      <c r="G594"/>
      <c r="H594"/>
      <c r="I594"/>
      <c r="J594"/>
      <c r="K594"/>
      <c r="L594"/>
      <c r="M594"/>
      <c r="N594"/>
      <c r="O594"/>
      <c r="P594"/>
      <c r="Q594"/>
      <c r="R594"/>
      <c r="S594"/>
      <c r="T594"/>
      <c r="U594"/>
      <c r="V594"/>
      <c r="W594"/>
    </row>
    <row r="595" spans="1:23" x14ac:dyDescent="0.4">
      <c r="A595"/>
      <c r="B595"/>
      <c r="C595"/>
      <c r="D595"/>
      <c r="E595"/>
      <c r="F595"/>
      <c r="G595"/>
      <c r="H595"/>
      <c r="I595"/>
      <c r="J595"/>
      <c r="K595"/>
      <c r="L595"/>
      <c r="M595"/>
      <c r="N595"/>
      <c r="O595"/>
      <c r="P595"/>
      <c r="Q595"/>
      <c r="R595"/>
      <c r="S595"/>
      <c r="T595"/>
      <c r="U595"/>
      <c r="V595"/>
      <c r="W595"/>
    </row>
    <row r="596" spans="1:23" x14ac:dyDescent="0.4">
      <c r="A596"/>
      <c r="B596"/>
      <c r="C596"/>
      <c r="D596"/>
      <c r="E596"/>
      <c r="F596"/>
      <c r="G596"/>
      <c r="H596"/>
      <c r="I596"/>
      <c r="J596"/>
      <c r="K596"/>
      <c r="L596"/>
      <c r="M596"/>
      <c r="N596"/>
      <c r="O596"/>
      <c r="P596"/>
      <c r="Q596"/>
      <c r="R596"/>
      <c r="S596"/>
      <c r="T596"/>
      <c r="U596"/>
      <c r="V596"/>
      <c r="W596"/>
    </row>
    <row r="597" spans="1:23" x14ac:dyDescent="0.4">
      <c r="A597"/>
      <c r="B597"/>
      <c r="C597"/>
      <c r="D597"/>
      <c r="E597"/>
      <c r="F597"/>
      <c r="G597"/>
      <c r="H597"/>
      <c r="I597"/>
      <c r="J597"/>
      <c r="K597"/>
      <c r="L597"/>
      <c r="M597"/>
      <c r="N597"/>
      <c r="O597"/>
      <c r="P597"/>
      <c r="Q597"/>
      <c r="R597"/>
      <c r="S597"/>
      <c r="T597"/>
      <c r="U597"/>
      <c r="V597"/>
      <c r="W597"/>
    </row>
    <row r="598" spans="1:23" x14ac:dyDescent="0.4">
      <c r="A598"/>
      <c r="B598"/>
      <c r="C598"/>
      <c r="D598"/>
      <c r="E598"/>
      <c r="F598"/>
      <c r="G598"/>
      <c r="H598"/>
      <c r="I598"/>
      <c r="J598"/>
      <c r="K598"/>
      <c r="L598"/>
      <c r="M598"/>
      <c r="N598"/>
      <c r="O598"/>
      <c r="P598"/>
      <c r="Q598"/>
      <c r="R598"/>
      <c r="S598"/>
      <c r="T598"/>
      <c r="U598"/>
      <c r="V598"/>
      <c r="W598"/>
    </row>
    <row r="599" spans="1:23" x14ac:dyDescent="0.4">
      <c r="A599"/>
      <c r="B599"/>
      <c r="C599"/>
      <c r="D599"/>
      <c r="E599"/>
      <c r="F599"/>
      <c r="G599"/>
      <c r="H599"/>
      <c r="I599"/>
      <c r="J599"/>
      <c r="K599"/>
      <c r="L599"/>
      <c r="M599"/>
      <c r="N599"/>
      <c r="O599"/>
      <c r="P599"/>
      <c r="Q599"/>
      <c r="R599"/>
      <c r="S599"/>
      <c r="T599"/>
      <c r="U599"/>
      <c r="V599"/>
      <c r="W599"/>
    </row>
    <row r="600" spans="1:23" x14ac:dyDescent="0.4">
      <c r="A600"/>
      <c r="B600"/>
      <c r="C600"/>
      <c r="D600"/>
      <c r="E600"/>
      <c r="F600"/>
      <c r="G600"/>
      <c r="H600"/>
      <c r="I600"/>
      <c r="J600"/>
      <c r="K600"/>
      <c r="L600"/>
      <c r="M600"/>
      <c r="N600"/>
      <c r="O600"/>
      <c r="P600"/>
      <c r="Q600"/>
      <c r="R600"/>
      <c r="S600"/>
      <c r="T600"/>
      <c r="U600"/>
      <c r="V600"/>
      <c r="W600"/>
    </row>
    <row r="601" spans="1:23" x14ac:dyDescent="0.4">
      <c r="A601"/>
      <c r="B601"/>
      <c r="C601"/>
      <c r="D601"/>
      <c r="E601"/>
      <c r="F601"/>
      <c r="G601"/>
      <c r="H601"/>
      <c r="I601"/>
      <c r="J601"/>
      <c r="K601"/>
      <c r="L601"/>
      <c r="M601"/>
      <c r="N601"/>
      <c r="O601"/>
      <c r="P601"/>
      <c r="Q601"/>
      <c r="R601"/>
      <c r="S601"/>
      <c r="T601"/>
      <c r="U601"/>
      <c r="V601"/>
      <c r="W601"/>
    </row>
    <row r="602" spans="1:23" x14ac:dyDescent="0.4">
      <c r="A602"/>
      <c r="B602"/>
      <c r="C602"/>
      <c r="D602"/>
      <c r="E602"/>
      <c r="F602"/>
      <c r="G602"/>
      <c r="H602"/>
      <c r="I602"/>
      <c r="J602"/>
      <c r="K602"/>
      <c r="L602"/>
      <c r="M602"/>
      <c r="N602"/>
      <c r="O602"/>
      <c r="P602"/>
      <c r="Q602"/>
      <c r="R602"/>
      <c r="S602"/>
      <c r="T602"/>
      <c r="U602"/>
      <c r="V602"/>
      <c r="W602"/>
    </row>
    <row r="603" spans="1:23" x14ac:dyDescent="0.4">
      <c r="A603"/>
      <c r="B603"/>
      <c r="C603"/>
      <c r="D603"/>
      <c r="E603"/>
      <c r="F603"/>
      <c r="G603"/>
      <c r="H603"/>
      <c r="I603"/>
      <c r="J603"/>
      <c r="K603"/>
      <c r="L603"/>
      <c r="M603"/>
      <c r="N603"/>
      <c r="O603"/>
      <c r="P603"/>
      <c r="Q603"/>
      <c r="R603"/>
      <c r="S603"/>
      <c r="T603"/>
      <c r="U603"/>
      <c r="V603"/>
      <c r="W603"/>
    </row>
    <row r="604" spans="1:23" x14ac:dyDescent="0.4">
      <c r="A604"/>
      <c r="B604"/>
      <c r="C604"/>
      <c r="D604"/>
      <c r="E604"/>
      <c r="F604"/>
      <c r="G604"/>
      <c r="H604"/>
      <c r="I604"/>
      <c r="J604"/>
      <c r="K604"/>
      <c r="L604"/>
      <c r="M604"/>
      <c r="N604"/>
      <c r="O604"/>
      <c r="P604"/>
      <c r="Q604"/>
      <c r="R604"/>
      <c r="S604"/>
      <c r="T604"/>
      <c r="U604"/>
      <c r="V604"/>
      <c r="W604"/>
    </row>
    <row r="605" spans="1:23" x14ac:dyDescent="0.4">
      <c r="A605"/>
      <c r="B605"/>
      <c r="C605"/>
      <c r="D605"/>
      <c r="E605"/>
      <c r="F605"/>
      <c r="G605"/>
      <c r="H605"/>
      <c r="I605"/>
      <c r="J605"/>
      <c r="K605"/>
      <c r="L605"/>
      <c r="M605"/>
      <c r="N605"/>
      <c r="O605"/>
      <c r="P605"/>
      <c r="Q605"/>
      <c r="R605"/>
      <c r="S605"/>
      <c r="T605"/>
      <c r="U605"/>
      <c r="V605"/>
      <c r="W605"/>
    </row>
    <row r="606" spans="1:23" x14ac:dyDescent="0.4">
      <c r="A606"/>
      <c r="B606"/>
      <c r="C606"/>
      <c r="D606"/>
      <c r="E606"/>
      <c r="F606"/>
      <c r="G606"/>
      <c r="H606"/>
      <c r="I606"/>
      <c r="J606"/>
      <c r="K606"/>
      <c r="L606"/>
      <c r="M606"/>
      <c r="N606"/>
      <c r="O606"/>
      <c r="P606"/>
      <c r="Q606"/>
      <c r="R606"/>
      <c r="S606"/>
      <c r="T606"/>
      <c r="U606"/>
      <c r="V606"/>
      <c r="W606"/>
    </row>
    <row r="607" spans="1:23" x14ac:dyDescent="0.4">
      <c r="A607"/>
      <c r="B607"/>
      <c r="C607"/>
      <c r="D607"/>
      <c r="E607"/>
      <c r="F607"/>
      <c r="G607"/>
      <c r="H607"/>
      <c r="I607"/>
      <c r="J607"/>
      <c r="K607"/>
      <c r="L607"/>
      <c r="M607"/>
      <c r="N607"/>
      <c r="O607"/>
      <c r="P607"/>
      <c r="Q607"/>
      <c r="R607"/>
      <c r="S607"/>
      <c r="T607"/>
      <c r="U607"/>
      <c r="V607"/>
      <c r="W607"/>
    </row>
    <row r="608" spans="1:23" x14ac:dyDescent="0.4">
      <c r="A608"/>
      <c r="B608"/>
      <c r="C608"/>
      <c r="D608"/>
      <c r="E608"/>
      <c r="F608"/>
      <c r="G608"/>
      <c r="H608"/>
      <c r="I608"/>
      <c r="J608"/>
      <c r="K608"/>
      <c r="L608"/>
      <c r="M608"/>
      <c r="N608"/>
      <c r="O608"/>
      <c r="P608"/>
      <c r="Q608"/>
      <c r="R608"/>
      <c r="S608"/>
      <c r="T608"/>
      <c r="U608"/>
      <c r="V608"/>
      <c r="W608"/>
    </row>
    <row r="609" spans="1:23" x14ac:dyDescent="0.4">
      <c r="A609"/>
      <c r="B609"/>
      <c r="C609"/>
      <c r="D609"/>
      <c r="E609"/>
      <c r="F609"/>
      <c r="G609"/>
      <c r="H609"/>
      <c r="I609"/>
      <c r="J609"/>
      <c r="K609"/>
      <c r="L609"/>
      <c r="M609"/>
      <c r="N609"/>
      <c r="O609"/>
      <c r="P609"/>
      <c r="Q609"/>
      <c r="R609"/>
      <c r="S609"/>
      <c r="T609"/>
      <c r="U609"/>
      <c r="V609"/>
      <c r="W609"/>
    </row>
    <row r="610" spans="1:23" x14ac:dyDescent="0.4">
      <c r="A610"/>
      <c r="B610"/>
      <c r="C610"/>
      <c r="D610"/>
      <c r="E610"/>
      <c r="F610"/>
      <c r="G610"/>
      <c r="H610"/>
      <c r="I610"/>
      <c r="J610"/>
      <c r="K610"/>
      <c r="L610"/>
      <c r="M610"/>
      <c r="N610"/>
      <c r="O610"/>
      <c r="P610"/>
      <c r="Q610"/>
      <c r="R610"/>
      <c r="S610"/>
      <c r="T610"/>
      <c r="U610"/>
      <c r="V610"/>
      <c r="W610"/>
    </row>
    <row r="611" spans="1:23" x14ac:dyDescent="0.4">
      <c r="A611"/>
      <c r="B611"/>
      <c r="C611"/>
      <c r="D611"/>
      <c r="E611"/>
      <c r="F611"/>
      <c r="G611"/>
      <c r="H611"/>
      <c r="I611"/>
      <c r="J611"/>
      <c r="K611"/>
      <c r="L611"/>
      <c r="M611"/>
      <c r="N611"/>
      <c r="O611"/>
      <c r="P611"/>
      <c r="Q611"/>
      <c r="R611"/>
      <c r="S611"/>
      <c r="T611"/>
      <c r="U611"/>
      <c r="V611"/>
      <c r="W611"/>
    </row>
    <row r="612" spans="1:23" x14ac:dyDescent="0.4">
      <c r="A612"/>
      <c r="B612"/>
      <c r="C612"/>
      <c r="D612"/>
      <c r="E612"/>
      <c r="F612"/>
      <c r="G612"/>
      <c r="H612"/>
      <c r="I612"/>
      <c r="J612"/>
      <c r="K612"/>
      <c r="L612"/>
      <c r="M612"/>
      <c r="N612"/>
      <c r="O612"/>
      <c r="P612"/>
      <c r="Q612"/>
      <c r="R612"/>
      <c r="S612"/>
      <c r="T612"/>
      <c r="U612"/>
      <c r="V612"/>
      <c r="W612"/>
    </row>
    <row r="613" spans="1:23" x14ac:dyDescent="0.4">
      <c r="A613"/>
      <c r="B613"/>
      <c r="C613"/>
      <c r="D613"/>
      <c r="E613"/>
      <c r="F613"/>
      <c r="G613"/>
      <c r="H613"/>
      <c r="I613"/>
      <c r="J613"/>
      <c r="K613"/>
      <c r="L613"/>
      <c r="M613"/>
      <c r="N613"/>
      <c r="O613"/>
      <c r="P613"/>
      <c r="Q613"/>
      <c r="R613"/>
      <c r="S613"/>
      <c r="T613"/>
      <c r="U613"/>
      <c r="V613"/>
      <c r="W613"/>
    </row>
    <row r="614" spans="1:23" x14ac:dyDescent="0.4">
      <c r="A614"/>
      <c r="B614"/>
      <c r="C614"/>
      <c r="D614"/>
      <c r="E614"/>
      <c r="F614"/>
      <c r="G614"/>
      <c r="H614"/>
      <c r="I614"/>
      <c r="J614"/>
      <c r="K614"/>
      <c r="L614"/>
      <c r="M614"/>
      <c r="N614"/>
      <c r="O614"/>
      <c r="P614"/>
      <c r="Q614"/>
      <c r="R614"/>
      <c r="S614"/>
      <c r="T614"/>
      <c r="U614"/>
      <c r="V614"/>
      <c r="W614"/>
    </row>
    <row r="615" spans="1:23" x14ac:dyDescent="0.4">
      <c r="A615"/>
      <c r="B615"/>
      <c r="C615"/>
      <c r="D615"/>
      <c r="E615"/>
      <c r="F615"/>
      <c r="G615"/>
      <c r="H615"/>
      <c r="I615"/>
      <c r="J615"/>
      <c r="K615"/>
      <c r="L615"/>
      <c r="M615"/>
      <c r="N615"/>
      <c r="O615"/>
      <c r="P615"/>
      <c r="Q615"/>
      <c r="R615"/>
      <c r="S615"/>
      <c r="T615"/>
      <c r="U615"/>
      <c r="V615"/>
      <c r="W615"/>
    </row>
    <row r="616" spans="1:23" x14ac:dyDescent="0.4">
      <c r="A616"/>
      <c r="B616"/>
      <c r="C616"/>
      <c r="D616"/>
      <c r="E616"/>
      <c r="F616"/>
      <c r="G616"/>
      <c r="H616"/>
      <c r="I616"/>
      <c r="J616"/>
      <c r="K616"/>
      <c r="L616"/>
      <c r="M616"/>
      <c r="N616"/>
      <c r="O616"/>
      <c r="P616"/>
      <c r="Q616"/>
      <c r="R616"/>
      <c r="S616"/>
      <c r="T616"/>
      <c r="U616"/>
      <c r="V616"/>
      <c r="W616"/>
    </row>
    <row r="617" spans="1:23" x14ac:dyDescent="0.4">
      <c r="A617"/>
      <c r="B617"/>
      <c r="C617"/>
      <c r="D617"/>
      <c r="E617"/>
      <c r="F617"/>
      <c r="G617"/>
      <c r="H617"/>
      <c r="I617"/>
      <c r="J617"/>
      <c r="K617"/>
      <c r="L617"/>
      <c r="M617"/>
      <c r="N617"/>
      <c r="O617"/>
      <c r="P617"/>
      <c r="Q617"/>
      <c r="R617"/>
      <c r="S617"/>
      <c r="T617"/>
      <c r="U617"/>
      <c r="V617"/>
      <c r="W617"/>
    </row>
    <row r="618" spans="1:23" x14ac:dyDescent="0.4">
      <c r="A618"/>
      <c r="B618"/>
      <c r="C618"/>
      <c r="D618"/>
      <c r="E618"/>
      <c r="F618"/>
      <c r="G618"/>
      <c r="H618"/>
      <c r="I618"/>
      <c r="J618"/>
      <c r="K618"/>
      <c r="L618"/>
      <c r="M618"/>
      <c r="N618"/>
      <c r="O618"/>
      <c r="P618"/>
      <c r="Q618"/>
      <c r="R618"/>
      <c r="S618"/>
      <c r="T618"/>
      <c r="U618"/>
      <c r="V618"/>
      <c r="W618"/>
    </row>
    <row r="619" spans="1:23" x14ac:dyDescent="0.4">
      <c r="A619"/>
      <c r="B619"/>
      <c r="C619"/>
      <c r="D619"/>
      <c r="E619"/>
      <c r="F619"/>
      <c r="G619"/>
      <c r="H619"/>
      <c r="I619"/>
      <c r="J619"/>
      <c r="K619"/>
      <c r="L619"/>
      <c r="M619"/>
      <c r="N619"/>
      <c r="O619"/>
      <c r="P619"/>
      <c r="Q619"/>
      <c r="R619"/>
      <c r="S619"/>
      <c r="T619"/>
      <c r="U619"/>
      <c r="V619"/>
      <c r="W619"/>
    </row>
    <row r="620" spans="1:23" x14ac:dyDescent="0.4">
      <c r="A620"/>
      <c r="B620"/>
      <c r="C620"/>
      <c r="D620"/>
      <c r="E620"/>
      <c r="F620"/>
      <c r="G620"/>
      <c r="H620"/>
      <c r="I620"/>
      <c r="J620"/>
      <c r="K620"/>
      <c r="L620"/>
      <c r="M620"/>
      <c r="N620"/>
      <c r="O620"/>
      <c r="P620"/>
      <c r="Q620"/>
      <c r="R620"/>
      <c r="S620"/>
      <c r="T620"/>
      <c r="U620"/>
      <c r="V620"/>
      <c r="W620"/>
    </row>
    <row r="621" spans="1:23" x14ac:dyDescent="0.4">
      <c r="A621"/>
      <c r="B621"/>
      <c r="C621"/>
      <c r="D621"/>
      <c r="E621"/>
      <c r="F621"/>
      <c r="G621"/>
      <c r="H621"/>
      <c r="I621"/>
      <c r="J621"/>
      <c r="K621"/>
      <c r="L621"/>
      <c r="M621"/>
      <c r="N621"/>
      <c r="O621"/>
      <c r="P621"/>
      <c r="Q621"/>
      <c r="R621"/>
      <c r="S621"/>
      <c r="T621"/>
      <c r="U621"/>
      <c r="V621"/>
      <c r="W621"/>
    </row>
    <row r="622" spans="1:23" x14ac:dyDescent="0.4">
      <c r="A622"/>
      <c r="B622"/>
      <c r="C622"/>
      <c r="D622"/>
      <c r="E622"/>
      <c r="F622"/>
      <c r="G622"/>
      <c r="H622"/>
      <c r="I622"/>
      <c r="J622"/>
      <c r="K622"/>
      <c r="L622"/>
      <c r="M622"/>
      <c r="N622"/>
      <c r="O622"/>
      <c r="P622"/>
      <c r="Q622"/>
      <c r="R622"/>
      <c r="S622"/>
      <c r="T622"/>
      <c r="U622"/>
      <c r="V622"/>
      <c r="W622"/>
    </row>
    <row r="623" spans="1:23" x14ac:dyDescent="0.4">
      <c r="A623"/>
      <c r="B623"/>
      <c r="C623"/>
      <c r="D623"/>
      <c r="E623"/>
      <c r="F623"/>
      <c r="G623"/>
      <c r="H623"/>
      <c r="I623"/>
      <c r="J623"/>
      <c r="K623"/>
      <c r="L623"/>
      <c r="M623"/>
      <c r="N623"/>
      <c r="O623"/>
      <c r="P623"/>
      <c r="Q623"/>
      <c r="R623"/>
      <c r="S623"/>
      <c r="T623"/>
      <c r="U623"/>
      <c r="V623"/>
      <c r="W623"/>
    </row>
    <row r="624" spans="1:23" x14ac:dyDescent="0.4">
      <c r="A624"/>
      <c r="B624"/>
      <c r="C624"/>
      <c r="D624"/>
      <c r="E624"/>
      <c r="F624"/>
      <c r="G624"/>
      <c r="H624"/>
      <c r="I624"/>
      <c r="J624"/>
      <c r="K624"/>
      <c r="L624"/>
      <c r="M624"/>
      <c r="N624"/>
      <c r="O624"/>
      <c r="P624"/>
      <c r="Q624"/>
      <c r="R624"/>
      <c r="S624"/>
      <c r="T624"/>
      <c r="U624"/>
      <c r="V624"/>
      <c r="W624"/>
    </row>
    <row r="625" spans="1:23" x14ac:dyDescent="0.4">
      <c r="A625"/>
      <c r="B625"/>
      <c r="C625"/>
      <c r="D625"/>
      <c r="E625"/>
      <c r="F625"/>
      <c r="G625"/>
      <c r="H625"/>
      <c r="I625"/>
      <c r="J625"/>
      <c r="K625"/>
      <c r="L625"/>
      <c r="M625"/>
      <c r="N625"/>
      <c r="O625"/>
      <c r="P625"/>
      <c r="Q625"/>
      <c r="R625"/>
      <c r="S625"/>
      <c r="T625"/>
      <c r="U625"/>
      <c r="V625"/>
      <c r="W625"/>
    </row>
    <row r="626" spans="1:23" x14ac:dyDescent="0.4">
      <c r="A626"/>
      <c r="B626"/>
      <c r="C626"/>
      <c r="D626"/>
      <c r="E626"/>
      <c r="F626"/>
      <c r="G626"/>
      <c r="H626"/>
      <c r="I626"/>
      <c r="J626"/>
      <c r="K626"/>
      <c r="L626"/>
      <c r="M626"/>
      <c r="N626"/>
      <c r="O626"/>
      <c r="P626"/>
      <c r="Q626"/>
      <c r="R626"/>
      <c r="S626"/>
      <c r="T626"/>
      <c r="U626"/>
      <c r="V626"/>
      <c r="W626"/>
    </row>
    <row r="627" spans="1:23" x14ac:dyDescent="0.4">
      <c r="A627"/>
      <c r="B627"/>
      <c r="C627"/>
      <c r="D627"/>
      <c r="E627"/>
      <c r="F627"/>
      <c r="G627"/>
      <c r="H627"/>
      <c r="I627"/>
      <c r="J627"/>
      <c r="K627"/>
      <c r="L627"/>
      <c r="M627"/>
      <c r="N627"/>
      <c r="O627"/>
      <c r="P627"/>
      <c r="Q627"/>
      <c r="R627"/>
      <c r="S627"/>
      <c r="T627"/>
      <c r="U627"/>
      <c r="V627"/>
      <c r="W627"/>
    </row>
    <row r="628" spans="1:23" x14ac:dyDescent="0.4">
      <c r="A628"/>
      <c r="B628"/>
      <c r="C628"/>
      <c r="D628"/>
      <c r="E628"/>
      <c r="F628"/>
      <c r="G628"/>
      <c r="H628"/>
      <c r="I628"/>
      <c r="J628"/>
      <c r="K628"/>
      <c r="L628"/>
      <c r="M628"/>
      <c r="N628"/>
      <c r="O628"/>
      <c r="P628"/>
      <c r="Q628"/>
      <c r="R628"/>
      <c r="S628"/>
      <c r="T628"/>
      <c r="U628"/>
      <c r="V628"/>
      <c r="W628"/>
    </row>
    <row r="629" spans="1:23" x14ac:dyDescent="0.4">
      <c r="A629"/>
      <c r="B629"/>
      <c r="C629"/>
      <c r="D629"/>
      <c r="E629"/>
      <c r="F629"/>
      <c r="G629"/>
      <c r="H629"/>
      <c r="I629"/>
      <c r="J629"/>
      <c r="K629"/>
      <c r="L629"/>
      <c r="M629"/>
      <c r="N629"/>
      <c r="O629"/>
      <c r="P629"/>
      <c r="Q629"/>
      <c r="R629"/>
      <c r="S629"/>
      <c r="T629"/>
      <c r="U629"/>
      <c r="V629"/>
      <c r="W629"/>
    </row>
    <row r="630" spans="1:23" x14ac:dyDescent="0.4">
      <c r="A630"/>
      <c r="B630"/>
      <c r="C630"/>
      <c r="D630"/>
      <c r="E630"/>
      <c r="F630"/>
      <c r="G630"/>
      <c r="H630"/>
      <c r="I630"/>
      <c r="J630"/>
      <c r="K630"/>
      <c r="L630"/>
      <c r="M630"/>
      <c r="N630"/>
      <c r="O630"/>
      <c r="P630"/>
      <c r="Q630"/>
      <c r="R630"/>
      <c r="S630"/>
      <c r="T630"/>
      <c r="U630"/>
      <c r="V630"/>
      <c r="W630"/>
    </row>
    <row r="631" spans="1:23" x14ac:dyDescent="0.4">
      <c r="A631"/>
      <c r="B631"/>
      <c r="C631"/>
      <c r="D631"/>
      <c r="E631"/>
      <c r="F631"/>
      <c r="G631"/>
      <c r="H631"/>
      <c r="I631"/>
      <c r="J631"/>
      <c r="K631"/>
      <c r="L631"/>
      <c r="M631"/>
      <c r="N631"/>
      <c r="O631"/>
      <c r="P631"/>
      <c r="Q631"/>
      <c r="R631"/>
      <c r="S631"/>
      <c r="T631"/>
      <c r="U631"/>
      <c r="V631"/>
      <c r="W631"/>
    </row>
    <row r="632" spans="1:23" x14ac:dyDescent="0.4">
      <c r="A632"/>
      <c r="B632"/>
      <c r="C632"/>
      <c r="D632"/>
      <c r="E632"/>
      <c r="F632"/>
      <c r="G632"/>
      <c r="H632"/>
      <c r="I632"/>
      <c r="J632"/>
      <c r="K632"/>
      <c r="L632"/>
      <c r="M632"/>
      <c r="N632"/>
      <c r="O632"/>
      <c r="P632"/>
      <c r="Q632"/>
      <c r="R632"/>
      <c r="S632"/>
      <c r="T632"/>
      <c r="U632"/>
      <c r="V632"/>
      <c r="W632"/>
    </row>
    <row r="633" spans="1:23" x14ac:dyDescent="0.4">
      <c r="A633"/>
      <c r="B633"/>
      <c r="C633"/>
      <c r="D633"/>
      <c r="E633"/>
      <c r="F633"/>
      <c r="G633"/>
      <c r="H633"/>
      <c r="I633"/>
      <c r="J633"/>
      <c r="K633"/>
      <c r="L633"/>
      <c r="M633"/>
      <c r="N633"/>
      <c r="O633"/>
      <c r="P633"/>
      <c r="Q633"/>
      <c r="R633"/>
      <c r="S633"/>
      <c r="T633"/>
      <c r="U633"/>
      <c r="V633"/>
      <c r="W633"/>
    </row>
    <row r="634" spans="1:23" x14ac:dyDescent="0.4">
      <c r="A634"/>
      <c r="B634"/>
      <c r="C634"/>
      <c r="D634"/>
      <c r="E634"/>
      <c r="F634"/>
      <c r="G634"/>
      <c r="H634"/>
      <c r="I634"/>
      <c r="J634"/>
      <c r="K634"/>
      <c r="L634"/>
      <c r="M634"/>
      <c r="N634"/>
      <c r="O634"/>
      <c r="P634"/>
      <c r="Q634"/>
      <c r="R634"/>
      <c r="S634"/>
      <c r="T634"/>
      <c r="U634"/>
      <c r="V634"/>
      <c r="W634"/>
    </row>
    <row r="635" spans="1:23" x14ac:dyDescent="0.4">
      <c r="A635"/>
      <c r="B635"/>
      <c r="C635"/>
      <c r="D635"/>
      <c r="E635"/>
      <c r="F635"/>
      <c r="G635"/>
      <c r="H635"/>
      <c r="I635"/>
      <c r="J635"/>
      <c r="K635"/>
      <c r="L635"/>
      <c r="M635"/>
      <c r="N635"/>
      <c r="O635"/>
      <c r="P635"/>
      <c r="Q635"/>
      <c r="R635"/>
      <c r="S635"/>
      <c r="T635"/>
      <c r="U635"/>
      <c r="V635"/>
      <c r="W635"/>
    </row>
    <row r="636" spans="1:23" x14ac:dyDescent="0.4">
      <c r="A636"/>
      <c r="B636"/>
      <c r="C636"/>
      <c r="D636"/>
      <c r="E636"/>
      <c r="F636"/>
      <c r="G636"/>
      <c r="H636"/>
      <c r="I636"/>
      <c r="J636"/>
      <c r="K636"/>
      <c r="L636"/>
      <c r="M636"/>
      <c r="N636"/>
      <c r="O636"/>
      <c r="P636"/>
      <c r="Q636"/>
      <c r="R636"/>
      <c r="S636"/>
      <c r="T636"/>
      <c r="U636"/>
      <c r="V636"/>
      <c r="W636"/>
    </row>
    <row r="637" spans="1:23" x14ac:dyDescent="0.4">
      <c r="A637"/>
      <c r="B637"/>
      <c r="C637"/>
      <c r="D637"/>
      <c r="E637"/>
      <c r="F637"/>
      <c r="G637"/>
      <c r="H637"/>
      <c r="I637"/>
      <c r="J637"/>
      <c r="K637"/>
      <c r="L637"/>
      <c r="M637"/>
      <c r="N637"/>
      <c r="O637"/>
      <c r="P637"/>
      <c r="Q637"/>
      <c r="R637"/>
      <c r="S637"/>
      <c r="T637"/>
      <c r="U637"/>
      <c r="V637"/>
      <c r="W637"/>
    </row>
    <row r="638" spans="1:23" x14ac:dyDescent="0.4">
      <c r="A638"/>
      <c r="B638"/>
      <c r="C638"/>
      <c r="D638"/>
      <c r="E638"/>
      <c r="F638"/>
      <c r="G638"/>
      <c r="H638"/>
      <c r="I638"/>
      <c r="J638"/>
      <c r="K638"/>
      <c r="L638"/>
      <c r="M638"/>
      <c r="N638"/>
      <c r="O638"/>
      <c r="P638"/>
      <c r="Q638"/>
      <c r="R638"/>
      <c r="S638"/>
      <c r="T638"/>
      <c r="U638"/>
      <c r="V638"/>
      <c r="W638"/>
    </row>
    <row r="639" spans="1:23" x14ac:dyDescent="0.4">
      <c r="A639"/>
      <c r="B639"/>
      <c r="C639"/>
      <c r="D639"/>
      <c r="E639"/>
      <c r="F639"/>
      <c r="G639"/>
      <c r="H639"/>
      <c r="I639"/>
      <c r="J639"/>
      <c r="K639"/>
      <c r="L639"/>
      <c r="M639"/>
      <c r="N639"/>
      <c r="O639"/>
      <c r="P639"/>
      <c r="Q639"/>
      <c r="R639"/>
      <c r="S639"/>
      <c r="T639"/>
      <c r="U639"/>
      <c r="V639"/>
      <c r="W639"/>
    </row>
    <row r="640" spans="1:23" x14ac:dyDescent="0.4">
      <c r="A640"/>
      <c r="B640"/>
      <c r="C640"/>
      <c r="D640"/>
      <c r="E640"/>
      <c r="F640"/>
      <c r="G640"/>
      <c r="H640"/>
      <c r="I640"/>
      <c r="J640"/>
      <c r="K640"/>
      <c r="L640"/>
      <c r="M640"/>
      <c r="N640"/>
      <c r="O640"/>
      <c r="P640"/>
      <c r="Q640"/>
      <c r="R640"/>
      <c r="S640"/>
      <c r="T640"/>
      <c r="U640"/>
      <c r="V640"/>
      <c r="W640"/>
    </row>
    <row r="641" spans="1:23" x14ac:dyDescent="0.4">
      <c r="A641"/>
      <c r="B641"/>
      <c r="C641"/>
      <c r="D641"/>
      <c r="E641"/>
      <c r="F641"/>
      <c r="G641"/>
      <c r="H641"/>
      <c r="I641"/>
      <c r="J641"/>
      <c r="K641"/>
      <c r="L641"/>
      <c r="M641"/>
      <c r="N641"/>
      <c r="O641"/>
      <c r="P641"/>
      <c r="Q641"/>
      <c r="R641"/>
      <c r="S641"/>
      <c r="T641"/>
      <c r="U641"/>
      <c r="V641"/>
      <c r="W641"/>
    </row>
    <row r="642" spans="1:23" x14ac:dyDescent="0.4">
      <c r="A642"/>
      <c r="B642"/>
      <c r="C642"/>
      <c r="D642"/>
      <c r="E642"/>
      <c r="F642"/>
      <c r="G642"/>
      <c r="H642"/>
      <c r="I642"/>
      <c r="J642"/>
      <c r="K642"/>
      <c r="L642"/>
      <c r="M642"/>
      <c r="N642"/>
      <c r="O642"/>
      <c r="P642"/>
      <c r="Q642"/>
      <c r="R642"/>
      <c r="S642"/>
      <c r="T642"/>
      <c r="U642"/>
      <c r="V642"/>
      <c r="W642"/>
    </row>
    <row r="643" spans="1:23" x14ac:dyDescent="0.4">
      <c r="A643"/>
      <c r="B643"/>
      <c r="C643"/>
      <c r="D643"/>
      <c r="E643"/>
      <c r="F643"/>
      <c r="G643"/>
      <c r="H643"/>
      <c r="I643"/>
      <c r="J643"/>
      <c r="K643"/>
      <c r="L643"/>
      <c r="M643"/>
      <c r="N643"/>
      <c r="O643"/>
      <c r="P643"/>
      <c r="Q643"/>
      <c r="R643"/>
      <c r="S643"/>
      <c r="T643"/>
      <c r="U643"/>
      <c r="V643"/>
      <c r="W643"/>
    </row>
    <row r="644" spans="1:23" x14ac:dyDescent="0.4">
      <c r="A644"/>
      <c r="B644"/>
      <c r="C644"/>
      <c r="D644"/>
      <c r="E644"/>
      <c r="F644"/>
      <c r="G644"/>
      <c r="H644"/>
      <c r="I644"/>
      <c r="J644"/>
      <c r="K644"/>
      <c r="L644"/>
      <c r="M644"/>
      <c r="N644"/>
      <c r="O644"/>
      <c r="P644"/>
      <c r="Q644"/>
      <c r="R644"/>
      <c r="S644"/>
      <c r="T644"/>
      <c r="U644"/>
      <c r="V644"/>
      <c r="W644"/>
    </row>
    <row r="645" spans="1:23" x14ac:dyDescent="0.4">
      <c r="A645"/>
      <c r="B645"/>
      <c r="C645"/>
      <c r="D645"/>
      <c r="E645"/>
      <c r="F645"/>
      <c r="G645"/>
      <c r="H645"/>
      <c r="I645"/>
      <c r="J645"/>
      <c r="K645"/>
      <c r="L645"/>
      <c r="M645"/>
      <c r="N645"/>
      <c r="O645"/>
      <c r="P645"/>
      <c r="Q645"/>
      <c r="R645"/>
      <c r="S645"/>
      <c r="T645"/>
      <c r="U645"/>
      <c r="V645"/>
      <c r="W645"/>
    </row>
    <row r="646" spans="1:23" x14ac:dyDescent="0.4">
      <c r="A646"/>
      <c r="B646"/>
      <c r="C646"/>
      <c r="D646"/>
      <c r="E646"/>
      <c r="F646"/>
      <c r="G646"/>
      <c r="H646"/>
      <c r="I646"/>
      <c r="J646"/>
      <c r="K646"/>
      <c r="L646"/>
      <c r="M646"/>
      <c r="N646"/>
      <c r="O646"/>
      <c r="P646"/>
      <c r="Q646"/>
      <c r="R646"/>
      <c r="S646"/>
      <c r="T646"/>
      <c r="U646"/>
      <c r="V646"/>
      <c r="W646"/>
    </row>
    <row r="647" spans="1:23" x14ac:dyDescent="0.4">
      <c r="A647"/>
      <c r="B647"/>
      <c r="C647"/>
      <c r="D647"/>
      <c r="E647"/>
      <c r="F647"/>
      <c r="G647"/>
      <c r="H647"/>
      <c r="I647"/>
      <c r="J647"/>
      <c r="K647"/>
      <c r="L647"/>
      <c r="M647"/>
      <c r="N647"/>
      <c r="O647"/>
      <c r="P647"/>
      <c r="Q647"/>
      <c r="R647"/>
      <c r="S647"/>
      <c r="T647"/>
      <c r="U647"/>
      <c r="V647"/>
      <c r="W647"/>
    </row>
    <row r="648" spans="1:23" x14ac:dyDescent="0.4">
      <c r="A648"/>
      <c r="B648"/>
      <c r="C648"/>
      <c r="D648"/>
      <c r="E648"/>
      <c r="F648"/>
      <c r="G648"/>
      <c r="H648"/>
      <c r="I648"/>
      <c r="J648"/>
      <c r="K648"/>
      <c r="L648"/>
      <c r="M648"/>
      <c r="N648"/>
      <c r="O648"/>
      <c r="P648"/>
      <c r="Q648"/>
      <c r="R648"/>
      <c r="S648"/>
      <c r="T648"/>
      <c r="U648"/>
      <c r="V648"/>
      <c r="W648"/>
    </row>
    <row r="649" spans="1:23" x14ac:dyDescent="0.4">
      <c r="A649"/>
      <c r="B649"/>
      <c r="C649"/>
      <c r="D649"/>
      <c r="E649"/>
      <c r="F649"/>
      <c r="G649"/>
      <c r="H649"/>
      <c r="I649"/>
      <c r="J649"/>
      <c r="K649"/>
      <c r="L649"/>
      <c r="M649"/>
      <c r="N649"/>
      <c r="O649"/>
      <c r="P649"/>
      <c r="Q649"/>
      <c r="R649"/>
      <c r="S649"/>
      <c r="T649"/>
      <c r="U649"/>
      <c r="V649"/>
      <c r="W649"/>
    </row>
    <row r="650" spans="1:23" x14ac:dyDescent="0.4">
      <c r="A650"/>
      <c r="B650"/>
      <c r="C650"/>
      <c r="D650"/>
      <c r="E650"/>
      <c r="F650"/>
      <c r="G650"/>
      <c r="H650"/>
      <c r="I650"/>
      <c r="J650"/>
      <c r="K650"/>
      <c r="L650"/>
      <c r="M650"/>
      <c r="N650"/>
      <c r="O650"/>
      <c r="P650"/>
      <c r="Q650"/>
      <c r="R650"/>
      <c r="S650"/>
      <c r="T650"/>
      <c r="U650"/>
      <c r="V650"/>
      <c r="W650"/>
    </row>
    <row r="651" spans="1:23" x14ac:dyDescent="0.4">
      <c r="A651"/>
      <c r="B651"/>
      <c r="C651"/>
      <c r="D651"/>
      <c r="E651"/>
      <c r="F651"/>
      <c r="G651"/>
      <c r="H651"/>
      <c r="I651"/>
      <c r="J651"/>
      <c r="K651"/>
      <c r="L651"/>
      <c r="M651"/>
      <c r="N651"/>
      <c r="O651"/>
      <c r="P651"/>
      <c r="Q651"/>
      <c r="R651"/>
      <c r="S651"/>
      <c r="T651"/>
      <c r="U651"/>
      <c r="V651"/>
      <c r="W651"/>
    </row>
    <row r="652" spans="1:23" x14ac:dyDescent="0.4">
      <c r="A652"/>
      <c r="B652"/>
      <c r="C652"/>
      <c r="D652"/>
      <c r="E652"/>
      <c r="F652"/>
      <c r="G652"/>
      <c r="H652"/>
      <c r="I652"/>
      <c r="J652"/>
      <c r="K652"/>
      <c r="L652"/>
      <c r="M652"/>
      <c r="N652"/>
      <c r="O652"/>
      <c r="P652"/>
      <c r="Q652"/>
      <c r="R652"/>
      <c r="S652"/>
      <c r="T652"/>
      <c r="U652"/>
      <c r="V652"/>
      <c r="W652"/>
    </row>
    <row r="653" spans="1:23" x14ac:dyDescent="0.4">
      <c r="A653"/>
      <c r="B653"/>
      <c r="C653"/>
      <c r="D653"/>
      <c r="E653"/>
      <c r="F653"/>
      <c r="G653"/>
      <c r="H653"/>
      <c r="I653"/>
      <c r="J653"/>
      <c r="K653"/>
      <c r="L653"/>
      <c r="M653"/>
      <c r="N653"/>
      <c r="O653"/>
      <c r="P653"/>
      <c r="Q653"/>
      <c r="R653"/>
      <c r="S653"/>
      <c r="T653"/>
      <c r="U653"/>
      <c r="V653"/>
      <c r="W653"/>
    </row>
    <row r="654" spans="1:23" x14ac:dyDescent="0.4">
      <c r="A654"/>
      <c r="B654"/>
      <c r="C654"/>
      <c r="D654"/>
      <c r="E654"/>
      <c r="F654"/>
      <c r="G654"/>
      <c r="H654"/>
      <c r="I654"/>
      <c r="J654"/>
      <c r="K654"/>
      <c r="L654"/>
      <c r="M654"/>
      <c r="N654"/>
      <c r="O654"/>
      <c r="P654"/>
      <c r="Q654"/>
      <c r="R654"/>
      <c r="S654"/>
      <c r="T654"/>
      <c r="U654"/>
      <c r="V654"/>
      <c r="W654"/>
    </row>
    <row r="655" spans="1:23" x14ac:dyDescent="0.4">
      <c r="A655"/>
      <c r="B655"/>
      <c r="C655"/>
      <c r="D655"/>
      <c r="E655"/>
      <c r="F655"/>
      <c r="G655"/>
      <c r="H655"/>
      <c r="I655"/>
      <c r="J655"/>
      <c r="K655"/>
      <c r="L655"/>
      <c r="M655"/>
      <c r="N655"/>
      <c r="O655"/>
      <c r="P655"/>
      <c r="Q655"/>
      <c r="R655"/>
      <c r="S655"/>
      <c r="T655"/>
      <c r="U655"/>
      <c r="V655"/>
      <c r="W655"/>
    </row>
    <row r="656" spans="1:23" x14ac:dyDescent="0.4">
      <c r="A656"/>
      <c r="B656"/>
      <c r="C656"/>
      <c r="D656"/>
      <c r="E656"/>
      <c r="F656"/>
      <c r="G656"/>
      <c r="H656"/>
      <c r="I656"/>
      <c r="J656"/>
      <c r="K656"/>
      <c r="L656"/>
      <c r="M656"/>
      <c r="N656"/>
      <c r="O656"/>
      <c r="P656"/>
      <c r="Q656"/>
      <c r="R656"/>
      <c r="S656"/>
      <c r="T656"/>
      <c r="U656"/>
      <c r="V656"/>
      <c r="W656"/>
    </row>
    <row r="657" spans="1:23" x14ac:dyDescent="0.4">
      <c r="A657"/>
      <c r="B657"/>
      <c r="C657"/>
      <c r="D657"/>
      <c r="E657"/>
      <c r="F657"/>
      <c r="G657"/>
      <c r="H657"/>
      <c r="I657"/>
      <c r="J657"/>
      <c r="K657"/>
      <c r="L657"/>
      <c r="M657"/>
      <c r="N657"/>
      <c r="O657"/>
      <c r="P657"/>
      <c r="Q657"/>
      <c r="R657"/>
      <c r="S657"/>
      <c r="T657"/>
      <c r="U657"/>
      <c r="V657"/>
      <c r="W657"/>
    </row>
    <row r="658" spans="1:23" x14ac:dyDescent="0.4">
      <c r="A658"/>
      <c r="B658"/>
      <c r="C658"/>
      <c r="D658"/>
      <c r="E658"/>
      <c r="F658"/>
      <c r="G658"/>
      <c r="H658"/>
      <c r="I658"/>
      <c r="J658"/>
      <c r="K658"/>
      <c r="L658"/>
      <c r="M658"/>
      <c r="N658"/>
      <c r="O658"/>
      <c r="P658"/>
      <c r="Q658"/>
      <c r="R658"/>
      <c r="S658"/>
      <c r="T658"/>
      <c r="U658"/>
      <c r="V658"/>
      <c r="W658"/>
    </row>
    <row r="659" spans="1:23" x14ac:dyDescent="0.4">
      <c r="A659"/>
      <c r="B659"/>
      <c r="C659"/>
      <c r="D659"/>
      <c r="E659"/>
      <c r="F659"/>
      <c r="G659"/>
      <c r="H659"/>
      <c r="I659"/>
      <c r="J659"/>
      <c r="K659"/>
      <c r="L659"/>
      <c r="M659"/>
      <c r="N659"/>
      <c r="O659"/>
      <c r="P659"/>
      <c r="Q659"/>
      <c r="R659"/>
      <c r="S659"/>
      <c r="T659"/>
      <c r="U659"/>
      <c r="V659"/>
      <c r="W659"/>
    </row>
    <row r="660" spans="1:23" x14ac:dyDescent="0.4">
      <c r="A660"/>
      <c r="B660"/>
      <c r="C660"/>
      <c r="D660"/>
      <c r="E660"/>
      <c r="F660"/>
      <c r="G660"/>
      <c r="H660"/>
      <c r="I660"/>
      <c r="J660"/>
      <c r="K660"/>
      <c r="L660"/>
      <c r="M660"/>
      <c r="N660"/>
      <c r="O660"/>
      <c r="P660"/>
      <c r="Q660"/>
      <c r="R660"/>
      <c r="S660"/>
      <c r="T660"/>
      <c r="U660"/>
      <c r="V660"/>
      <c r="W660"/>
    </row>
    <row r="661" spans="1:23" x14ac:dyDescent="0.4">
      <c r="A661"/>
      <c r="B661"/>
      <c r="C661"/>
      <c r="D661"/>
      <c r="E661"/>
      <c r="F661"/>
      <c r="G661"/>
      <c r="H661"/>
      <c r="I661"/>
      <c r="J661"/>
      <c r="K661"/>
      <c r="L661"/>
      <c r="M661"/>
      <c r="N661"/>
      <c r="O661"/>
      <c r="P661"/>
      <c r="Q661"/>
      <c r="R661"/>
      <c r="S661"/>
      <c r="T661"/>
      <c r="U661"/>
      <c r="V661"/>
      <c r="W661"/>
    </row>
    <row r="662" spans="1:23" x14ac:dyDescent="0.4">
      <c r="A662"/>
      <c r="B662"/>
      <c r="C662"/>
      <c r="D662"/>
      <c r="E662"/>
      <c r="F662"/>
      <c r="G662"/>
      <c r="H662"/>
      <c r="I662"/>
      <c r="J662"/>
      <c r="K662"/>
      <c r="L662"/>
      <c r="M662"/>
      <c r="N662"/>
      <c r="O662"/>
      <c r="P662"/>
      <c r="Q662"/>
      <c r="R662"/>
      <c r="S662"/>
      <c r="T662"/>
      <c r="U662"/>
      <c r="V662"/>
      <c r="W662"/>
    </row>
    <row r="663" spans="1:23" x14ac:dyDescent="0.4">
      <c r="A663"/>
      <c r="B663"/>
      <c r="C663"/>
      <c r="D663"/>
      <c r="E663"/>
      <c r="F663"/>
      <c r="G663"/>
      <c r="H663"/>
      <c r="I663"/>
      <c r="J663"/>
      <c r="K663"/>
      <c r="L663"/>
      <c r="M663"/>
      <c r="N663"/>
      <c r="O663"/>
      <c r="P663"/>
      <c r="Q663"/>
      <c r="R663"/>
      <c r="S663"/>
      <c r="T663"/>
      <c r="U663"/>
      <c r="V663"/>
      <c r="W663"/>
    </row>
    <row r="664" spans="1:23" x14ac:dyDescent="0.4">
      <c r="A664"/>
      <c r="B664"/>
      <c r="C664"/>
      <c r="D664"/>
      <c r="E664"/>
      <c r="F664"/>
      <c r="G664"/>
      <c r="H664"/>
      <c r="I664"/>
      <c r="J664"/>
      <c r="K664"/>
      <c r="L664"/>
      <c r="M664"/>
      <c r="N664"/>
      <c r="O664"/>
      <c r="P664"/>
      <c r="Q664"/>
      <c r="R664"/>
      <c r="S664"/>
      <c r="T664"/>
      <c r="U664"/>
      <c r="V664"/>
      <c r="W664"/>
    </row>
    <row r="665" spans="1:23" x14ac:dyDescent="0.4">
      <c r="A665"/>
      <c r="B665"/>
      <c r="C665"/>
      <c r="D665"/>
      <c r="E665"/>
      <c r="F665"/>
      <c r="G665"/>
      <c r="H665"/>
      <c r="I665"/>
      <c r="J665"/>
      <c r="K665"/>
      <c r="L665"/>
      <c r="M665"/>
      <c r="N665"/>
      <c r="O665"/>
      <c r="P665"/>
      <c r="Q665"/>
      <c r="R665"/>
      <c r="S665"/>
      <c r="T665"/>
      <c r="U665"/>
      <c r="V665"/>
      <c r="W665"/>
    </row>
    <row r="666" spans="1:23" x14ac:dyDescent="0.4">
      <c r="A666"/>
      <c r="B666"/>
      <c r="C666"/>
      <c r="D666"/>
      <c r="E666"/>
      <c r="F666"/>
      <c r="G666"/>
      <c r="H666"/>
      <c r="I666"/>
      <c r="J666"/>
      <c r="K666"/>
      <c r="L666"/>
      <c r="M666"/>
      <c r="N666"/>
      <c r="O666"/>
      <c r="P666"/>
      <c r="Q666"/>
      <c r="R666"/>
      <c r="S666"/>
      <c r="T666"/>
      <c r="U666"/>
      <c r="V666"/>
      <c r="W666"/>
    </row>
    <row r="667" spans="1:23" x14ac:dyDescent="0.4">
      <c r="A667"/>
      <c r="B667"/>
      <c r="C667"/>
      <c r="D667"/>
      <c r="E667"/>
      <c r="F667"/>
      <c r="G667"/>
      <c r="H667"/>
      <c r="I667"/>
      <c r="J667"/>
      <c r="K667"/>
      <c r="L667"/>
      <c r="M667"/>
      <c r="N667"/>
      <c r="O667"/>
      <c r="P667"/>
      <c r="Q667"/>
      <c r="R667"/>
      <c r="S667"/>
      <c r="T667"/>
      <c r="U667"/>
      <c r="V667"/>
      <c r="W667"/>
    </row>
    <row r="668" spans="1:23" x14ac:dyDescent="0.4">
      <c r="A668"/>
      <c r="B668"/>
      <c r="C668"/>
      <c r="D668"/>
      <c r="E668"/>
      <c r="F668"/>
      <c r="G668"/>
      <c r="H668"/>
      <c r="I668"/>
      <c r="J668"/>
      <c r="K668"/>
      <c r="L668"/>
      <c r="M668"/>
      <c r="N668"/>
      <c r="O668"/>
      <c r="P668"/>
      <c r="Q668"/>
      <c r="R668"/>
      <c r="S668"/>
      <c r="T668"/>
      <c r="U668"/>
      <c r="V668"/>
      <c r="W668"/>
    </row>
    <row r="669" spans="1:23" x14ac:dyDescent="0.4">
      <c r="A669"/>
      <c r="B669"/>
      <c r="C669"/>
      <c r="D669"/>
      <c r="E669"/>
      <c r="F669"/>
      <c r="G669"/>
      <c r="H669"/>
      <c r="I669"/>
      <c r="J669"/>
      <c r="K669"/>
      <c r="L669"/>
      <c r="M669"/>
      <c r="N669"/>
      <c r="O669"/>
      <c r="P669"/>
      <c r="Q669"/>
      <c r="R669"/>
      <c r="S669"/>
      <c r="T669"/>
      <c r="U669"/>
      <c r="V669"/>
      <c r="W669"/>
    </row>
    <row r="670" spans="1:23" x14ac:dyDescent="0.4">
      <c r="A670"/>
      <c r="B670"/>
      <c r="C670"/>
      <c r="D670"/>
      <c r="E670"/>
      <c r="F670"/>
      <c r="G670"/>
      <c r="H670"/>
      <c r="I670"/>
      <c r="J670"/>
      <c r="K670"/>
      <c r="L670"/>
      <c r="M670"/>
      <c r="N670"/>
      <c r="O670"/>
      <c r="P670"/>
      <c r="Q670"/>
      <c r="R670"/>
      <c r="S670"/>
      <c r="T670"/>
      <c r="U670"/>
      <c r="V670"/>
      <c r="W670"/>
    </row>
    <row r="671" spans="1:23" x14ac:dyDescent="0.4">
      <c r="A671"/>
      <c r="B671"/>
      <c r="C671"/>
      <c r="D671"/>
      <c r="E671"/>
      <c r="F671"/>
      <c r="G671"/>
      <c r="H671"/>
      <c r="I671"/>
      <c r="J671"/>
      <c r="K671"/>
      <c r="L671"/>
      <c r="M671"/>
      <c r="N671"/>
      <c r="O671"/>
      <c r="P671"/>
      <c r="Q671"/>
      <c r="R671"/>
      <c r="S671"/>
      <c r="T671"/>
      <c r="U671"/>
      <c r="V671"/>
      <c r="W671"/>
    </row>
    <row r="672" spans="1:23" x14ac:dyDescent="0.4">
      <c r="A672"/>
      <c r="B672"/>
      <c r="C672"/>
      <c r="D672"/>
      <c r="E672"/>
      <c r="F672"/>
      <c r="G672"/>
      <c r="H672"/>
      <c r="I672"/>
      <c r="J672"/>
      <c r="K672"/>
      <c r="L672"/>
      <c r="M672"/>
      <c r="N672"/>
      <c r="O672"/>
      <c r="P672"/>
      <c r="Q672"/>
      <c r="R672"/>
      <c r="S672"/>
      <c r="T672"/>
      <c r="U672"/>
      <c r="V672"/>
      <c r="W672"/>
    </row>
    <row r="673" spans="1:23" x14ac:dyDescent="0.4">
      <c r="A673"/>
      <c r="B673"/>
      <c r="C673"/>
      <c r="D673"/>
      <c r="E673"/>
      <c r="F673"/>
      <c r="G673"/>
      <c r="H673"/>
      <c r="I673"/>
      <c r="J673"/>
      <c r="K673"/>
      <c r="L673"/>
      <c r="M673"/>
      <c r="N673"/>
      <c r="O673"/>
      <c r="P673"/>
      <c r="Q673"/>
      <c r="R673"/>
      <c r="S673"/>
      <c r="T673"/>
      <c r="U673"/>
      <c r="V673"/>
      <c r="W673"/>
    </row>
    <row r="674" spans="1:23" x14ac:dyDescent="0.4">
      <c r="A674"/>
      <c r="B674"/>
      <c r="C674"/>
      <c r="D674"/>
      <c r="E674"/>
      <c r="F674"/>
      <c r="G674"/>
      <c r="H674"/>
      <c r="I674"/>
      <c r="J674"/>
      <c r="K674"/>
      <c r="L674"/>
      <c r="M674"/>
      <c r="N674"/>
      <c r="O674"/>
      <c r="P674"/>
      <c r="Q674"/>
      <c r="R674"/>
      <c r="S674"/>
      <c r="T674"/>
      <c r="U674"/>
      <c r="V674"/>
      <c r="W674"/>
    </row>
    <row r="675" spans="1:23" x14ac:dyDescent="0.4">
      <c r="A675"/>
      <c r="B675"/>
      <c r="C675"/>
      <c r="D675"/>
      <c r="E675"/>
      <c r="F675"/>
      <c r="G675"/>
      <c r="H675"/>
      <c r="I675"/>
      <c r="J675"/>
      <c r="K675"/>
      <c r="L675"/>
      <c r="M675"/>
      <c r="N675"/>
      <c r="O675"/>
      <c r="P675"/>
      <c r="Q675"/>
      <c r="R675"/>
      <c r="S675"/>
      <c r="T675"/>
      <c r="U675"/>
      <c r="V675"/>
      <c r="W675"/>
    </row>
    <row r="676" spans="1:23" x14ac:dyDescent="0.4">
      <c r="A676"/>
      <c r="B676"/>
      <c r="C676"/>
      <c r="D676"/>
      <c r="E676"/>
      <c r="F676"/>
      <c r="G676"/>
      <c r="H676"/>
      <c r="I676"/>
      <c r="J676"/>
      <c r="K676"/>
      <c r="L676"/>
      <c r="M676"/>
      <c r="N676"/>
      <c r="O676"/>
      <c r="P676"/>
      <c r="Q676"/>
      <c r="R676"/>
      <c r="S676"/>
      <c r="T676"/>
      <c r="U676"/>
      <c r="V676"/>
      <c r="W676"/>
    </row>
    <row r="677" spans="1:23" x14ac:dyDescent="0.4">
      <c r="A677"/>
      <c r="B677"/>
      <c r="C677"/>
      <c r="D677"/>
      <c r="E677"/>
      <c r="F677"/>
      <c r="G677"/>
      <c r="H677"/>
      <c r="I677"/>
      <c r="J677"/>
      <c r="K677"/>
      <c r="L677"/>
      <c r="M677"/>
      <c r="N677"/>
      <c r="O677"/>
      <c r="P677"/>
      <c r="Q677"/>
      <c r="R677"/>
      <c r="S677"/>
      <c r="T677"/>
      <c r="U677"/>
      <c r="V677"/>
      <c r="W677"/>
    </row>
    <row r="678" spans="1:23" x14ac:dyDescent="0.4">
      <c r="A678"/>
      <c r="B678"/>
      <c r="C678"/>
      <c r="D678"/>
      <c r="E678"/>
      <c r="F678"/>
      <c r="G678"/>
      <c r="H678"/>
      <c r="I678"/>
      <c r="J678"/>
      <c r="K678"/>
      <c r="L678"/>
      <c r="M678"/>
      <c r="N678"/>
      <c r="O678"/>
      <c r="P678"/>
      <c r="Q678"/>
      <c r="R678"/>
      <c r="S678"/>
      <c r="T678"/>
      <c r="U678"/>
      <c r="V678"/>
      <c r="W678"/>
    </row>
    <row r="679" spans="1:23" x14ac:dyDescent="0.4">
      <c r="A679"/>
      <c r="B679"/>
      <c r="C679"/>
      <c r="D679"/>
      <c r="E679"/>
      <c r="F679"/>
      <c r="G679"/>
      <c r="H679"/>
      <c r="I679"/>
      <c r="J679"/>
      <c r="K679"/>
      <c r="L679"/>
      <c r="M679"/>
      <c r="N679"/>
      <c r="O679"/>
      <c r="P679"/>
      <c r="Q679"/>
      <c r="R679"/>
      <c r="S679"/>
      <c r="T679"/>
      <c r="U679"/>
      <c r="V679"/>
      <c r="W679"/>
    </row>
    <row r="680" spans="1:23" x14ac:dyDescent="0.4">
      <c r="A680"/>
      <c r="B680"/>
      <c r="C680"/>
      <c r="D680"/>
      <c r="E680"/>
      <c r="F680"/>
      <c r="G680"/>
      <c r="H680"/>
      <c r="I680"/>
      <c r="J680"/>
      <c r="K680"/>
      <c r="L680"/>
      <c r="M680"/>
      <c r="N680"/>
      <c r="O680"/>
      <c r="P680"/>
      <c r="Q680"/>
      <c r="R680"/>
      <c r="S680"/>
      <c r="T680"/>
      <c r="U680"/>
      <c r="V680"/>
      <c r="W680"/>
    </row>
    <row r="681" spans="1:23" x14ac:dyDescent="0.4">
      <c r="A681"/>
      <c r="B681"/>
      <c r="C681"/>
      <c r="D681"/>
      <c r="E681"/>
      <c r="F681"/>
      <c r="G681"/>
      <c r="H681"/>
      <c r="I681"/>
      <c r="J681"/>
      <c r="K681"/>
      <c r="L681"/>
      <c r="M681"/>
      <c r="N681"/>
      <c r="O681"/>
      <c r="P681"/>
      <c r="Q681"/>
      <c r="R681"/>
      <c r="S681"/>
      <c r="T681"/>
      <c r="U681"/>
      <c r="V681"/>
      <c r="W681"/>
    </row>
    <row r="682" spans="1:23" x14ac:dyDescent="0.4">
      <c r="A682"/>
      <c r="B682"/>
      <c r="C682"/>
      <c r="D682"/>
      <c r="E682"/>
      <c r="F682"/>
      <c r="G682"/>
      <c r="H682"/>
      <c r="I682"/>
      <c r="J682"/>
      <c r="K682"/>
      <c r="L682"/>
      <c r="M682"/>
      <c r="N682"/>
      <c r="O682"/>
      <c r="P682"/>
      <c r="Q682"/>
      <c r="R682"/>
      <c r="S682"/>
      <c r="T682"/>
      <c r="U682"/>
      <c r="V682"/>
      <c r="W682"/>
    </row>
    <row r="683" spans="1:23" x14ac:dyDescent="0.4">
      <c r="A683"/>
      <c r="B683"/>
      <c r="C683"/>
      <c r="D683"/>
      <c r="E683"/>
      <c r="F683"/>
      <c r="G683"/>
      <c r="H683"/>
      <c r="I683"/>
      <c r="J683"/>
      <c r="K683"/>
      <c r="L683"/>
      <c r="M683"/>
      <c r="N683"/>
      <c r="O683"/>
      <c r="P683"/>
      <c r="Q683"/>
      <c r="R683"/>
      <c r="S683"/>
      <c r="T683"/>
      <c r="U683"/>
      <c r="V683"/>
      <c r="W683"/>
    </row>
    <row r="684" spans="1:23" x14ac:dyDescent="0.4">
      <c r="A684"/>
      <c r="B684"/>
      <c r="C684"/>
      <c r="D684"/>
      <c r="E684"/>
      <c r="F684"/>
      <c r="G684"/>
      <c r="H684"/>
      <c r="I684"/>
      <c r="J684"/>
      <c r="K684"/>
      <c r="L684"/>
      <c r="M684"/>
      <c r="N684"/>
      <c r="O684"/>
      <c r="P684"/>
      <c r="Q684"/>
      <c r="R684"/>
      <c r="S684"/>
      <c r="T684"/>
      <c r="U684"/>
      <c r="V684"/>
      <c r="W684"/>
    </row>
    <row r="685" spans="1:23" x14ac:dyDescent="0.4">
      <c r="A685"/>
      <c r="B685"/>
      <c r="C685"/>
      <c r="D685"/>
      <c r="E685"/>
      <c r="F685"/>
      <c r="G685"/>
      <c r="H685"/>
      <c r="I685"/>
      <c r="J685"/>
      <c r="K685"/>
      <c r="L685"/>
      <c r="M685"/>
      <c r="N685"/>
      <c r="O685"/>
      <c r="P685"/>
      <c r="Q685"/>
      <c r="R685"/>
      <c r="S685"/>
      <c r="T685"/>
      <c r="U685"/>
      <c r="V685"/>
      <c r="W685"/>
    </row>
    <row r="686" spans="1:23" x14ac:dyDescent="0.4">
      <c r="A686"/>
      <c r="B686"/>
      <c r="C686"/>
      <c r="D686"/>
      <c r="E686"/>
      <c r="F686"/>
      <c r="G686"/>
      <c r="H686"/>
      <c r="I686"/>
      <c r="J686"/>
      <c r="K686"/>
      <c r="L686"/>
      <c r="M686"/>
      <c r="N686"/>
      <c r="O686"/>
      <c r="P686"/>
      <c r="Q686"/>
      <c r="R686"/>
      <c r="S686"/>
      <c r="T686"/>
      <c r="U686"/>
      <c r="V686"/>
      <c r="W686"/>
    </row>
    <row r="687" spans="1:23" x14ac:dyDescent="0.4">
      <c r="A687"/>
      <c r="B687"/>
      <c r="C687"/>
      <c r="D687"/>
      <c r="E687"/>
      <c r="F687"/>
      <c r="G687"/>
      <c r="H687"/>
      <c r="I687"/>
      <c r="J687"/>
      <c r="K687"/>
      <c r="L687"/>
      <c r="M687"/>
      <c r="N687"/>
      <c r="O687"/>
      <c r="P687"/>
      <c r="Q687"/>
      <c r="R687"/>
      <c r="S687"/>
      <c r="T687"/>
      <c r="U687"/>
      <c r="V687"/>
      <c r="W687"/>
    </row>
    <row r="688" spans="1:23" x14ac:dyDescent="0.4">
      <c r="A688"/>
      <c r="B688"/>
      <c r="C688"/>
      <c r="D688"/>
      <c r="E688"/>
      <c r="F688"/>
      <c r="G688"/>
      <c r="H688"/>
      <c r="I688"/>
      <c r="J688"/>
      <c r="K688"/>
      <c r="L688"/>
      <c r="M688"/>
      <c r="N688"/>
      <c r="O688"/>
      <c r="P688"/>
      <c r="Q688"/>
      <c r="R688"/>
      <c r="S688"/>
      <c r="T688"/>
      <c r="U688"/>
      <c r="V688"/>
      <c r="W688"/>
    </row>
    <row r="689" spans="1:23" x14ac:dyDescent="0.4">
      <c r="A689"/>
      <c r="B689"/>
      <c r="C689"/>
      <c r="D689"/>
      <c r="E689"/>
      <c r="F689"/>
      <c r="G689"/>
      <c r="H689"/>
      <c r="I689"/>
      <c r="J689"/>
      <c r="K689"/>
      <c r="L689"/>
      <c r="M689"/>
      <c r="N689"/>
      <c r="O689"/>
      <c r="P689"/>
      <c r="Q689"/>
      <c r="R689"/>
      <c r="S689"/>
      <c r="T689"/>
      <c r="U689"/>
      <c r="V689"/>
      <c r="W689"/>
    </row>
    <row r="690" spans="1:23" x14ac:dyDescent="0.4">
      <c r="A690"/>
      <c r="B690"/>
      <c r="C690"/>
      <c r="D690"/>
      <c r="E690"/>
      <c r="F690"/>
      <c r="G690"/>
      <c r="H690"/>
      <c r="I690"/>
      <c r="J690"/>
      <c r="K690"/>
      <c r="L690"/>
      <c r="M690"/>
      <c r="N690"/>
      <c r="O690"/>
      <c r="P690"/>
      <c r="Q690"/>
      <c r="R690"/>
      <c r="S690"/>
      <c r="T690"/>
      <c r="U690"/>
      <c r="V690"/>
      <c r="W690"/>
    </row>
    <row r="691" spans="1:23" x14ac:dyDescent="0.4">
      <c r="A691"/>
      <c r="B691"/>
      <c r="C691"/>
      <c r="D691"/>
      <c r="E691"/>
      <c r="F691"/>
      <c r="G691"/>
      <c r="H691"/>
      <c r="I691"/>
      <c r="J691"/>
      <c r="K691"/>
      <c r="L691"/>
      <c r="M691"/>
      <c r="N691"/>
      <c r="O691"/>
      <c r="P691"/>
      <c r="Q691"/>
      <c r="R691"/>
      <c r="S691"/>
      <c r="T691"/>
      <c r="U691"/>
      <c r="V691"/>
      <c r="W691"/>
    </row>
    <row r="692" spans="1:23" x14ac:dyDescent="0.4">
      <c r="A692"/>
      <c r="B692"/>
      <c r="C692"/>
      <c r="D692"/>
      <c r="E692"/>
      <c r="F692"/>
      <c r="G692"/>
      <c r="H692"/>
      <c r="I692"/>
      <c r="J692"/>
      <c r="K692"/>
      <c r="L692"/>
      <c r="M692"/>
      <c r="N692"/>
      <c r="O692"/>
      <c r="P692"/>
      <c r="Q692"/>
      <c r="R692"/>
      <c r="S692"/>
      <c r="T692"/>
      <c r="U692"/>
      <c r="V692"/>
      <c r="W692"/>
    </row>
    <row r="693" spans="1:23" x14ac:dyDescent="0.4">
      <c r="A693"/>
      <c r="B693"/>
      <c r="C693"/>
      <c r="D693"/>
      <c r="E693"/>
      <c r="F693"/>
      <c r="G693"/>
      <c r="H693"/>
      <c r="I693"/>
      <c r="J693"/>
      <c r="K693"/>
      <c r="L693"/>
      <c r="M693"/>
      <c r="N693"/>
      <c r="O693"/>
      <c r="P693"/>
      <c r="Q693"/>
      <c r="R693"/>
      <c r="S693"/>
      <c r="T693"/>
      <c r="U693"/>
      <c r="V693"/>
      <c r="W693"/>
    </row>
    <row r="694" spans="1:23" x14ac:dyDescent="0.4">
      <c r="A694"/>
      <c r="B694"/>
      <c r="C694"/>
      <c r="D694"/>
      <c r="E694"/>
      <c r="F694"/>
      <c r="G694"/>
      <c r="H694"/>
      <c r="I694"/>
      <c r="J694"/>
      <c r="K694"/>
      <c r="L694"/>
      <c r="M694"/>
      <c r="N694"/>
      <c r="O694"/>
      <c r="P694"/>
      <c r="Q694"/>
      <c r="R694"/>
      <c r="S694"/>
      <c r="T694"/>
      <c r="U694"/>
      <c r="V694"/>
      <c r="W694"/>
    </row>
    <row r="695" spans="1:23" x14ac:dyDescent="0.4">
      <c r="A695"/>
      <c r="B695"/>
      <c r="C695"/>
      <c r="D695"/>
      <c r="E695"/>
      <c r="F695"/>
      <c r="G695"/>
      <c r="H695"/>
      <c r="I695"/>
      <c r="J695"/>
      <c r="K695"/>
      <c r="L695"/>
      <c r="M695"/>
      <c r="N695"/>
      <c r="O695"/>
      <c r="P695"/>
      <c r="Q695"/>
      <c r="R695"/>
      <c r="S695"/>
      <c r="T695"/>
      <c r="U695"/>
      <c r="V695"/>
      <c r="W695"/>
    </row>
    <row r="696" spans="1:23" x14ac:dyDescent="0.4">
      <c r="A696"/>
      <c r="B696"/>
      <c r="C696"/>
      <c r="D696"/>
      <c r="E696"/>
      <c r="F696"/>
      <c r="G696"/>
      <c r="H696"/>
      <c r="I696"/>
      <c r="J696"/>
      <c r="K696"/>
      <c r="L696"/>
      <c r="M696"/>
      <c r="N696"/>
      <c r="O696"/>
      <c r="P696"/>
      <c r="Q696"/>
      <c r="R696"/>
      <c r="S696"/>
      <c r="T696"/>
      <c r="U696"/>
      <c r="V696"/>
      <c r="W696"/>
    </row>
    <row r="697" spans="1:23" x14ac:dyDescent="0.4">
      <c r="A697"/>
      <c r="B697"/>
      <c r="C697"/>
      <c r="D697"/>
      <c r="E697"/>
      <c r="F697"/>
      <c r="G697"/>
      <c r="H697"/>
      <c r="I697"/>
      <c r="J697"/>
      <c r="K697"/>
      <c r="L697"/>
      <c r="M697"/>
      <c r="N697"/>
      <c r="O697"/>
      <c r="P697"/>
      <c r="Q697"/>
      <c r="R697"/>
      <c r="S697"/>
      <c r="T697"/>
      <c r="U697"/>
      <c r="V697"/>
      <c r="W697"/>
    </row>
    <row r="698" spans="1:23" x14ac:dyDescent="0.4">
      <c r="A698"/>
      <c r="B698"/>
      <c r="C698"/>
      <c r="D698"/>
      <c r="E698"/>
      <c r="F698"/>
      <c r="G698"/>
      <c r="H698"/>
      <c r="I698"/>
      <c r="J698"/>
      <c r="K698"/>
      <c r="L698"/>
      <c r="M698"/>
      <c r="N698"/>
      <c r="O698"/>
      <c r="P698"/>
      <c r="Q698"/>
      <c r="R698"/>
      <c r="S698"/>
      <c r="T698"/>
      <c r="U698"/>
      <c r="V698"/>
      <c r="W698"/>
    </row>
    <row r="699" spans="1:23" x14ac:dyDescent="0.4">
      <c r="A699"/>
      <c r="B699"/>
      <c r="C699"/>
      <c r="D699"/>
      <c r="E699"/>
      <c r="F699"/>
      <c r="G699"/>
      <c r="H699"/>
      <c r="I699"/>
      <c r="J699"/>
      <c r="K699"/>
      <c r="L699"/>
      <c r="M699"/>
      <c r="N699"/>
      <c r="O699"/>
      <c r="P699"/>
      <c r="Q699"/>
      <c r="R699"/>
      <c r="S699"/>
      <c r="T699"/>
      <c r="U699"/>
      <c r="V699"/>
      <c r="W699"/>
    </row>
    <row r="700" spans="1:23" x14ac:dyDescent="0.4">
      <c r="A700"/>
      <c r="B700"/>
      <c r="C700"/>
      <c r="D700"/>
      <c r="E700"/>
      <c r="F700"/>
      <c r="G700"/>
      <c r="H700"/>
      <c r="I700"/>
      <c r="J700"/>
      <c r="K700"/>
      <c r="L700"/>
      <c r="M700"/>
      <c r="N700"/>
      <c r="O700"/>
      <c r="P700"/>
      <c r="Q700"/>
      <c r="R700"/>
      <c r="S700"/>
      <c r="T700"/>
      <c r="U700"/>
      <c r="V700"/>
      <c r="W700"/>
    </row>
    <row r="701" spans="1:23" x14ac:dyDescent="0.4">
      <c r="A701"/>
      <c r="B701"/>
      <c r="C701"/>
      <c r="D701"/>
      <c r="E701"/>
      <c r="F701"/>
      <c r="G701"/>
      <c r="H701"/>
      <c r="I701"/>
      <c r="J701"/>
      <c r="K701"/>
      <c r="L701"/>
      <c r="M701"/>
      <c r="N701"/>
      <c r="O701"/>
      <c r="P701"/>
      <c r="Q701"/>
      <c r="R701"/>
      <c r="S701"/>
      <c r="T701"/>
      <c r="U701"/>
      <c r="V701"/>
      <c r="W701"/>
    </row>
    <row r="702" spans="1:23" x14ac:dyDescent="0.4">
      <c r="A702"/>
      <c r="B702"/>
      <c r="C702"/>
      <c r="D702"/>
      <c r="E702"/>
      <c r="F702"/>
      <c r="G702"/>
      <c r="H702"/>
      <c r="I702"/>
      <c r="J702"/>
      <c r="K702"/>
      <c r="L702"/>
      <c r="M702"/>
      <c r="N702"/>
      <c r="O702"/>
      <c r="P702"/>
      <c r="Q702"/>
      <c r="R702"/>
      <c r="S702"/>
      <c r="T702"/>
      <c r="U702"/>
      <c r="V702"/>
      <c r="W702"/>
    </row>
    <row r="703" spans="1:23" x14ac:dyDescent="0.4">
      <c r="A703"/>
      <c r="B703"/>
      <c r="C703"/>
      <c r="D703"/>
      <c r="E703"/>
      <c r="F703"/>
      <c r="G703"/>
      <c r="H703"/>
      <c r="I703"/>
      <c r="J703"/>
      <c r="K703"/>
      <c r="L703"/>
      <c r="M703"/>
      <c r="N703"/>
      <c r="O703"/>
      <c r="P703"/>
      <c r="Q703"/>
      <c r="R703"/>
      <c r="S703"/>
      <c r="T703"/>
      <c r="U703"/>
      <c r="V703"/>
      <c r="W703"/>
    </row>
    <row r="704" spans="1:23" x14ac:dyDescent="0.4">
      <c r="A704"/>
      <c r="B704"/>
      <c r="C704"/>
      <c r="D704"/>
      <c r="E704"/>
      <c r="F704"/>
      <c r="G704"/>
      <c r="H704"/>
      <c r="I704"/>
      <c r="J704"/>
      <c r="K704"/>
      <c r="L704"/>
      <c r="M704"/>
      <c r="N704"/>
      <c r="O704"/>
      <c r="P704"/>
      <c r="Q704"/>
      <c r="R704"/>
      <c r="S704"/>
      <c r="T704"/>
      <c r="U704"/>
      <c r="V704"/>
      <c r="W704"/>
    </row>
    <row r="705" spans="1:23" x14ac:dyDescent="0.4">
      <c r="A705"/>
      <c r="B705"/>
      <c r="C705"/>
      <c r="D705"/>
      <c r="E705"/>
      <c r="F705"/>
      <c r="G705"/>
      <c r="H705"/>
      <c r="I705"/>
      <c r="J705"/>
      <c r="K705"/>
      <c r="L705"/>
      <c r="M705"/>
      <c r="N705"/>
      <c r="O705"/>
      <c r="P705"/>
      <c r="Q705"/>
      <c r="R705"/>
      <c r="S705"/>
      <c r="T705"/>
      <c r="U705"/>
      <c r="V705"/>
      <c r="W705"/>
    </row>
    <row r="706" spans="1:23" x14ac:dyDescent="0.4">
      <c r="A706"/>
      <c r="B706"/>
      <c r="C706"/>
      <c r="D706"/>
      <c r="E706"/>
      <c r="F706"/>
      <c r="G706"/>
      <c r="H706"/>
      <c r="I706"/>
      <c r="J706"/>
      <c r="K706"/>
      <c r="L706"/>
      <c r="M706"/>
      <c r="N706"/>
      <c r="O706"/>
      <c r="P706"/>
      <c r="Q706"/>
      <c r="R706"/>
      <c r="S706"/>
      <c r="T706"/>
      <c r="U706"/>
      <c r="V706"/>
      <c r="W706"/>
    </row>
    <row r="707" spans="1:23" x14ac:dyDescent="0.4">
      <c r="A707"/>
      <c r="B707"/>
      <c r="C707"/>
      <c r="D707"/>
      <c r="E707"/>
      <c r="F707"/>
      <c r="G707"/>
      <c r="H707"/>
      <c r="I707"/>
      <c r="J707"/>
      <c r="K707"/>
      <c r="L707"/>
      <c r="M707"/>
      <c r="N707"/>
      <c r="O707"/>
      <c r="P707"/>
      <c r="Q707"/>
      <c r="R707"/>
      <c r="S707"/>
      <c r="T707"/>
      <c r="U707"/>
      <c r="V707"/>
      <c r="W707"/>
    </row>
    <row r="708" spans="1:23" x14ac:dyDescent="0.4">
      <c r="A708"/>
      <c r="B708"/>
      <c r="C708"/>
      <c r="D708"/>
      <c r="E708"/>
      <c r="F708"/>
      <c r="G708"/>
      <c r="H708"/>
      <c r="I708"/>
      <c r="J708"/>
      <c r="K708"/>
      <c r="L708"/>
      <c r="M708"/>
      <c r="N708"/>
      <c r="O708"/>
      <c r="P708"/>
      <c r="Q708"/>
      <c r="R708"/>
      <c r="S708"/>
      <c r="T708"/>
      <c r="U708"/>
      <c r="V708"/>
      <c r="W708"/>
    </row>
    <row r="709" spans="1:23" x14ac:dyDescent="0.4">
      <c r="A709"/>
      <c r="B709"/>
      <c r="C709"/>
      <c r="D709"/>
      <c r="E709"/>
      <c r="F709"/>
      <c r="G709"/>
      <c r="H709"/>
      <c r="I709"/>
      <c r="J709"/>
      <c r="K709"/>
      <c r="L709"/>
      <c r="M709"/>
      <c r="N709"/>
      <c r="O709"/>
      <c r="P709"/>
      <c r="Q709"/>
      <c r="R709"/>
      <c r="S709"/>
      <c r="T709"/>
      <c r="U709"/>
      <c r="V709"/>
      <c r="W709"/>
    </row>
    <row r="710" spans="1:23" x14ac:dyDescent="0.4">
      <c r="A710"/>
      <c r="B710"/>
      <c r="C710"/>
      <c r="D710"/>
      <c r="E710"/>
      <c r="F710"/>
      <c r="G710"/>
      <c r="H710"/>
      <c r="I710"/>
      <c r="J710"/>
      <c r="K710"/>
      <c r="L710"/>
      <c r="M710"/>
      <c r="N710"/>
      <c r="O710"/>
      <c r="P710"/>
      <c r="Q710"/>
      <c r="R710"/>
      <c r="S710"/>
      <c r="T710"/>
      <c r="U710"/>
      <c r="V710"/>
      <c r="W710"/>
    </row>
    <row r="711" spans="1:23" x14ac:dyDescent="0.4">
      <c r="A711"/>
      <c r="B711"/>
      <c r="C711"/>
      <c r="D711"/>
      <c r="E711"/>
      <c r="F711"/>
      <c r="G711"/>
      <c r="H711"/>
      <c r="I711"/>
      <c r="J711"/>
      <c r="K711"/>
      <c r="L711"/>
      <c r="M711"/>
      <c r="N711"/>
      <c r="O711"/>
      <c r="P711"/>
      <c r="Q711"/>
      <c r="R711"/>
      <c r="S711"/>
      <c r="T711"/>
      <c r="U711"/>
      <c r="V711"/>
      <c r="W711"/>
    </row>
    <row r="712" spans="1:23" x14ac:dyDescent="0.4">
      <c r="A712"/>
      <c r="B712"/>
      <c r="C712"/>
      <c r="D712"/>
      <c r="E712"/>
      <c r="F712"/>
      <c r="G712"/>
      <c r="H712"/>
      <c r="I712"/>
      <c r="J712"/>
      <c r="K712"/>
      <c r="L712"/>
      <c r="M712"/>
      <c r="N712"/>
      <c r="O712"/>
      <c r="P712"/>
      <c r="Q712"/>
      <c r="R712"/>
      <c r="S712"/>
      <c r="T712"/>
      <c r="U712"/>
      <c r="V712"/>
      <c r="W712"/>
    </row>
    <row r="713" spans="1:23" x14ac:dyDescent="0.4">
      <c r="A713"/>
      <c r="B713"/>
      <c r="C713"/>
      <c r="D713"/>
      <c r="E713"/>
      <c r="F713"/>
      <c r="G713"/>
      <c r="H713"/>
      <c r="I713"/>
      <c r="J713"/>
      <c r="K713"/>
      <c r="L713"/>
      <c r="M713"/>
      <c r="N713"/>
      <c r="O713"/>
      <c r="P713"/>
      <c r="Q713"/>
      <c r="R713"/>
      <c r="S713"/>
      <c r="T713"/>
      <c r="U713"/>
      <c r="V713"/>
      <c r="W713"/>
    </row>
    <row r="714" spans="1:23" x14ac:dyDescent="0.4">
      <c r="A714"/>
      <c r="B714"/>
      <c r="C714"/>
      <c r="D714"/>
      <c r="E714"/>
      <c r="F714"/>
      <c r="G714"/>
      <c r="H714"/>
      <c r="I714"/>
      <c r="J714"/>
      <c r="K714"/>
      <c r="L714"/>
      <c r="M714"/>
      <c r="N714"/>
      <c r="O714"/>
      <c r="P714"/>
      <c r="Q714"/>
      <c r="R714"/>
      <c r="S714"/>
      <c r="T714"/>
      <c r="U714"/>
      <c r="V714"/>
      <c r="W714"/>
    </row>
    <row r="715" spans="1:23" x14ac:dyDescent="0.4">
      <c r="A715"/>
      <c r="B715"/>
      <c r="C715"/>
      <c r="D715"/>
      <c r="E715"/>
      <c r="F715"/>
      <c r="G715"/>
      <c r="H715"/>
      <c r="I715"/>
      <c r="J715"/>
      <c r="K715"/>
      <c r="L715"/>
      <c r="M715"/>
      <c r="N715"/>
      <c r="O715"/>
      <c r="P715"/>
      <c r="Q715"/>
      <c r="R715"/>
      <c r="S715"/>
      <c r="T715"/>
      <c r="U715"/>
      <c r="V715"/>
      <c r="W715"/>
    </row>
    <row r="716" spans="1:23" x14ac:dyDescent="0.4">
      <c r="A716"/>
      <c r="B716"/>
      <c r="C716"/>
      <c r="D716"/>
      <c r="E716"/>
      <c r="F716"/>
      <c r="G716"/>
      <c r="H716"/>
      <c r="I716"/>
      <c r="J716"/>
      <c r="K716"/>
      <c r="L716"/>
      <c r="M716"/>
      <c r="N716"/>
      <c r="O716"/>
      <c r="P716"/>
      <c r="Q716"/>
      <c r="R716"/>
      <c r="S716"/>
      <c r="T716"/>
      <c r="U716"/>
      <c r="V716"/>
      <c r="W716"/>
    </row>
    <row r="717" spans="1:23" x14ac:dyDescent="0.4">
      <c r="A717"/>
      <c r="B717"/>
      <c r="C717"/>
      <c r="D717"/>
      <c r="E717"/>
      <c r="F717"/>
      <c r="G717"/>
      <c r="H717"/>
      <c r="I717"/>
      <c r="J717"/>
      <c r="K717"/>
      <c r="L717"/>
      <c r="M717"/>
      <c r="N717"/>
      <c r="O717"/>
      <c r="P717"/>
      <c r="Q717"/>
      <c r="R717"/>
      <c r="S717"/>
      <c r="T717"/>
      <c r="U717"/>
      <c r="V717"/>
      <c r="W717"/>
    </row>
    <row r="718" spans="1:23" x14ac:dyDescent="0.4">
      <c r="A718"/>
      <c r="B718"/>
      <c r="C718"/>
      <c r="D718"/>
      <c r="E718"/>
      <c r="F718"/>
      <c r="G718"/>
      <c r="H718"/>
      <c r="I718"/>
      <c r="J718"/>
      <c r="K718"/>
      <c r="L718"/>
      <c r="M718"/>
      <c r="N718"/>
      <c r="O718"/>
      <c r="P718"/>
      <c r="Q718"/>
      <c r="R718"/>
      <c r="S718"/>
      <c r="T718"/>
      <c r="U718"/>
      <c r="V718"/>
      <c r="W718"/>
    </row>
    <row r="719" spans="1:23" x14ac:dyDescent="0.4">
      <c r="A719"/>
      <c r="B719"/>
      <c r="C719"/>
      <c r="D719"/>
      <c r="E719"/>
      <c r="F719"/>
      <c r="G719"/>
      <c r="H719"/>
      <c r="I719"/>
      <c r="J719"/>
      <c r="K719"/>
      <c r="L719"/>
      <c r="M719"/>
      <c r="N719"/>
      <c r="O719"/>
      <c r="P719"/>
      <c r="Q719"/>
      <c r="R719"/>
      <c r="S719"/>
      <c r="T719"/>
      <c r="U719"/>
      <c r="V719"/>
      <c r="W719"/>
    </row>
    <row r="720" spans="1:23" x14ac:dyDescent="0.4">
      <c r="A720"/>
      <c r="B720"/>
      <c r="C720"/>
      <c r="D720"/>
      <c r="E720"/>
      <c r="F720"/>
      <c r="G720"/>
      <c r="H720"/>
      <c r="I720"/>
      <c r="J720"/>
      <c r="K720"/>
      <c r="L720"/>
      <c r="M720"/>
      <c r="N720"/>
      <c r="O720"/>
      <c r="P720"/>
      <c r="Q720"/>
      <c r="R720"/>
      <c r="S720"/>
      <c r="T720"/>
      <c r="U720"/>
      <c r="V720"/>
      <c r="W720"/>
    </row>
    <row r="721" spans="1:23" x14ac:dyDescent="0.4">
      <c r="A721"/>
      <c r="B721"/>
      <c r="C721"/>
      <c r="D721"/>
      <c r="E721"/>
      <c r="F721"/>
      <c r="G721"/>
      <c r="H721"/>
      <c r="I721"/>
      <c r="J721"/>
      <c r="K721"/>
      <c r="L721"/>
      <c r="M721"/>
      <c r="N721"/>
      <c r="O721"/>
      <c r="P721"/>
      <c r="Q721"/>
      <c r="R721"/>
      <c r="S721"/>
      <c r="T721"/>
      <c r="U721"/>
      <c r="V721"/>
      <c r="W721"/>
    </row>
    <row r="722" spans="1:23" x14ac:dyDescent="0.4">
      <c r="A722"/>
      <c r="B722"/>
      <c r="C722"/>
      <c r="D722"/>
      <c r="E722"/>
      <c r="F722"/>
      <c r="G722"/>
      <c r="H722"/>
      <c r="I722"/>
      <c r="J722"/>
      <c r="K722"/>
      <c r="L722"/>
      <c r="M722"/>
      <c r="N722"/>
      <c r="O722"/>
      <c r="P722"/>
      <c r="Q722"/>
      <c r="R722"/>
      <c r="S722"/>
      <c r="T722"/>
      <c r="U722"/>
      <c r="V722"/>
      <c r="W722"/>
    </row>
    <row r="723" spans="1:23" x14ac:dyDescent="0.4">
      <c r="A723"/>
      <c r="B723"/>
      <c r="C723"/>
      <c r="D723"/>
      <c r="E723"/>
      <c r="F723"/>
      <c r="G723"/>
      <c r="H723"/>
      <c r="I723"/>
      <c r="J723"/>
      <c r="K723"/>
      <c r="L723"/>
      <c r="M723"/>
      <c r="N723"/>
      <c r="O723"/>
      <c r="P723"/>
      <c r="Q723"/>
      <c r="R723"/>
      <c r="S723"/>
      <c r="T723"/>
      <c r="U723"/>
      <c r="V723"/>
      <c r="W723"/>
    </row>
    <row r="724" spans="1:23" x14ac:dyDescent="0.4">
      <c r="A724"/>
      <c r="B724"/>
      <c r="C724"/>
      <c r="D724"/>
      <c r="E724"/>
      <c r="F724"/>
      <c r="G724"/>
      <c r="H724"/>
      <c r="I724"/>
      <c r="J724"/>
      <c r="K724"/>
      <c r="L724"/>
      <c r="M724"/>
      <c r="N724"/>
      <c r="O724"/>
      <c r="P724"/>
      <c r="Q724"/>
      <c r="R724"/>
      <c r="S724"/>
      <c r="T724"/>
      <c r="U724"/>
      <c r="V724"/>
      <c r="W724"/>
    </row>
    <row r="725" spans="1:23" x14ac:dyDescent="0.4">
      <c r="A725"/>
      <c r="B725"/>
      <c r="C725"/>
      <c r="D725"/>
      <c r="E725"/>
      <c r="F725"/>
      <c r="G725"/>
      <c r="H725"/>
      <c r="I725"/>
      <c r="J725"/>
      <c r="K725"/>
      <c r="L725"/>
      <c r="M725"/>
      <c r="N725"/>
      <c r="O725"/>
      <c r="P725"/>
      <c r="Q725"/>
      <c r="R725"/>
      <c r="S725"/>
      <c r="T725"/>
      <c r="U725"/>
      <c r="V725"/>
      <c r="W725"/>
    </row>
    <row r="726" spans="1:23" x14ac:dyDescent="0.4">
      <c r="A726"/>
      <c r="B726"/>
      <c r="C726"/>
      <c r="D726"/>
      <c r="E726"/>
      <c r="F726"/>
      <c r="G726"/>
      <c r="H726"/>
      <c r="I726"/>
      <c r="J726"/>
      <c r="K726"/>
      <c r="L726"/>
      <c r="M726"/>
      <c r="N726"/>
      <c r="O726"/>
      <c r="P726"/>
      <c r="Q726"/>
      <c r="R726"/>
      <c r="S726"/>
      <c r="T726"/>
      <c r="U726"/>
      <c r="V726"/>
      <c r="W726"/>
    </row>
    <row r="727" spans="1:23" x14ac:dyDescent="0.4">
      <c r="A727"/>
      <c r="B727"/>
      <c r="C727"/>
      <c r="D727"/>
      <c r="E727"/>
      <c r="F727"/>
      <c r="G727"/>
      <c r="H727"/>
      <c r="I727"/>
      <c r="J727"/>
      <c r="K727"/>
      <c r="L727"/>
      <c r="M727"/>
      <c r="N727"/>
      <c r="O727"/>
      <c r="P727"/>
      <c r="Q727"/>
      <c r="R727"/>
      <c r="S727"/>
      <c r="T727"/>
      <c r="U727"/>
      <c r="V727"/>
      <c r="W727"/>
    </row>
    <row r="728" spans="1:23" x14ac:dyDescent="0.4">
      <c r="A728"/>
      <c r="B728"/>
      <c r="C728"/>
      <c r="D728"/>
      <c r="E728"/>
      <c r="F728"/>
      <c r="G728"/>
      <c r="H728"/>
      <c r="I728"/>
      <c r="J728"/>
      <c r="K728"/>
      <c r="L728"/>
      <c r="M728"/>
      <c r="N728"/>
      <c r="O728"/>
      <c r="P728"/>
      <c r="Q728"/>
      <c r="R728"/>
      <c r="S728"/>
      <c r="T728"/>
      <c r="U728"/>
      <c r="V728"/>
      <c r="W728"/>
    </row>
    <row r="729" spans="1:23" x14ac:dyDescent="0.4">
      <c r="A729"/>
      <c r="B729"/>
      <c r="C729"/>
      <c r="D729"/>
      <c r="E729"/>
      <c r="F729"/>
      <c r="G729"/>
      <c r="H729"/>
      <c r="I729"/>
      <c r="J729"/>
      <c r="K729"/>
      <c r="L729"/>
      <c r="M729"/>
      <c r="N729"/>
      <c r="O729"/>
      <c r="P729"/>
      <c r="Q729"/>
      <c r="R729"/>
      <c r="S729"/>
      <c r="T729"/>
      <c r="U729"/>
      <c r="V729"/>
      <c r="W729"/>
    </row>
    <row r="730" spans="1:23" x14ac:dyDescent="0.4">
      <c r="A730"/>
      <c r="B730"/>
      <c r="C730"/>
      <c r="D730"/>
      <c r="E730"/>
      <c r="F730"/>
      <c r="G730"/>
      <c r="H730"/>
      <c r="I730"/>
      <c r="J730"/>
      <c r="K730"/>
      <c r="L730"/>
      <c r="M730"/>
      <c r="N730"/>
      <c r="O730"/>
      <c r="P730"/>
      <c r="Q730"/>
      <c r="R730"/>
      <c r="S730"/>
      <c r="T730"/>
      <c r="U730"/>
      <c r="V730"/>
      <c r="W730"/>
    </row>
    <row r="731" spans="1:23" x14ac:dyDescent="0.4">
      <c r="A731"/>
      <c r="B731"/>
      <c r="C731"/>
      <c r="D731"/>
      <c r="E731"/>
      <c r="F731"/>
      <c r="G731"/>
      <c r="H731"/>
      <c r="I731"/>
      <c r="J731"/>
      <c r="K731"/>
      <c r="L731"/>
      <c r="M731"/>
      <c r="N731"/>
      <c r="O731"/>
      <c r="P731"/>
      <c r="Q731"/>
      <c r="R731"/>
      <c r="S731"/>
      <c r="T731"/>
      <c r="U731"/>
      <c r="V731"/>
      <c r="W731"/>
    </row>
    <row r="732" spans="1:23" x14ac:dyDescent="0.4">
      <c r="A732"/>
      <c r="B732"/>
      <c r="C732"/>
      <c r="D732"/>
      <c r="E732"/>
      <c r="F732"/>
      <c r="G732"/>
      <c r="H732"/>
      <c r="I732"/>
      <c r="J732"/>
      <c r="K732"/>
      <c r="L732"/>
      <c r="M732"/>
      <c r="N732"/>
      <c r="O732"/>
      <c r="P732"/>
      <c r="Q732"/>
      <c r="R732"/>
      <c r="S732"/>
      <c r="T732"/>
      <c r="U732"/>
      <c r="V732"/>
      <c r="W732"/>
    </row>
    <row r="733" spans="1:23" x14ac:dyDescent="0.4">
      <c r="A733"/>
      <c r="B733"/>
      <c r="C733"/>
      <c r="D733"/>
      <c r="E733"/>
      <c r="F733"/>
      <c r="G733"/>
      <c r="H733"/>
      <c r="I733"/>
      <c r="J733"/>
      <c r="K733"/>
      <c r="L733"/>
      <c r="M733"/>
      <c r="N733"/>
      <c r="O733"/>
      <c r="P733"/>
      <c r="Q733"/>
      <c r="R733"/>
      <c r="S733"/>
      <c r="T733"/>
      <c r="U733"/>
      <c r="V733"/>
      <c r="W733"/>
    </row>
    <row r="734" spans="1:23" x14ac:dyDescent="0.4">
      <c r="A734"/>
      <c r="B734"/>
      <c r="C734"/>
      <c r="D734"/>
      <c r="E734"/>
      <c r="F734"/>
      <c r="G734"/>
      <c r="H734"/>
      <c r="I734"/>
      <c r="J734"/>
      <c r="K734"/>
      <c r="L734"/>
      <c r="M734"/>
      <c r="N734"/>
      <c r="O734"/>
      <c r="P734"/>
      <c r="Q734"/>
      <c r="R734"/>
      <c r="S734"/>
      <c r="T734"/>
      <c r="U734"/>
      <c r="V734"/>
      <c r="W734"/>
    </row>
    <row r="735" spans="1:23" x14ac:dyDescent="0.4">
      <c r="A735"/>
      <c r="B735"/>
      <c r="C735"/>
      <c r="D735"/>
      <c r="E735"/>
      <c r="F735"/>
      <c r="G735"/>
      <c r="H735"/>
      <c r="I735"/>
      <c r="J735"/>
      <c r="K735"/>
      <c r="L735"/>
      <c r="M735"/>
      <c r="N735"/>
      <c r="O735"/>
      <c r="P735"/>
      <c r="Q735"/>
      <c r="R735"/>
      <c r="S735"/>
      <c r="T735"/>
      <c r="U735"/>
      <c r="V735"/>
      <c r="W735"/>
    </row>
    <row r="736" spans="1:23" x14ac:dyDescent="0.4">
      <c r="A736"/>
      <c r="B736"/>
      <c r="C736"/>
      <c r="D736"/>
      <c r="E736"/>
      <c r="F736"/>
      <c r="G736"/>
      <c r="H736"/>
      <c r="I736"/>
      <c r="J736"/>
      <c r="K736"/>
      <c r="L736"/>
      <c r="M736"/>
      <c r="N736"/>
      <c r="O736"/>
      <c r="P736"/>
      <c r="Q736"/>
      <c r="R736"/>
      <c r="S736"/>
      <c r="T736"/>
      <c r="U736"/>
      <c r="V736"/>
      <c r="W736"/>
    </row>
    <row r="737" spans="1:23" x14ac:dyDescent="0.4">
      <c r="A737"/>
      <c r="B737"/>
      <c r="C737"/>
      <c r="D737"/>
      <c r="E737"/>
      <c r="F737"/>
      <c r="G737"/>
      <c r="H737"/>
      <c r="I737"/>
      <c r="J737"/>
      <c r="K737"/>
      <c r="L737"/>
      <c r="M737"/>
      <c r="N737"/>
      <c r="O737"/>
      <c r="P737"/>
      <c r="Q737"/>
      <c r="R737"/>
      <c r="S737"/>
      <c r="T737"/>
      <c r="U737"/>
      <c r="V737"/>
      <c r="W737"/>
    </row>
    <row r="738" spans="1:23" x14ac:dyDescent="0.4">
      <c r="A738"/>
      <c r="B738"/>
      <c r="C738"/>
      <c r="D738"/>
      <c r="E738"/>
      <c r="F738"/>
      <c r="G738"/>
      <c r="H738"/>
      <c r="I738"/>
      <c r="J738"/>
      <c r="K738"/>
      <c r="L738"/>
      <c r="M738"/>
      <c r="N738"/>
      <c r="O738"/>
      <c r="P738"/>
      <c r="Q738"/>
      <c r="R738"/>
      <c r="S738"/>
      <c r="T738"/>
      <c r="U738"/>
      <c r="V738"/>
      <c r="W738"/>
    </row>
    <row r="739" spans="1:23" x14ac:dyDescent="0.4">
      <c r="A739"/>
      <c r="B739"/>
      <c r="C739"/>
      <c r="D739"/>
      <c r="E739"/>
      <c r="F739"/>
      <c r="G739"/>
      <c r="H739"/>
      <c r="I739"/>
      <c r="J739"/>
      <c r="K739"/>
      <c r="L739"/>
      <c r="M739"/>
      <c r="N739"/>
      <c r="O739"/>
      <c r="P739"/>
      <c r="Q739"/>
      <c r="R739"/>
      <c r="S739"/>
      <c r="T739"/>
      <c r="U739"/>
      <c r="V739"/>
      <c r="W739"/>
    </row>
    <row r="740" spans="1:23" x14ac:dyDescent="0.4">
      <c r="A740"/>
      <c r="B740"/>
      <c r="C740"/>
      <c r="D740"/>
      <c r="E740"/>
      <c r="F740"/>
      <c r="G740"/>
      <c r="H740"/>
      <c r="I740"/>
      <c r="J740"/>
      <c r="K740"/>
      <c r="L740"/>
      <c r="M740"/>
      <c r="N740"/>
      <c r="O740"/>
      <c r="P740"/>
      <c r="Q740"/>
      <c r="R740"/>
      <c r="S740"/>
      <c r="T740"/>
      <c r="U740"/>
      <c r="V740"/>
      <c r="W740"/>
    </row>
    <row r="741" spans="1:23" x14ac:dyDescent="0.4">
      <c r="A741"/>
      <c r="B741"/>
      <c r="C741"/>
      <c r="D741"/>
      <c r="E741"/>
      <c r="F741"/>
      <c r="G741"/>
      <c r="H741"/>
      <c r="I741"/>
      <c r="J741"/>
      <c r="K741"/>
      <c r="L741"/>
      <c r="M741"/>
      <c r="N741"/>
      <c r="O741"/>
      <c r="P741"/>
      <c r="Q741"/>
      <c r="R741"/>
      <c r="S741"/>
      <c r="T741"/>
      <c r="U741"/>
      <c r="V741"/>
      <c r="W741"/>
    </row>
    <row r="742" spans="1:23" x14ac:dyDescent="0.4">
      <c r="A742"/>
      <c r="B742"/>
      <c r="C742"/>
      <c r="D742"/>
      <c r="E742"/>
      <c r="F742"/>
      <c r="G742"/>
      <c r="H742"/>
      <c r="I742"/>
      <c r="J742"/>
      <c r="K742"/>
      <c r="L742"/>
      <c r="M742"/>
      <c r="N742"/>
      <c r="O742"/>
      <c r="P742"/>
      <c r="Q742"/>
      <c r="R742"/>
      <c r="S742"/>
      <c r="T742"/>
      <c r="U742"/>
      <c r="V742"/>
      <c r="W742"/>
    </row>
    <row r="743" spans="1:23" x14ac:dyDescent="0.4">
      <c r="A743"/>
      <c r="B743"/>
      <c r="C743"/>
      <c r="D743"/>
      <c r="E743"/>
      <c r="F743"/>
      <c r="G743"/>
      <c r="H743"/>
      <c r="I743"/>
      <c r="J743"/>
      <c r="K743"/>
      <c r="L743"/>
      <c r="M743"/>
      <c r="N743"/>
      <c r="O743"/>
      <c r="P743"/>
      <c r="Q743"/>
      <c r="R743"/>
      <c r="S743"/>
      <c r="T743"/>
      <c r="U743"/>
      <c r="V743"/>
      <c r="W743"/>
    </row>
    <row r="744" spans="1:23" x14ac:dyDescent="0.4">
      <c r="A744"/>
      <c r="B744"/>
      <c r="C744"/>
      <c r="D744"/>
      <c r="E744"/>
      <c r="F744"/>
      <c r="G744"/>
      <c r="H744"/>
      <c r="I744"/>
      <c r="J744"/>
      <c r="K744"/>
      <c r="L744"/>
      <c r="M744"/>
      <c r="N744"/>
      <c r="O744"/>
      <c r="P744"/>
      <c r="Q744"/>
      <c r="R744"/>
      <c r="S744"/>
      <c r="T744"/>
      <c r="U744"/>
      <c r="V744"/>
      <c r="W744"/>
    </row>
    <row r="745" spans="1:23" x14ac:dyDescent="0.4">
      <c r="A745"/>
      <c r="B745"/>
      <c r="C745"/>
      <c r="D745"/>
      <c r="E745"/>
      <c r="F745"/>
      <c r="G745"/>
      <c r="H745"/>
      <c r="I745"/>
      <c r="J745"/>
      <c r="K745"/>
      <c r="L745"/>
      <c r="M745"/>
      <c r="N745"/>
      <c r="O745"/>
      <c r="P745"/>
      <c r="Q745"/>
      <c r="R745"/>
      <c r="S745"/>
      <c r="T745"/>
      <c r="U745"/>
      <c r="V745"/>
      <c r="W745"/>
    </row>
    <row r="746" spans="1:23" x14ac:dyDescent="0.4">
      <c r="A746"/>
      <c r="B746"/>
      <c r="C746"/>
      <c r="D746"/>
      <c r="E746"/>
      <c r="F746"/>
      <c r="G746"/>
      <c r="H746"/>
      <c r="I746"/>
      <c r="J746"/>
      <c r="K746"/>
      <c r="L746"/>
      <c r="M746"/>
      <c r="N746"/>
      <c r="O746"/>
      <c r="P746"/>
      <c r="Q746"/>
      <c r="R746"/>
      <c r="S746"/>
      <c r="T746"/>
      <c r="U746"/>
      <c r="V746"/>
      <c r="W746"/>
    </row>
    <row r="747" spans="1:23" x14ac:dyDescent="0.4">
      <c r="A747"/>
      <c r="B747"/>
      <c r="C747"/>
      <c r="D747"/>
      <c r="E747"/>
      <c r="F747"/>
      <c r="G747"/>
      <c r="H747"/>
      <c r="I747"/>
      <c r="J747"/>
      <c r="K747"/>
      <c r="L747"/>
      <c r="M747"/>
      <c r="N747"/>
      <c r="O747"/>
      <c r="P747"/>
      <c r="Q747"/>
      <c r="R747"/>
      <c r="S747"/>
      <c r="T747"/>
      <c r="U747"/>
      <c r="V747"/>
      <c r="W747"/>
    </row>
    <row r="748" spans="1:23" x14ac:dyDescent="0.4">
      <c r="A748"/>
      <c r="B748"/>
      <c r="C748"/>
      <c r="D748"/>
      <c r="E748"/>
      <c r="F748"/>
      <c r="G748"/>
      <c r="H748"/>
      <c r="I748"/>
      <c r="J748"/>
      <c r="K748"/>
      <c r="L748"/>
      <c r="M748"/>
      <c r="N748"/>
      <c r="O748"/>
      <c r="P748"/>
      <c r="Q748"/>
      <c r="R748"/>
      <c r="S748"/>
      <c r="T748"/>
      <c r="U748"/>
      <c r="V748"/>
      <c r="W748"/>
    </row>
    <row r="749" spans="1:23" x14ac:dyDescent="0.4">
      <c r="A749"/>
      <c r="B749"/>
      <c r="C749"/>
      <c r="D749"/>
      <c r="E749"/>
      <c r="F749"/>
      <c r="G749"/>
      <c r="H749"/>
      <c r="I749"/>
      <c r="J749"/>
      <c r="K749"/>
      <c r="L749"/>
      <c r="M749"/>
      <c r="N749"/>
      <c r="O749"/>
      <c r="P749"/>
      <c r="Q749"/>
      <c r="R749"/>
      <c r="S749"/>
      <c r="T749"/>
      <c r="U749"/>
      <c r="V749"/>
      <c r="W749"/>
    </row>
    <row r="750" spans="1:23" x14ac:dyDescent="0.4">
      <c r="A750"/>
      <c r="B750"/>
      <c r="C750"/>
      <c r="D750"/>
      <c r="E750"/>
      <c r="F750"/>
      <c r="G750"/>
      <c r="H750"/>
      <c r="I750"/>
      <c r="J750"/>
      <c r="K750"/>
      <c r="L750"/>
      <c r="M750"/>
      <c r="N750"/>
      <c r="O750"/>
      <c r="P750"/>
      <c r="Q750"/>
      <c r="R750"/>
      <c r="S750"/>
      <c r="T750"/>
      <c r="U750"/>
      <c r="V750"/>
      <c r="W750"/>
    </row>
    <row r="751" spans="1:23" x14ac:dyDescent="0.4">
      <c r="A751"/>
      <c r="B751"/>
      <c r="C751"/>
      <c r="D751"/>
      <c r="E751"/>
      <c r="F751"/>
      <c r="G751"/>
      <c r="H751"/>
      <c r="I751"/>
      <c r="J751"/>
      <c r="K751"/>
      <c r="L751"/>
      <c r="M751"/>
      <c r="N751"/>
      <c r="O751"/>
      <c r="P751"/>
      <c r="Q751"/>
      <c r="R751"/>
      <c r="S751"/>
      <c r="T751"/>
      <c r="U751"/>
      <c r="V751"/>
      <c r="W751"/>
    </row>
    <row r="752" spans="1:23" x14ac:dyDescent="0.4">
      <c r="A752"/>
      <c r="B752"/>
      <c r="C752"/>
      <c r="D752"/>
      <c r="E752"/>
      <c r="F752"/>
      <c r="G752"/>
      <c r="H752"/>
      <c r="I752"/>
      <c r="J752"/>
      <c r="K752"/>
      <c r="L752"/>
      <c r="M752"/>
      <c r="N752"/>
      <c r="O752"/>
      <c r="P752"/>
      <c r="Q752"/>
      <c r="R752"/>
      <c r="S752"/>
      <c r="T752"/>
      <c r="U752"/>
      <c r="V752"/>
      <c r="W752"/>
    </row>
    <row r="753" spans="1:23" x14ac:dyDescent="0.4">
      <c r="A753"/>
      <c r="B753"/>
      <c r="C753"/>
      <c r="D753"/>
      <c r="E753"/>
      <c r="F753"/>
      <c r="G753"/>
      <c r="H753"/>
      <c r="I753"/>
      <c r="J753"/>
      <c r="K753"/>
      <c r="L753"/>
      <c r="M753"/>
      <c r="N753"/>
      <c r="O753"/>
      <c r="P753"/>
      <c r="Q753"/>
      <c r="R753"/>
      <c r="S753"/>
      <c r="T753"/>
      <c r="U753"/>
      <c r="V753"/>
      <c r="W753"/>
    </row>
    <row r="754" spans="1:23" x14ac:dyDescent="0.4">
      <c r="A754"/>
      <c r="B754"/>
      <c r="C754"/>
      <c r="D754"/>
      <c r="E754"/>
      <c r="F754"/>
      <c r="G754"/>
      <c r="H754"/>
      <c r="I754"/>
      <c r="J754"/>
      <c r="K754"/>
      <c r="L754"/>
      <c r="M754"/>
      <c r="N754"/>
      <c r="O754"/>
      <c r="P754"/>
      <c r="Q754"/>
      <c r="R754"/>
      <c r="S754"/>
      <c r="T754"/>
      <c r="U754"/>
      <c r="V754"/>
      <c r="W754"/>
    </row>
    <row r="755" spans="1:23" x14ac:dyDescent="0.4">
      <c r="A755"/>
      <c r="B755"/>
      <c r="C755"/>
      <c r="D755"/>
      <c r="E755"/>
      <c r="F755"/>
      <c r="G755"/>
      <c r="H755"/>
      <c r="I755"/>
      <c r="J755"/>
      <c r="K755"/>
      <c r="L755"/>
      <c r="M755"/>
      <c r="N755"/>
      <c r="O755"/>
      <c r="P755"/>
      <c r="Q755"/>
      <c r="R755"/>
      <c r="S755"/>
      <c r="T755"/>
      <c r="U755"/>
      <c r="V755"/>
      <c r="W755"/>
    </row>
    <row r="756" spans="1:23" x14ac:dyDescent="0.4">
      <c r="A756"/>
      <c r="B756"/>
      <c r="C756"/>
      <c r="D756"/>
      <c r="E756"/>
      <c r="F756"/>
      <c r="G756"/>
      <c r="H756"/>
      <c r="I756"/>
      <c r="J756"/>
      <c r="K756"/>
      <c r="L756"/>
      <c r="M756"/>
      <c r="N756"/>
      <c r="O756"/>
      <c r="P756"/>
      <c r="Q756"/>
      <c r="R756"/>
      <c r="S756"/>
      <c r="T756"/>
      <c r="U756"/>
      <c r="V756"/>
      <c r="W756"/>
    </row>
    <row r="757" spans="1:23" x14ac:dyDescent="0.4">
      <c r="A757"/>
      <c r="B757"/>
      <c r="C757"/>
      <c r="D757"/>
      <c r="E757"/>
      <c r="F757"/>
      <c r="G757"/>
      <c r="H757"/>
      <c r="I757"/>
      <c r="J757"/>
      <c r="K757"/>
      <c r="L757"/>
      <c r="M757"/>
      <c r="N757"/>
      <c r="O757"/>
      <c r="P757"/>
      <c r="Q757"/>
      <c r="R757"/>
      <c r="S757"/>
      <c r="T757"/>
      <c r="U757"/>
      <c r="V757"/>
      <c r="W757"/>
    </row>
    <row r="758" spans="1:23" x14ac:dyDescent="0.4">
      <c r="A758"/>
      <c r="B758"/>
      <c r="C758"/>
      <c r="D758"/>
      <c r="E758"/>
      <c r="F758"/>
      <c r="G758"/>
      <c r="H758"/>
      <c r="I758"/>
      <c r="J758"/>
      <c r="K758"/>
      <c r="L758"/>
      <c r="M758"/>
      <c r="N758"/>
      <c r="O758"/>
      <c r="P758"/>
      <c r="Q758"/>
      <c r="R758"/>
      <c r="S758"/>
      <c r="T758"/>
      <c r="U758"/>
      <c r="V758"/>
      <c r="W758"/>
    </row>
    <row r="759" spans="1:23" x14ac:dyDescent="0.4">
      <c r="A759"/>
      <c r="B759"/>
      <c r="C759"/>
      <c r="D759"/>
      <c r="E759"/>
      <c r="F759"/>
      <c r="G759"/>
      <c r="H759"/>
      <c r="I759"/>
      <c r="J759"/>
      <c r="K759"/>
      <c r="L759"/>
      <c r="M759"/>
      <c r="N759"/>
      <c r="O759"/>
      <c r="P759"/>
      <c r="Q759"/>
      <c r="R759"/>
      <c r="S759"/>
      <c r="T759"/>
      <c r="U759"/>
      <c r="V759"/>
      <c r="W759"/>
    </row>
    <row r="760" spans="1:23" x14ac:dyDescent="0.4">
      <c r="A760"/>
      <c r="B760"/>
      <c r="C760"/>
      <c r="D760"/>
      <c r="E760"/>
      <c r="F760"/>
      <c r="G760"/>
      <c r="H760"/>
      <c r="I760"/>
      <c r="J760"/>
      <c r="K760"/>
      <c r="L760"/>
      <c r="M760"/>
      <c r="N760"/>
      <c r="O760"/>
      <c r="P760"/>
      <c r="Q760"/>
      <c r="R760"/>
      <c r="S760"/>
      <c r="T760"/>
      <c r="U760"/>
      <c r="V760"/>
      <c r="W760"/>
    </row>
    <row r="761" spans="1:23" x14ac:dyDescent="0.4">
      <c r="A761"/>
      <c r="B761"/>
      <c r="C761"/>
      <c r="D761"/>
      <c r="E761"/>
      <c r="F761"/>
      <c r="G761"/>
      <c r="H761"/>
      <c r="I761"/>
      <c r="J761"/>
      <c r="K761"/>
      <c r="L761"/>
      <c r="M761"/>
      <c r="N761"/>
      <c r="O761"/>
      <c r="P761"/>
      <c r="Q761"/>
      <c r="R761"/>
      <c r="S761"/>
      <c r="T761"/>
      <c r="U761"/>
      <c r="V761"/>
      <c r="W761"/>
    </row>
    <row r="762" spans="1:23" x14ac:dyDescent="0.4">
      <c r="A762"/>
      <c r="B762"/>
      <c r="C762"/>
      <c r="D762"/>
      <c r="E762"/>
      <c r="F762"/>
      <c r="G762"/>
      <c r="H762"/>
      <c r="I762"/>
      <c r="J762"/>
      <c r="K762"/>
      <c r="L762"/>
      <c r="M762"/>
      <c r="N762"/>
      <c r="O762"/>
      <c r="P762"/>
      <c r="Q762"/>
      <c r="R762"/>
      <c r="S762"/>
      <c r="T762"/>
      <c r="U762"/>
      <c r="V762"/>
      <c r="W762"/>
    </row>
    <row r="763" spans="1:23" x14ac:dyDescent="0.4">
      <c r="A763"/>
      <c r="B763"/>
      <c r="C763"/>
      <c r="D763"/>
      <c r="E763"/>
      <c r="F763"/>
      <c r="G763"/>
      <c r="H763"/>
      <c r="I763"/>
      <c r="J763"/>
      <c r="K763"/>
      <c r="L763"/>
      <c r="M763"/>
      <c r="N763"/>
      <c r="O763"/>
      <c r="P763"/>
      <c r="Q763"/>
      <c r="R763"/>
      <c r="S763"/>
      <c r="T763"/>
      <c r="U763"/>
      <c r="V763"/>
      <c r="W763"/>
    </row>
    <row r="764" spans="1:23" x14ac:dyDescent="0.4">
      <c r="A764"/>
      <c r="B764"/>
      <c r="C764"/>
      <c r="D764"/>
      <c r="E764"/>
      <c r="F764"/>
      <c r="G764"/>
      <c r="H764"/>
      <c r="I764"/>
      <c r="J764"/>
      <c r="K764"/>
      <c r="L764"/>
      <c r="M764"/>
      <c r="N764"/>
      <c r="O764"/>
      <c r="P764"/>
      <c r="Q764"/>
      <c r="R764"/>
      <c r="S764"/>
      <c r="T764"/>
      <c r="U764"/>
      <c r="V764"/>
      <c r="W764"/>
    </row>
    <row r="765" spans="1:23" x14ac:dyDescent="0.4">
      <c r="A765"/>
      <c r="B765"/>
      <c r="C765"/>
      <c r="D765"/>
      <c r="E765"/>
      <c r="F765"/>
      <c r="G765"/>
      <c r="H765"/>
      <c r="I765"/>
      <c r="J765"/>
      <c r="K765"/>
      <c r="L765"/>
      <c r="M765"/>
      <c r="N765"/>
      <c r="O765"/>
      <c r="P765"/>
      <c r="Q765"/>
      <c r="R765"/>
      <c r="S765"/>
      <c r="T765"/>
      <c r="U765"/>
      <c r="V765"/>
      <c r="W765"/>
    </row>
    <row r="766" spans="1:23" x14ac:dyDescent="0.4">
      <c r="A766"/>
      <c r="B766"/>
      <c r="C766"/>
      <c r="D766"/>
      <c r="E766"/>
      <c r="F766"/>
      <c r="G766"/>
      <c r="H766"/>
      <c r="I766"/>
      <c r="J766"/>
      <c r="K766"/>
      <c r="L766"/>
      <c r="M766"/>
      <c r="N766"/>
      <c r="O766"/>
      <c r="P766"/>
      <c r="Q766"/>
      <c r="R766"/>
      <c r="S766"/>
      <c r="T766"/>
      <c r="U766"/>
      <c r="V766"/>
      <c r="W766"/>
    </row>
    <row r="767" spans="1:23" x14ac:dyDescent="0.4">
      <c r="A767"/>
      <c r="B767"/>
      <c r="C767"/>
      <c r="D767"/>
      <c r="E767"/>
      <c r="F767"/>
      <c r="G767"/>
      <c r="H767"/>
      <c r="I767"/>
      <c r="J767"/>
      <c r="K767"/>
      <c r="L767"/>
      <c r="M767"/>
      <c r="N767"/>
      <c r="O767"/>
      <c r="P767"/>
      <c r="Q767"/>
      <c r="R767"/>
      <c r="S767"/>
      <c r="T767"/>
      <c r="U767"/>
      <c r="V767"/>
      <c r="W767"/>
    </row>
    <row r="768" spans="1:23" x14ac:dyDescent="0.4">
      <c r="A768"/>
      <c r="B768"/>
      <c r="C768"/>
      <c r="D768"/>
      <c r="E768"/>
      <c r="F768"/>
      <c r="G768"/>
      <c r="H768"/>
      <c r="I768"/>
      <c r="J768"/>
      <c r="K768"/>
      <c r="L768"/>
      <c r="M768"/>
      <c r="N768"/>
      <c r="O768"/>
      <c r="P768"/>
      <c r="Q768"/>
      <c r="R768"/>
      <c r="S768"/>
      <c r="T768"/>
      <c r="U768"/>
      <c r="V768"/>
      <c r="W768"/>
    </row>
    <row r="769" spans="1:23" x14ac:dyDescent="0.4">
      <c r="A769"/>
      <c r="B769"/>
      <c r="C769"/>
      <c r="D769"/>
      <c r="E769"/>
      <c r="F769"/>
      <c r="G769"/>
      <c r="H769"/>
      <c r="I769"/>
      <c r="J769"/>
      <c r="K769"/>
      <c r="L769"/>
      <c r="M769"/>
      <c r="N769"/>
      <c r="O769"/>
      <c r="P769"/>
      <c r="Q769"/>
      <c r="R769"/>
      <c r="S769"/>
      <c r="T769"/>
      <c r="U769"/>
      <c r="V769"/>
      <c r="W769"/>
    </row>
    <row r="770" spans="1:23" x14ac:dyDescent="0.4">
      <c r="A770"/>
      <c r="B770"/>
      <c r="C770"/>
      <c r="D770"/>
      <c r="E770"/>
      <c r="F770"/>
      <c r="G770"/>
      <c r="H770"/>
      <c r="I770"/>
      <c r="J770"/>
      <c r="K770"/>
      <c r="L770"/>
      <c r="M770"/>
      <c r="N770"/>
      <c r="O770"/>
      <c r="P770"/>
      <c r="Q770"/>
      <c r="R770"/>
      <c r="S770"/>
      <c r="T770"/>
      <c r="U770"/>
      <c r="V770"/>
      <c r="W770"/>
    </row>
    <row r="771" spans="1:23" x14ac:dyDescent="0.4">
      <c r="A771"/>
      <c r="B771"/>
      <c r="C771"/>
      <c r="D771"/>
      <c r="E771"/>
      <c r="F771"/>
      <c r="G771"/>
      <c r="H771"/>
      <c r="I771"/>
      <c r="J771"/>
      <c r="K771"/>
      <c r="L771"/>
      <c r="M771"/>
      <c r="N771"/>
      <c r="O771"/>
      <c r="P771"/>
      <c r="Q771"/>
      <c r="R771"/>
      <c r="S771"/>
      <c r="T771"/>
      <c r="U771"/>
      <c r="V771"/>
      <c r="W771"/>
    </row>
    <row r="772" spans="1:23" x14ac:dyDescent="0.4">
      <c r="A772"/>
      <c r="B772"/>
      <c r="C772"/>
      <c r="D772"/>
      <c r="E772"/>
      <c r="F772"/>
      <c r="G772"/>
      <c r="H772"/>
      <c r="I772"/>
      <c r="J772"/>
      <c r="K772"/>
      <c r="L772"/>
      <c r="M772"/>
      <c r="N772"/>
      <c r="O772"/>
      <c r="P772"/>
      <c r="Q772"/>
      <c r="R772"/>
      <c r="S772"/>
      <c r="T772"/>
      <c r="U772"/>
      <c r="V772"/>
      <c r="W772"/>
    </row>
    <row r="773" spans="1:23" x14ac:dyDescent="0.4">
      <c r="A773"/>
      <c r="B773"/>
      <c r="C773"/>
      <c r="D773"/>
      <c r="E773"/>
      <c r="F773"/>
      <c r="G773"/>
      <c r="H773"/>
      <c r="I773"/>
      <c r="J773"/>
      <c r="K773"/>
      <c r="L773"/>
      <c r="M773"/>
      <c r="N773"/>
      <c r="O773"/>
      <c r="P773"/>
      <c r="Q773"/>
      <c r="R773"/>
      <c r="S773"/>
      <c r="T773"/>
      <c r="U773"/>
      <c r="V773"/>
      <c r="W773"/>
    </row>
    <row r="774" spans="1:23" x14ac:dyDescent="0.4">
      <c r="A774"/>
      <c r="B774"/>
      <c r="C774"/>
      <c r="D774"/>
      <c r="E774"/>
      <c r="F774"/>
      <c r="G774"/>
      <c r="H774"/>
      <c r="I774"/>
      <c r="J774"/>
      <c r="K774"/>
      <c r="L774"/>
      <c r="M774"/>
      <c r="N774"/>
      <c r="O774"/>
      <c r="P774"/>
      <c r="Q774"/>
      <c r="R774"/>
      <c r="S774"/>
      <c r="T774"/>
      <c r="U774"/>
      <c r="V774"/>
      <c r="W774"/>
    </row>
    <row r="775" spans="1:23" x14ac:dyDescent="0.4">
      <c r="A775"/>
      <c r="B775"/>
      <c r="C775"/>
      <c r="D775"/>
      <c r="E775"/>
      <c r="F775"/>
      <c r="G775"/>
      <c r="H775"/>
      <c r="I775"/>
      <c r="J775"/>
      <c r="K775"/>
      <c r="L775"/>
      <c r="M775"/>
      <c r="N775"/>
      <c r="O775"/>
      <c r="P775"/>
      <c r="Q775"/>
      <c r="R775"/>
      <c r="S775"/>
      <c r="T775"/>
      <c r="U775"/>
      <c r="V775"/>
      <c r="W775"/>
    </row>
    <row r="776" spans="1:23" x14ac:dyDescent="0.4">
      <c r="A776"/>
      <c r="B776"/>
      <c r="C776"/>
      <c r="D776"/>
      <c r="E776"/>
      <c r="F776"/>
      <c r="G776"/>
      <c r="H776"/>
      <c r="I776"/>
      <c r="J776"/>
      <c r="K776"/>
      <c r="L776"/>
      <c r="M776"/>
      <c r="N776"/>
      <c r="O776"/>
      <c r="P776"/>
      <c r="Q776"/>
      <c r="R776"/>
      <c r="S776"/>
      <c r="T776"/>
      <c r="U776"/>
      <c r="V776"/>
      <c r="W776"/>
    </row>
    <row r="777" spans="1:23" x14ac:dyDescent="0.4">
      <c r="A777"/>
      <c r="B777"/>
      <c r="C777"/>
      <c r="D777"/>
      <c r="E777"/>
      <c r="F777"/>
      <c r="G777"/>
      <c r="H777"/>
      <c r="I777"/>
      <c r="J777"/>
      <c r="K777"/>
      <c r="L777"/>
      <c r="M777"/>
      <c r="N777"/>
      <c r="O777"/>
      <c r="P777"/>
      <c r="Q777"/>
      <c r="R777"/>
      <c r="S777"/>
      <c r="T777"/>
      <c r="U777"/>
      <c r="V777"/>
      <c r="W777"/>
    </row>
    <row r="778" spans="1:23" x14ac:dyDescent="0.4">
      <c r="A778"/>
      <c r="B778"/>
      <c r="C778"/>
      <c r="D778"/>
      <c r="E778"/>
      <c r="F778"/>
      <c r="G778"/>
      <c r="H778"/>
      <c r="I778"/>
      <c r="J778"/>
      <c r="K778"/>
      <c r="L778"/>
      <c r="M778"/>
      <c r="N778"/>
      <c r="O778"/>
      <c r="P778"/>
      <c r="Q778"/>
      <c r="R778"/>
      <c r="S778"/>
      <c r="T778"/>
      <c r="U778"/>
      <c r="V778"/>
      <c r="W778"/>
    </row>
    <row r="779" spans="1:23" x14ac:dyDescent="0.4">
      <c r="A779"/>
      <c r="B779"/>
      <c r="C779"/>
      <c r="D779"/>
      <c r="E779"/>
      <c r="F779"/>
      <c r="G779"/>
      <c r="H779"/>
      <c r="I779"/>
      <c r="J779"/>
      <c r="K779"/>
      <c r="L779"/>
      <c r="M779"/>
      <c r="N779"/>
      <c r="O779"/>
      <c r="P779"/>
      <c r="Q779"/>
      <c r="R779"/>
      <c r="S779"/>
      <c r="T779"/>
      <c r="U779"/>
      <c r="V779"/>
      <c r="W779"/>
    </row>
    <row r="780" spans="1:23" x14ac:dyDescent="0.4">
      <c r="A780"/>
      <c r="B780"/>
      <c r="C780"/>
      <c r="D780"/>
      <c r="E780"/>
      <c r="F780"/>
      <c r="G780"/>
      <c r="H780"/>
      <c r="I780"/>
      <c r="J780"/>
      <c r="K780"/>
      <c r="L780"/>
      <c r="M780"/>
      <c r="N780"/>
      <c r="O780"/>
      <c r="P780"/>
      <c r="Q780"/>
      <c r="R780"/>
      <c r="S780"/>
      <c r="T780"/>
      <c r="U780"/>
      <c r="V780"/>
      <c r="W780"/>
    </row>
    <row r="781" spans="1:23" x14ac:dyDescent="0.4">
      <c r="A781"/>
      <c r="B781"/>
      <c r="C781"/>
      <c r="D781"/>
      <c r="E781"/>
      <c r="F781"/>
      <c r="G781"/>
      <c r="H781"/>
      <c r="I781"/>
      <c r="J781"/>
      <c r="K781"/>
      <c r="L781"/>
      <c r="M781"/>
      <c r="N781"/>
      <c r="O781"/>
      <c r="P781"/>
      <c r="Q781"/>
      <c r="R781"/>
      <c r="S781"/>
      <c r="T781"/>
      <c r="U781"/>
      <c r="V781"/>
      <c r="W781"/>
    </row>
    <row r="782" spans="1:23" x14ac:dyDescent="0.4">
      <c r="A782"/>
      <c r="B782"/>
      <c r="C782"/>
      <c r="D782"/>
      <c r="E782"/>
      <c r="F782"/>
      <c r="G782"/>
      <c r="H782"/>
      <c r="I782"/>
      <c r="J782"/>
      <c r="K782"/>
      <c r="L782"/>
      <c r="M782"/>
      <c r="N782"/>
      <c r="O782"/>
      <c r="P782"/>
      <c r="Q782"/>
      <c r="R782"/>
      <c r="S782"/>
      <c r="T782"/>
      <c r="U782"/>
      <c r="V782"/>
      <c r="W782"/>
    </row>
    <row r="783" spans="1:23" x14ac:dyDescent="0.4">
      <c r="A783"/>
      <c r="B783"/>
      <c r="C783"/>
      <c r="D783"/>
      <c r="E783"/>
      <c r="F783"/>
      <c r="G783"/>
      <c r="H783"/>
      <c r="I783"/>
      <c r="J783"/>
      <c r="K783"/>
      <c r="L783"/>
      <c r="M783"/>
      <c r="N783"/>
      <c r="O783"/>
      <c r="P783"/>
      <c r="Q783"/>
      <c r="R783"/>
      <c r="S783"/>
      <c r="T783"/>
      <c r="U783"/>
      <c r="V783"/>
      <c r="W783"/>
    </row>
    <row r="784" spans="1:23" x14ac:dyDescent="0.4">
      <c r="A784"/>
      <c r="B784"/>
      <c r="C784"/>
      <c r="D784"/>
      <c r="E784"/>
      <c r="F784"/>
      <c r="G784"/>
      <c r="H784"/>
      <c r="I784"/>
      <c r="J784"/>
      <c r="K784"/>
      <c r="L784"/>
      <c r="M784"/>
      <c r="N784"/>
      <c r="O784"/>
      <c r="P784"/>
      <c r="Q784"/>
      <c r="R784"/>
      <c r="S784"/>
      <c r="T784"/>
      <c r="U784"/>
      <c r="V784"/>
      <c r="W784"/>
    </row>
    <row r="785" spans="1:23" x14ac:dyDescent="0.4">
      <c r="A785"/>
      <c r="B785"/>
      <c r="C785"/>
      <c r="D785"/>
      <c r="E785"/>
      <c r="F785"/>
      <c r="G785"/>
      <c r="H785"/>
      <c r="I785"/>
      <c r="J785"/>
      <c r="K785"/>
      <c r="L785"/>
      <c r="M785"/>
      <c r="N785"/>
      <c r="O785"/>
      <c r="P785"/>
      <c r="Q785"/>
      <c r="R785"/>
      <c r="S785"/>
      <c r="T785"/>
      <c r="U785"/>
      <c r="V785"/>
      <c r="W785"/>
    </row>
    <row r="786" spans="1:23" x14ac:dyDescent="0.4">
      <c r="A786"/>
      <c r="B786"/>
      <c r="C786"/>
      <c r="D786"/>
      <c r="E786"/>
      <c r="F786"/>
      <c r="G786"/>
      <c r="H786"/>
      <c r="I786"/>
      <c r="J786"/>
      <c r="K786"/>
      <c r="L786"/>
      <c r="M786"/>
      <c r="N786"/>
      <c r="O786"/>
      <c r="P786"/>
      <c r="Q786"/>
      <c r="R786"/>
      <c r="S786"/>
      <c r="T786"/>
      <c r="U786"/>
      <c r="V786"/>
      <c r="W786"/>
    </row>
    <row r="787" spans="1:23" x14ac:dyDescent="0.4">
      <c r="A787"/>
      <c r="B787"/>
      <c r="C787"/>
      <c r="D787"/>
      <c r="E787"/>
      <c r="F787"/>
      <c r="G787"/>
      <c r="H787"/>
      <c r="I787"/>
      <c r="J787"/>
      <c r="K787"/>
      <c r="L787"/>
      <c r="M787"/>
      <c r="N787"/>
      <c r="O787"/>
      <c r="P787"/>
      <c r="Q787"/>
      <c r="R787"/>
      <c r="S787"/>
      <c r="T787"/>
      <c r="U787"/>
      <c r="V787"/>
      <c r="W787"/>
    </row>
    <row r="788" spans="1:23" x14ac:dyDescent="0.4">
      <c r="A788"/>
      <c r="B788"/>
      <c r="C788"/>
      <c r="D788"/>
      <c r="E788"/>
      <c r="F788"/>
      <c r="G788"/>
      <c r="H788"/>
      <c r="I788"/>
      <c r="J788"/>
      <c r="K788"/>
      <c r="L788"/>
      <c r="M788"/>
      <c r="N788"/>
      <c r="O788"/>
      <c r="P788"/>
      <c r="Q788"/>
      <c r="R788"/>
      <c r="S788"/>
      <c r="T788"/>
      <c r="U788"/>
      <c r="V788"/>
      <c r="W788"/>
    </row>
    <row r="789" spans="1:23" x14ac:dyDescent="0.4">
      <c r="A789"/>
      <c r="B789"/>
      <c r="C789"/>
      <c r="D789"/>
      <c r="E789"/>
      <c r="F789"/>
      <c r="G789"/>
      <c r="H789"/>
      <c r="I789"/>
      <c r="J789"/>
      <c r="K789"/>
      <c r="L789"/>
      <c r="M789"/>
      <c r="N789"/>
      <c r="O789"/>
      <c r="P789"/>
      <c r="Q789"/>
      <c r="R789"/>
      <c r="S789"/>
      <c r="T789"/>
      <c r="U789"/>
      <c r="V789"/>
      <c r="W789"/>
    </row>
    <row r="790" spans="1:23" x14ac:dyDescent="0.4">
      <c r="A790"/>
      <c r="B790"/>
      <c r="C790"/>
      <c r="D790"/>
      <c r="E790"/>
      <c r="F790"/>
      <c r="G790"/>
      <c r="H790"/>
      <c r="I790"/>
      <c r="J790"/>
      <c r="K790"/>
      <c r="L790"/>
      <c r="M790"/>
      <c r="N790"/>
      <c r="O790"/>
      <c r="P790"/>
      <c r="Q790"/>
      <c r="R790"/>
      <c r="S790"/>
      <c r="T790"/>
      <c r="U790"/>
      <c r="V790"/>
      <c r="W790"/>
    </row>
    <row r="791" spans="1:23" x14ac:dyDescent="0.4">
      <c r="A791"/>
      <c r="B791"/>
      <c r="C791"/>
      <c r="D791"/>
      <c r="E791"/>
      <c r="F791"/>
      <c r="G791"/>
      <c r="H791"/>
      <c r="I791"/>
      <c r="J791"/>
      <c r="K791"/>
      <c r="L791"/>
      <c r="M791"/>
      <c r="N791"/>
      <c r="O791"/>
      <c r="P791"/>
      <c r="Q791"/>
      <c r="R791"/>
      <c r="S791"/>
      <c r="T791"/>
      <c r="U791"/>
      <c r="V791"/>
      <c r="W791"/>
    </row>
    <row r="792" spans="1:23" x14ac:dyDescent="0.4">
      <c r="A792"/>
      <c r="B792"/>
      <c r="C792"/>
      <c r="D792"/>
      <c r="E792"/>
      <c r="F792"/>
      <c r="G792"/>
      <c r="H792"/>
      <c r="I792"/>
      <c r="J792"/>
      <c r="K792"/>
      <c r="L792"/>
      <c r="M792"/>
      <c r="N792"/>
      <c r="O792"/>
      <c r="P792"/>
      <c r="Q792"/>
      <c r="R792"/>
      <c r="S792"/>
      <c r="T792"/>
      <c r="U792"/>
      <c r="V792"/>
      <c r="W792"/>
    </row>
    <row r="793" spans="1:23" x14ac:dyDescent="0.4">
      <c r="A793"/>
      <c r="B793"/>
      <c r="C793"/>
      <c r="D793"/>
      <c r="E793"/>
      <c r="F793"/>
      <c r="G793"/>
      <c r="H793"/>
      <c r="I793"/>
      <c r="J793"/>
      <c r="K793"/>
      <c r="L793"/>
      <c r="M793"/>
      <c r="N793"/>
      <c r="O793"/>
      <c r="P793"/>
      <c r="Q793"/>
      <c r="R793"/>
      <c r="S793"/>
      <c r="T793"/>
      <c r="U793"/>
      <c r="V793"/>
      <c r="W793"/>
    </row>
    <row r="794" spans="1:23" x14ac:dyDescent="0.4">
      <c r="A794"/>
      <c r="B794"/>
      <c r="C794"/>
      <c r="D794"/>
      <c r="E794"/>
      <c r="F794"/>
      <c r="G794"/>
      <c r="H794"/>
      <c r="I794"/>
      <c r="J794"/>
      <c r="K794"/>
      <c r="L794"/>
      <c r="M794"/>
      <c r="N794"/>
      <c r="O794"/>
      <c r="P794"/>
      <c r="Q794"/>
      <c r="R794"/>
      <c r="S794"/>
      <c r="T794"/>
      <c r="U794"/>
      <c r="V794"/>
      <c r="W794"/>
    </row>
    <row r="795" spans="1:23" x14ac:dyDescent="0.4">
      <c r="A795"/>
      <c r="B795"/>
      <c r="C795"/>
      <c r="D795"/>
      <c r="E795"/>
      <c r="F795"/>
      <c r="G795"/>
      <c r="H795"/>
      <c r="I795"/>
      <c r="J795"/>
      <c r="K795"/>
      <c r="L795"/>
      <c r="M795"/>
      <c r="N795"/>
      <c r="O795"/>
      <c r="P795"/>
      <c r="Q795"/>
      <c r="R795"/>
      <c r="S795"/>
      <c r="T795"/>
      <c r="U795"/>
      <c r="V795"/>
      <c r="W795"/>
    </row>
    <row r="796" spans="1:23" x14ac:dyDescent="0.4">
      <c r="A796"/>
      <c r="B796"/>
      <c r="C796"/>
      <c r="D796"/>
      <c r="E796"/>
      <c r="F796"/>
      <c r="G796"/>
      <c r="H796"/>
      <c r="I796"/>
      <c r="J796"/>
      <c r="K796"/>
      <c r="L796"/>
      <c r="M796"/>
      <c r="N796"/>
      <c r="O796"/>
      <c r="P796"/>
      <c r="Q796"/>
      <c r="R796"/>
      <c r="S796"/>
      <c r="T796"/>
      <c r="U796"/>
      <c r="V796"/>
      <c r="W796"/>
    </row>
    <row r="797" spans="1:23" x14ac:dyDescent="0.4">
      <c r="A797"/>
      <c r="B797"/>
      <c r="C797"/>
      <c r="D797"/>
      <c r="E797"/>
      <c r="F797"/>
      <c r="G797"/>
      <c r="H797"/>
      <c r="I797"/>
      <c r="J797"/>
      <c r="K797"/>
      <c r="L797"/>
      <c r="M797"/>
      <c r="N797"/>
      <c r="O797"/>
      <c r="P797"/>
      <c r="Q797"/>
      <c r="R797"/>
      <c r="S797"/>
      <c r="T797"/>
      <c r="U797"/>
      <c r="V797"/>
      <c r="W797"/>
    </row>
    <row r="798" spans="1:23" x14ac:dyDescent="0.4">
      <c r="A798"/>
      <c r="B798"/>
      <c r="C798"/>
      <c r="D798"/>
      <c r="E798"/>
      <c r="F798"/>
      <c r="G798"/>
      <c r="H798"/>
      <c r="I798"/>
      <c r="J798"/>
      <c r="K798"/>
      <c r="L798"/>
      <c r="M798"/>
      <c r="N798"/>
      <c r="O798"/>
      <c r="P798"/>
      <c r="Q798"/>
      <c r="R798"/>
      <c r="S798"/>
      <c r="T798"/>
      <c r="U798"/>
      <c r="V798"/>
      <c r="W798"/>
    </row>
    <row r="799" spans="1:23" x14ac:dyDescent="0.4">
      <c r="A799"/>
      <c r="B799"/>
      <c r="C799"/>
      <c r="D799"/>
      <c r="E799"/>
      <c r="F799"/>
      <c r="G799"/>
      <c r="H799"/>
      <c r="I799"/>
      <c r="J799"/>
      <c r="K799"/>
      <c r="L799"/>
      <c r="M799"/>
      <c r="N799"/>
      <c r="O799"/>
      <c r="P799"/>
      <c r="Q799"/>
      <c r="R799"/>
      <c r="S799"/>
      <c r="T799"/>
      <c r="U799"/>
      <c r="V799"/>
      <c r="W799"/>
    </row>
    <row r="800" spans="1:23" x14ac:dyDescent="0.4">
      <c r="A800"/>
      <c r="B800"/>
      <c r="C800"/>
      <c r="D800"/>
      <c r="E800"/>
      <c r="F800"/>
      <c r="G800"/>
      <c r="H800"/>
      <c r="I800"/>
      <c r="J800"/>
      <c r="K800"/>
      <c r="L800"/>
      <c r="M800"/>
      <c r="N800"/>
      <c r="O800"/>
      <c r="P800"/>
      <c r="Q800"/>
      <c r="R800"/>
      <c r="S800"/>
      <c r="T800"/>
      <c r="U800"/>
      <c r="V800"/>
      <c r="W800"/>
    </row>
    <row r="801" spans="1:23" x14ac:dyDescent="0.4">
      <c r="A801"/>
      <c r="B801"/>
      <c r="C801"/>
      <c r="D801"/>
      <c r="E801"/>
      <c r="F801"/>
      <c r="G801"/>
      <c r="H801"/>
      <c r="I801"/>
      <c r="J801"/>
      <c r="K801"/>
      <c r="L801"/>
      <c r="M801"/>
      <c r="N801"/>
      <c r="O801"/>
      <c r="P801"/>
      <c r="Q801"/>
      <c r="R801"/>
      <c r="S801"/>
      <c r="T801"/>
      <c r="U801"/>
      <c r="V801"/>
      <c r="W801"/>
    </row>
    <row r="802" spans="1:23" x14ac:dyDescent="0.4">
      <c r="A802"/>
      <c r="B802"/>
      <c r="C802"/>
      <c r="D802"/>
      <c r="E802"/>
      <c r="F802"/>
      <c r="G802"/>
      <c r="H802"/>
      <c r="I802"/>
      <c r="J802"/>
      <c r="K802"/>
      <c r="L802"/>
      <c r="M802"/>
      <c r="N802"/>
      <c r="O802"/>
      <c r="P802"/>
      <c r="Q802"/>
      <c r="R802"/>
      <c r="S802"/>
      <c r="T802"/>
      <c r="U802"/>
      <c r="V802"/>
      <c r="W802"/>
    </row>
    <row r="803" spans="1:23" x14ac:dyDescent="0.4">
      <c r="A803"/>
      <c r="B803"/>
      <c r="C803"/>
      <c r="D803"/>
      <c r="E803"/>
      <c r="F803"/>
      <c r="G803"/>
      <c r="H803"/>
      <c r="I803"/>
      <c r="J803"/>
      <c r="K803"/>
      <c r="L803"/>
      <c r="M803"/>
      <c r="N803"/>
      <c r="O803"/>
      <c r="P803"/>
      <c r="Q803"/>
      <c r="R803"/>
      <c r="S803"/>
      <c r="T803"/>
      <c r="U803"/>
      <c r="V803"/>
      <c r="W803"/>
    </row>
    <row r="804" spans="1:23" x14ac:dyDescent="0.4">
      <c r="A804"/>
      <c r="B804"/>
      <c r="C804"/>
      <c r="D804"/>
      <c r="E804"/>
      <c r="F804"/>
      <c r="G804"/>
      <c r="H804"/>
      <c r="I804"/>
      <c r="J804"/>
      <c r="K804"/>
      <c r="L804"/>
      <c r="M804"/>
      <c r="N804"/>
      <c r="O804"/>
      <c r="P804"/>
      <c r="Q804"/>
      <c r="R804"/>
      <c r="S804"/>
      <c r="T804"/>
      <c r="U804"/>
      <c r="V804"/>
      <c r="W804"/>
    </row>
    <row r="805" spans="1:23" x14ac:dyDescent="0.4">
      <c r="A805"/>
      <c r="B805"/>
      <c r="C805"/>
      <c r="D805"/>
      <c r="E805"/>
      <c r="F805"/>
      <c r="G805"/>
      <c r="H805"/>
      <c r="I805"/>
      <c r="J805"/>
      <c r="K805"/>
      <c r="L805"/>
      <c r="M805"/>
      <c r="N805"/>
      <c r="O805"/>
      <c r="P805"/>
      <c r="Q805"/>
      <c r="R805"/>
      <c r="S805"/>
      <c r="T805"/>
      <c r="U805"/>
      <c r="V805"/>
      <c r="W805"/>
    </row>
    <row r="806" spans="1:23" x14ac:dyDescent="0.4">
      <c r="A806"/>
      <c r="B806"/>
      <c r="C806"/>
      <c r="D806"/>
      <c r="E806"/>
      <c r="F806"/>
      <c r="G806"/>
      <c r="H806"/>
      <c r="I806"/>
      <c r="J806"/>
      <c r="K806"/>
      <c r="L806"/>
      <c r="M806"/>
      <c r="N806"/>
      <c r="O806"/>
      <c r="P806"/>
      <c r="Q806"/>
      <c r="R806"/>
      <c r="S806"/>
      <c r="T806"/>
      <c r="U806"/>
      <c r="V806"/>
      <c r="W806"/>
    </row>
    <row r="807" spans="1:23" x14ac:dyDescent="0.4">
      <c r="A807"/>
      <c r="B807"/>
      <c r="C807"/>
      <c r="D807"/>
      <c r="E807"/>
      <c r="F807"/>
      <c r="G807"/>
      <c r="H807"/>
      <c r="I807"/>
      <c r="J807"/>
      <c r="K807"/>
      <c r="L807"/>
      <c r="M807"/>
      <c r="N807"/>
      <c r="O807"/>
      <c r="P807"/>
      <c r="Q807"/>
      <c r="R807"/>
      <c r="S807"/>
      <c r="T807"/>
      <c r="U807"/>
      <c r="V807"/>
      <c r="W807"/>
    </row>
    <row r="808" spans="1:23" x14ac:dyDescent="0.4">
      <c r="A808"/>
      <c r="B808"/>
      <c r="C808"/>
      <c r="D808"/>
      <c r="E808"/>
      <c r="F808"/>
      <c r="G808"/>
      <c r="H808"/>
      <c r="I808"/>
      <c r="J808"/>
      <c r="K808"/>
      <c r="L808"/>
      <c r="M808"/>
      <c r="N808"/>
      <c r="O808"/>
      <c r="P808"/>
      <c r="Q808"/>
      <c r="R808"/>
      <c r="S808"/>
      <c r="T808"/>
      <c r="U808"/>
      <c r="V808"/>
      <c r="W808"/>
    </row>
    <row r="809" spans="1:23" x14ac:dyDescent="0.4">
      <c r="A809"/>
      <c r="B809"/>
      <c r="C809"/>
      <c r="D809"/>
      <c r="E809"/>
      <c r="F809"/>
      <c r="G809"/>
      <c r="H809"/>
      <c r="I809"/>
      <c r="J809"/>
      <c r="K809"/>
      <c r="L809"/>
      <c r="M809"/>
      <c r="N809"/>
      <c r="O809"/>
      <c r="P809"/>
      <c r="Q809"/>
      <c r="R809"/>
      <c r="S809"/>
      <c r="T809"/>
      <c r="U809"/>
      <c r="V809"/>
      <c r="W809"/>
    </row>
    <row r="810" spans="1:23" x14ac:dyDescent="0.4">
      <c r="A810"/>
      <c r="B810"/>
      <c r="C810"/>
      <c r="D810"/>
      <c r="E810"/>
      <c r="F810"/>
      <c r="G810"/>
      <c r="H810"/>
      <c r="I810"/>
      <c r="J810"/>
      <c r="K810"/>
      <c r="L810"/>
      <c r="M810"/>
      <c r="N810"/>
      <c r="O810"/>
      <c r="P810"/>
      <c r="Q810"/>
      <c r="R810"/>
      <c r="S810"/>
      <c r="T810"/>
      <c r="U810"/>
      <c r="V810"/>
      <c r="W810"/>
    </row>
    <row r="811" spans="1:23" x14ac:dyDescent="0.4">
      <c r="A811"/>
      <c r="B811"/>
      <c r="C811"/>
      <c r="D811"/>
      <c r="E811"/>
      <c r="F811"/>
      <c r="G811"/>
      <c r="H811"/>
      <c r="I811"/>
      <c r="J811"/>
      <c r="K811"/>
      <c r="L811"/>
      <c r="M811"/>
      <c r="N811"/>
      <c r="O811"/>
      <c r="P811"/>
      <c r="Q811"/>
      <c r="R811"/>
      <c r="S811"/>
      <c r="T811"/>
      <c r="U811"/>
      <c r="V811"/>
      <c r="W811"/>
    </row>
    <row r="812" spans="1:23" x14ac:dyDescent="0.4">
      <c r="A812"/>
      <c r="B812"/>
      <c r="C812"/>
      <c r="D812"/>
      <c r="E812"/>
      <c r="F812"/>
      <c r="G812"/>
      <c r="H812"/>
      <c r="I812"/>
      <c r="J812"/>
      <c r="K812"/>
      <c r="L812"/>
      <c r="M812"/>
      <c r="N812"/>
      <c r="O812"/>
      <c r="P812"/>
      <c r="Q812"/>
      <c r="R812"/>
      <c r="S812"/>
      <c r="T812"/>
      <c r="U812"/>
      <c r="V812"/>
      <c r="W812"/>
    </row>
    <row r="813" spans="1:23" x14ac:dyDescent="0.4">
      <c r="A813"/>
      <c r="B813"/>
      <c r="C813"/>
      <c r="D813"/>
      <c r="E813"/>
      <c r="F813"/>
      <c r="G813"/>
      <c r="H813"/>
      <c r="I813"/>
      <c r="J813"/>
      <c r="K813"/>
      <c r="L813"/>
      <c r="M813"/>
      <c r="N813"/>
      <c r="O813"/>
      <c r="P813"/>
      <c r="Q813"/>
      <c r="R813"/>
      <c r="S813"/>
      <c r="T813"/>
      <c r="U813"/>
      <c r="V813"/>
      <c r="W813"/>
    </row>
    <row r="814" spans="1:23" x14ac:dyDescent="0.4">
      <c r="A814"/>
      <c r="B814"/>
      <c r="C814"/>
      <c r="D814"/>
      <c r="E814"/>
      <c r="F814"/>
      <c r="G814"/>
      <c r="H814"/>
      <c r="I814"/>
      <c r="J814"/>
      <c r="K814"/>
      <c r="L814"/>
      <c r="M814"/>
      <c r="N814"/>
      <c r="O814"/>
      <c r="P814"/>
      <c r="Q814"/>
      <c r="R814"/>
      <c r="S814"/>
      <c r="T814"/>
      <c r="U814"/>
      <c r="V814"/>
      <c r="W814"/>
    </row>
    <row r="815" spans="1:23" x14ac:dyDescent="0.4">
      <c r="A815"/>
      <c r="B815"/>
      <c r="C815"/>
      <c r="D815"/>
      <c r="E815"/>
      <c r="F815"/>
      <c r="G815"/>
      <c r="H815"/>
      <c r="I815"/>
      <c r="J815"/>
      <c r="K815"/>
      <c r="L815"/>
      <c r="M815"/>
      <c r="N815"/>
      <c r="O815"/>
      <c r="P815"/>
      <c r="Q815"/>
      <c r="R815"/>
      <c r="S815"/>
      <c r="T815"/>
      <c r="U815"/>
      <c r="V815"/>
      <c r="W815"/>
    </row>
    <row r="816" spans="1:23" x14ac:dyDescent="0.4">
      <c r="A816"/>
      <c r="B816"/>
      <c r="C816"/>
      <c r="D816"/>
      <c r="E816"/>
      <c r="F816"/>
      <c r="G816"/>
      <c r="H816"/>
      <c r="I816"/>
      <c r="J816"/>
      <c r="K816"/>
      <c r="L816"/>
      <c r="M816"/>
      <c r="N816"/>
      <c r="O816"/>
      <c r="P816"/>
      <c r="Q816"/>
      <c r="R816"/>
      <c r="S816"/>
      <c r="T816"/>
      <c r="U816"/>
      <c r="V816"/>
      <c r="W816"/>
    </row>
    <row r="817" spans="1:23" x14ac:dyDescent="0.4">
      <c r="A817"/>
      <c r="B817"/>
      <c r="C817"/>
      <c r="D817"/>
      <c r="E817"/>
      <c r="F817"/>
      <c r="G817"/>
      <c r="H817"/>
      <c r="I817"/>
      <c r="J817"/>
      <c r="K817"/>
      <c r="L817"/>
      <c r="M817"/>
      <c r="N817"/>
      <c r="O817"/>
      <c r="P817"/>
      <c r="Q817"/>
      <c r="R817"/>
      <c r="S817"/>
      <c r="T817"/>
      <c r="U817"/>
      <c r="V817"/>
      <c r="W817"/>
    </row>
    <row r="818" spans="1:23" x14ac:dyDescent="0.4">
      <c r="A818"/>
      <c r="B818"/>
      <c r="C818"/>
      <c r="D818"/>
      <c r="E818"/>
      <c r="F818"/>
      <c r="G818"/>
      <c r="H818"/>
      <c r="I818"/>
      <c r="J818"/>
      <c r="K818"/>
      <c r="L818"/>
      <c r="M818"/>
      <c r="N818"/>
      <c r="O818"/>
      <c r="P818"/>
      <c r="Q818"/>
      <c r="R818"/>
      <c r="S818"/>
      <c r="T818"/>
      <c r="U818"/>
      <c r="V818"/>
      <c r="W818"/>
    </row>
    <row r="819" spans="1:23" x14ac:dyDescent="0.4">
      <c r="A819"/>
      <c r="B819"/>
      <c r="C819"/>
      <c r="D819"/>
      <c r="E819"/>
      <c r="F819"/>
      <c r="G819"/>
      <c r="H819"/>
      <c r="I819"/>
      <c r="J819"/>
      <c r="K819"/>
      <c r="L819"/>
      <c r="M819"/>
      <c r="N819"/>
      <c r="O819"/>
      <c r="P819"/>
      <c r="Q819"/>
      <c r="R819"/>
      <c r="S819"/>
      <c r="T819"/>
      <c r="U819"/>
      <c r="V819"/>
      <c r="W819"/>
    </row>
    <row r="820" spans="1:23" x14ac:dyDescent="0.4">
      <c r="A820"/>
      <c r="B820"/>
      <c r="C820"/>
      <c r="D820"/>
      <c r="E820"/>
      <c r="F820"/>
      <c r="G820"/>
      <c r="H820"/>
      <c r="I820"/>
      <c r="J820"/>
      <c r="K820"/>
      <c r="L820"/>
      <c r="M820"/>
      <c r="N820"/>
      <c r="O820"/>
      <c r="P820"/>
      <c r="Q820"/>
      <c r="R820"/>
      <c r="S820"/>
      <c r="T820"/>
      <c r="U820"/>
      <c r="V820"/>
      <c r="W820"/>
    </row>
    <row r="821" spans="1:23" x14ac:dyDescent="0.4">
      <c r="A821"/>
      <c r="B821"/>
      <c r="C821"/>
      <c r="D821"/>
      <c r="E821"/>
      <c r="F821"/>
      <c r="G821"/>
      <c r="H821"/>
      <c r="I821"/>
      <c r="J821"/>
      <c r="K821"/>
      <c r="L821"/>
      <c r="M821"/>
      <c r="N821"/>
      <c r="O821"/>
      <c r="P821"/>
      <c r="Q821"/>
      <c r="R821"/>
      <c r="S821"/>
      <c r="T821"/>
      <c r="U821"/>
      <c r="V821"/>
      <c r="W821"/>
    </row>
    <row r="822" spans="1:23" x14ac:dyDescent="0.4">
      <c r="A822"/>
      <c r="B822"/>
      <c r="C822"/>
      <c r="D822"/>
      <c r="E822"/>
      <c r="F822"/>
      <c r="G822"/>
      <c r="H822"/>
      <c r="I822"/>
      <c r="J822"/>
      <c r="K822"/>
      <c r="L822"/>
      <c r="M822"/>
      <c r="N822"/>
      <c r="O822"/>
      <c r="P822"/>
      <c r="Q822"/>
      <c r="R822"/>
      <c r="S822"/>
      <c r="T822"/>
      <c r="U822"/>
      <c r="V822"/>
      <c r="W822"/>
    </row>
    <row r="823" spans="1:23" x14ac:dyDescent="0.4">
      <c r="A823"/>
      <c r="B823"/>
      <c r="C823"/>
      <c r="D823"/>
      <c r="E823"/>
      <c r="F823"/>
      <c r="G823"/>
      <c r="H823"/>
      <c r="I823"/>
      <c r="J823"/>
      <c r="K823"/>
      <c r="L823"/>
      <c r="M823"/>
      <c r="N823"/>
      <c r="O823"/>
      <c r="P823"/>
      <c r="Q823"/>
      <c r="R823"/>
      <c r="S823"/>
      <c r="T823"/>
      <c r="U823"/>
      <c r="V823"/>
      <c r="W823"/>
    </row>
    <row r="824" spans="1:23" x14ac:dyDescent="0.4">
      <c r="A824"/>
      <c r="B824"/>
      <c r="C824"/>
      <c r="D824"/>
      <c r="E824"/>
      <c r="F824"/>
      <c r="G824"/>
      <c r="H824"/>
      <c r="I824"/>
      <c r="J824"/>
      <c r="K824"/>
      <c r="L824"/>
      <c r="M824"/>
      <c r="N824"/>
      <c r="O824"/>
      <c r="P824"/>
      <c r="Q824"/>
      <c r="R824"/>
      <c r="S824"/>
      <c r="T824"/>
      <c r="U824"/>
      <c r="V824"/>
      <c r="W824"/>
    </row>
    <row r="825" spans="1:23" x14ac:dyDescent="0.4">
      <c r="A825"/>
      <c r="B825"/>
      <c r="C825"/>
      <c r="D825"/>
      <c r="E825"/>
      <c r="F825"/>
      <c r="G825"/>
      <c r="H825"/>
      <c r="I825"/>
      <c r="J825"/>
      <c r="K825"/>
      <c r="L825"/>
      <c r="M825"/>
      <c r="N825"/>
      <c r="O825"/>
      <c r="P825"/>
      <c r="Q825"/>
      <c r="R825"/>
      <c r="S825"/>
      <c r="T825"/>
      <c r="U825"/>
      <c r="V825"/>
      <c r="W825"/>
    </row>
    <row r="826" spans="1:23" x14ac:dyDescent="0.4">
      <c r="A826"/>
      <c r="B826"/>
      <c r="C826"/>
      <c r="D826"/>
      <c r="E826"/>
      <c r="F826"/>
      <c r="G826"/>
      <c r="H826"/>
      <c r="I826"/>
      <c r="J826"/>
      <c r="K826"/>
      <c r="L826"/>
      <c r="M826"/>
      <c r="N826"/>
      <c r="O826"/>
      <c r="P826"/>
      <c r="Q826"/>
      <c r="R826"/>
      <c r="S826"/>
      <c r="T826"/>
      <c r="U826"/>
      <c r="V826"/>
      <c r="W826"/>
    </row>
    <row r="827" spans="1:23" x14ac:dyDescent="0.4">
      <c r="A827"/>
      <c r="B827"/>
      <c r="C827"/>
      <c r="D827"/>
      <c r="E827"/>
      <c r="F827"/>
      <c r="G827"/>
      <c r="H827"/>
      <c r="I827"/>
      <c r="J827"/>
      <c r="K827"/>
      <c r="L827"/>
      <c r="M827"/>
      <c r="N827"/>
      <c r="O827"/>
      <c r="P827"/>
      <c r="Q827"/>
      <c r="R827"/>
      <c r="S827"/>
      <c r="T827"/>
      <c r="U827"/>
      <c r="V827"/>
      <c r="W827"/>
    </row>
    <row r="828" spans="1:23" x14ac:dyDescent="0.4">
      <c r="A828"/>
      <c r="B828"/>
      <c r="C828"/>
      <c r="D828"/>
      <c r="E828"/>
      <c r="F828"/>
      <c r="G828"/>
      <c r="H828"/>
      <c r="I828"/>
      <c r="J828"/>
      <c r="K828"/>
      <c r="L828"/>
      <c r="M828"/>
      <c r="N828"/>
      <c r="O828"/>
      <c r="P828"/>
      <c r="Q828"/>
      <c r="R828"/>
      <c r="S828"/>
      <c r="T828"/>
      <c r="U828"/>
      <c r="V828"/>
      <c r="W828"/>
    </row>
    <row r="829" spans="1:23" x14ac:dyDescent="0.4">
      <c r="A829"/>
      <c r="B829"/>
      <c r="C829"/>
      <c r="D829"/>
      <c r="E829"/>
      <c r="F829"/>
      <c r="G829"/>
      <c r="H829"/>
      <c r="I829"/>
      <c r="J829"/>
      <c r="K829"/>
      <c r="L829"/>
      <c r="M829"/>
      <c r="N829"/>
      <c r="O829"/>
      <c r="P829"/>
      <c r="Q829"/>
      <c r="R829"/>
      <c r="S829"/>
      <c r="T829"/>
      <c r="U829"/>
      <c r="V829"/>
      <c r="W829"/>
    </row>
    <row r="830" spans="1:23" x14ac:dyDescent="0.4">
      <c r="A830"/>
      <c r="B830"/>
      <c r="C830"/>
      <c r="D830"/>
      <c r="E830"/>
      <c r="F830"/>
      <c r="G830"/>
      <c r="H830"/>
      <c r="I830"/>
      <c r="J830"/>
      <c r="K830"/>
      <c r="L830"/>
      <c r="M830"/>
      <c r="N830"/>
      <c r="O830"/>
      <c r="P830"/>
      <c r="Q830"/>
      <c r="R830"/>
      <c r="S830"/>
      <c r="T830"/>
      <c r="U830"/>
      <c r="V830"/>
      <c r="W830"/>
    </row>
    <row r="831" spans="1:23" x14ac:dyDescent="0.4">
      <c r="A831"/>
      <c r="B831"/>
      <c r="C831"/>
      <c r="D831"/>
      <c r="E831"/>
      <c r="F831"/>
      <c r="G831"/>
      <c r="H831"/>
      <c r="I831"/>
      <c r="J831"/>
      <c r="K831"/>
      <c r="L831"/>
      <c r="M831"/>
      <c r="N831"/>
      <c r="O831"/>
      <c r="P831"/>
      <c r="Q831"/>
      <c r="R831"/>
      <c r="S831"/>
      <c r="T831"/>
      <c r="U831"/>
      <c r="V831"/>
      <c r="W831"/>
    </row>
    <row r="832" spans="1:23" x14ac:dyDescent="0.4">
      <c r="A832"/>
      <c r="B832"/>
      <c r="C832"/>
      <c r="D832"/>
      <c r="E832"/>
      <c r="F832"/>
      <c r="G832"/>
      <c r="H832"/>
      <c r="I832"/>
      <c r="J832"/>
      <c r="K832"/>
      <c r="L832"/>
      <c r="M832"/>
      <c r="N832"/>
      <c r="O832"/>
      <c r="P832"/>
      <c r="Q832"/>
      <c r="R832"/>
      <c r="S832"/>
      <c r="T832"/>
      <c r="U832"/>
      <c r="V832"/>
      <c r="W832"/>
    </row>
    <row r="833" spans="1:23" x14ac:dyDescent="0.4">
      <c r="A833"/>
      <c r="B833"/>
      <c r="C833"/>
      <c r="D833"/>
      <c r="E833"/>
      <c r="F833"/>
      <c r="G833"/>
      <c r="H833"/>
      <c r="I833"/>
      <c r="J833"/>
      <c r="K833"/>
      <c r="L833"/>
      <c r="M833"/>
      <c r="N833"/>
      <c r="O833"/>
      <c r="P833"/>
      <c r="Q833"/>
      <c r="R833"/>
      <c r="S833"/>
      <c r="T833"/>
      <c r="U833"/>
      <c r="V833"/>
      <c r="W833"/>
    </row>
    <row r="834" spans="1:23" x14ac:dyDescent="0.4">
      <c r="A834"/>
      <c r="B834"/>
      <c r="C834"/>
      <c r="D834"/>
      <c r="E834"/>
      <c r="F834"/>
      <c r="G834"/>
      <c r="H834"/>
      <c r="I834"/>
      <c r="J834"/>
      <c r="K834"/>
      <c r="L834"/>
      <c r="M834"/>
      <c r="N834"/>
      <c r="O834"/>
      <c r="P834"/>
      <c r="Q834"/>
      <c r="R834"/>
      <c r="S834"/>
      <c r="T834"/>
      <c r="U834"/>
      <c r="V834"/>
      <c r="W834"/>
    </row>
    <row r="835" spans="1:23" x14ac:dyDescent="0.4">
      <c r="A835"/>
      <c r="B835"/>
      <c r="C835"/>
      <c r="D835"/>
      <c r="E835"/>
      <c r="F835"/>
      <c r="G835"/>
      <c r="H835"/>
      <c r="I835"/>
      <c r="J835"/>
      <c r="K835"/>
      <c r="L835"/>
      <c r="M835"/>
      <c r="N835"/>
      <c r="O835"/>
      <c r="P835"/>
      <c r="Q835"/>
      <c r="R835"/>
      <c r="S835"/>
      <c r="T835"/>
      <c r="U835"/>
      <c r="V835"/>
      <c r="W835"/>
    </row>
    <row r="836" spans="1:23" x14ac:dyDescent="0.4">
      <c r="A836"/>
      <c r="B836"/>
      <c r="C836"/>
      <c r="D836"/>
      <c r="E836"/>
      <c r="F836"/>
      <c r="G836"/>
      <c r="H836"/>
      <c r="I836"/>
      <c r="J836"/>
      <c r="K836"/>
      <c r="L836"/>
      <c r="M836"/>
      <c r="N836"/>
      <c r="O836"/>
      <c r="P836"/>
      <c r="Q836"/>
      <c r="R836"/>
      <c r="S836"/>
      <c r="T836"/>
      <c r="U836"/>
      <c r="V836"/>
      <c r="W836"/>
    </row>
    <row r="837" spans="1:23" x14ac:dyDescent="0.4">
      <c r="A837"/>
      <c r="B837"/>
      <c r="C837"/>
      <c r="D837"/>
      <c r="E837"/>
      <c r="F837"/>
      <c r="G837"/>
      <c r="H837"/>
      <c r="I837"/>
      <c r="J837"/>
      <c r="K837"/>
      <c r="L837"/>
      <c r="M837"/>
      <c r="N837"/>
      <c r="O837"/>
      <c r="P837"/>
      <c r="Q837"/>
      <c r="R837"/>
      <c r="S837"/>
      <c r="T837"/>
      <c r="U837"/>
      <c r="V837"/>
      <c r="W837"/>
    </row>
    <row r="838" spans="1:23" x14ac:dyDescent="0.4">
      <c r="A838"/>
      <c r="B838"/>
      <c r="C838"/>
      <c r="D838"/>
      <c r="E838"/>
      <c r="F838"/>
      <c r="G838"/>
      <c r="H838"/>
      <c r="I838"/>
      <c r="J838"/>
      <c r="K838"/>
      <c r="L838"/>
      <c r="M838"/>
      <c r="N838"/>
      <c r="O838"/>
      <c r="P838"/>
      <c r="Q838"/>
      <c r="R838"/>
      <c r="S838"/>
      <c r="T838"/>
      <c r="U838"/>
      <c r="V838"/>
      <c r="W838"/>
    </row>
    <row r="839" spans="1:23" x14ac:dyDescent="0.4">
      <c r="A839"/>
      <c r="B839"/>
      <c r="C839"/>
      <c r="D839"/>
      <c r="E839"/>
      <c r="F839"/>
      <c r="G839"/>
      <c r="H839"/>
      <c r="I839"/>
      <c r="J839"/>
      <c r="K839"/>
      <c r="L839"/>
      <c r="M839"/>
      <c r="N839"/>
      <c r="O839"/>
      <c r="P839"/>
      <c r="Q839"/>
      <c r="R839"/>
      <c r="S839"/>
      <c r="T839"/>
      <c r="U839"/>
      <c r="V839"/>
      <c r="W839"/>
    </row>
    <row r="840" spans="1:23" x14ac:dyDescent="0.4">
      <c r="A840"/>
      <c r="B840"/>
      <c r="C840"/>
      <c r="D840"/>
      <c r="E840"/>
      <c r="F840"/>
      <c r="G840"/>
      <c r="H840"/>
      <c r="I840"/>
      <c r="J840"/>
      <c r="K840"/>
      <c r="L840"/>
      <c r="M840"/>
      <c r="N840"/>
      <c r="O840"/>
      <c r="P840"/>
      <c r="Q840"/>
      <c r="R840"/>
      <c r="S840"/>
      <c r="T840"/>
      <c r="U840"/>
      <c r="V840"/>
      <c r="W840"/>
    </row>
    <row r="841" spans="1:23" x14ac:dyDescent="0.4">
      <c r="A841"/>
      <c r="B841"/>
      <c r="C841"/>
      <c r="D841"/>
      <c r="E841"/>
      <c r="F841"/>
      <c r="G841"/>
      <c r="H841"/>
      <c r="I841"/>
      <c r="J841"/>
      <c r="K841"/>
      <c r="L841"/>
      <c r="M841"/>
      <c r="N841"/>
      <c r="O841"/>
      <c r="P841"/>
      <c r="Q841"/>
      <c r="R841"/>
      <c r="S841"/>
      <c r="T841"/>
      <c r="U841"/>
      <c r="V841"/>
      <c r="W841"/>
    </row>
    <row r="842" spans="1:23" x14ac:dyDescent="0.4">
      <c r="A842"/>
      <c r="B842"/>
      <c r="C842"/>
      <c r="D842"/>
      <c r="E842"/>
      <c r="F842"/>
      <c r="G842"/>
      <c r="H842"/>
      <c r="I842"/>
      <c r="J842"/>
      <c r="K842"/>
      <c r="L842"/>
      <c r="M842"/>
      <c r="N842"/>
      <c r="O842"/>
      <c r="P842"/>
      <c r="Q842"/>
      <c r="R842"/>
      <c r="S842"/>
      <c r="T842"/>
      <c r="U842"/>
      <c r="V842"/>
      <c r="W842"/>
    </row>
    <row r="843" spans="1:23" x14ac:dyDescent="0.4">
      <c r="A843"/>
      <c r="B843"/>
      <c r="C843"/>
      <c r="D843"/>
      <c r="E843"/>
      <c r="F843"/>
      <c r="G843"/>
      <c r="H843"/>
      <c r="I843"/>
      <c r="J843"/>
      <c r="K843"/>
      <c r="L843"/>
      <c r="M843"/>
      <c r="N843"/>
      <c r="O843"/>
      <c r="P843"/>
      <c r="Q843"/>
      <c r="R843"/>
      <c r="S843"/>
      <c r="T843"/>
      <c r="U843"/>
      <c r="V843"/>
      <c r="W843"/>
    </row>
    <row r="844" spans="1:23" x14ac:dyDescent="0.4">
      <c r="A844"/>
      <c r="B844"/>
      <c r="C844"/>
      <c r="D844"/>
      <c r="E844"/>
      <c r="F844"/>
      <c r="G844"/>
      <c r="H844"/>
      <c r="I844"/>
      <c r="J844"/>
      <c r="K844"/>
      <c r="L844"/>
      <c r="M844"/>
      <c r="N844"/>
      <c r="O844"/>
      <c r="P844"/>
      <c r="Q844"/>
      <c r="R844"/>
      <c r="S844"/>
      <c r="T844"/>
      <c r="U844"/>
      <c r="V844"/>
      <c r="W844"/>
    </row>
    <row r="845" spans="1:23" x14ac:dyDescent="0.4">
      <c r="A845"/>
      <c r="B845"/>
      <c r="C845"/>
      <c r="D845"/>
      <c r="E845"/>
      <c r="F845"/>
      <c r="G845"/>
      <c r="H845"/>
      <c r="I845"/>
      <c r="J845"/>
      <c r="K845"/>
      <c r="L845"/>
      <c r="M845"/>
      <c r="N845"/>
      <c r="O845"/>
      <c r="P845"/>
      <c r="Q845"/>
      <c r="R845"/>
      <c r="S845"/>
      <c r="T845"/>
      <c r="U845"/>
      <c r="V845"/>
      <c r="W845"/>
    </row>
    <row r="846" spans="1:23" x14ac:dyDescent="0.4">
      <c r="A846"/>
      <c r="B846"/>
      <c r="C846"/>
      <c r="D846"/>
      <c r="E846"/>
      <c r="F846"/>
      <c r="G846"/>
      <c r="H846"/>
      <c r="I846"/>
      <c r="J846"/>
      <c r="K846"/>
      <c r="L846"/>
      <c r="M846"/>
      <c r="N846"/>
      <c r="O846"/>
      <c r="P846"/>
      <c r="Q846"/>
      <c r="R846"/>
      <c r="S846"/>
      <c r="T846"/>
      <c r="U846"/>
      <c r="V846"/>
      <c r="W846"/>
    </row>
    <row r="847" spans="1:23" x14ac:dyDescent="0.4">
      <c r="A847"/>
      <c r="B847"/>
      <c r="C847"/>
      <c r="D847"/>
      <c r="E847"/>
      <c r="F847"/>
      <c r="G847"/>
      <c r="H847"/>
      <c r="I847"/>
      <c r="J847"/>
      <c r="K847"/>
      <c r="L847"/>
      <c r="M847"/>
      <c r="N847"/>
      <c r="O847"/>
      <c r="P847"/>
      <c r="Q847"/>
      <c r="R847"/>
      <c r="S847"/>
      <c r="T847"/>
      <c r="U847"/>
      <c r="V847"/>
      <c r="W847"/>
    </row>
    <row r="848" spans="1:23" x14ac:dyDescent="0.4">
      <c r="A848"/>
      <c r="B848"/>
      <c r="C848"/>
      <c r="D848"/>
      <c r="E848"/>
      <c r="F848"/>
      <c r="G848"/>
      <c r="H848"/>
      <c r="I848"/>
      <c r="J848"/>
      <c r="K848"/>
      <c r="L848"/>
      <c r="M848"/>
      <c r="N848"/>
      <c r="O848"/>
      <c r="P848"/>
      <c r="Q848"/>
      <c r="R848"/>
      <c r="S848"/>
      <c r="T848"/>
      <c r="U848"/>
      <c r="V848"/>
      <c r="W848"/>
    </row>
    <row r="849" spans="1:23" x14ac:dyDescent="0.4">
      <c r="A849"/>
      <c r="B849"/>
      <c r="C849"/>
      <c r="D849"/>
      <c r="E849"/>
      <c r="F849"/>
      <c r="G849"/>
      <c r="H849"/>
      <c r="I849"/>
      <c r="J849"/>
      <c r="K849"/>
      <c r="L849"/>
      <c r="M849"/>
      <c r="N849"/>
      <c r="O849"/>
      <c r="P849"/>
      <c r="Q849"/>
      <c r="R849"/>
      <c r="S849"/>
      <c r="T849"/>
      <c r="U849"/>
      <c r="V849"/>
      <c r="W849"/>
    </row>
    <row r="850" spans="1:23" x14ac:dyDescent="0.4">
      <c r="A850"/>
      <c r="B850"/>
      <c r="C850"/>
      <c r="D850"/>
      <c r="E850"/>
      <c r="F850"/>
      <c r="G850"/>
      <c r="H850"/>
      <c r="I850"/>
      <c r="J850"/>
      <c r="K850"/>
      <c r="L850"/>
      <c r="M850"/>
      <c r="N850"/>
      <c r="O850"/>
      <c r="P850"/>
      <c r="Q850"/>
      <c r="R850"/>
      <c r="S850"/>
      <c r="T850"/>
      <c r="U850"/>
      <c r="V850"/>
      <c r="W850"/>
    </row>
    <row r="851" spans="1:23" x14ac:dyDescent="0.4">
      <c r="A851"/>
      <c r="B851"/>
      <c r="C851"/>
      <c r="D851"/>
      <c r="E851"/>
      <c r="F851"/>
      <c r="G851"/>
      <c r="H851"/>
      <c r="I851"/>
      <c r="J851"/>
      <c r="K851"/>
      <c r="L851"/>
      <c r="M851"/>
      <c r="N851"/>
      <c r="O851"/>
      <c r="P851"/>
      <c r="Q851"/>
      <c r="R851"/>
      <c r="S851"/>
      <c r="T851"/>
      <c r="U851"/>
      <c r="V851"/>
      <c r="W851"/>
    </row>
    <row r="852" spans="1:23" x14ac:dyDescent="0.4">
      <c r="A852"/>
      <c r="B852"/>
      <c r="C852"/>
      <c r="D852"/>
      <c r="E852"/>
      <c r="F852"/>
      <c r="G852"/>
      <c r="H852"/>
      <c r="I852"/>
      <c r="J852"/>
      <c r="K852"/>
      <c r="L852"/>
      <c r="M852"/>
      <c r="N852"/>
      <c r="O852"/>
      <c r="P852"/>
      <c r="Q852"/>
      <c r="R852"/>
      <c r="S852"/>
      <c r="T852"/>
      <c r="U852"/>
      <c r="V852"/>
      <c r="W852"/>
    </row>
    <row r="853" spans="1:23" x14ac:dyDescent="0.4">
      <c r="A853"/>
      <c r="B853"/>
      <c r="C853"/>
      <c r="D853"/>
      <c r="E853"/>
      <c r="F853"/>
      <c r="G853"/>
      <c r="H853"/>
      <c r="I853"/>
      <c r="J853"/>
      <c r="K853"/>
      <c r="L853"/>
      <c r="M853"/>
      <c r="N853"/>
      <c r="O853"/>
      <c r="P853"/>
      <c r="Q853"/>
      <c r="R853"/>
      <c r="S853"/>
      <c r="T853"/>
      <c r="U853"/>
      <c r="V853"/>
      <c r="W853"/>
    </row>
    <row r="854" spans="1:23" x14ac:dyDescent="0.4">
      <c r="A854"/>
      <c r="B854"/>
      <c r="C854"/>
      <c r="D854"/>
      <c r="E854"/>
      <c r="F854"/>
      <c r="G854"/>
      <c r="H854"/>
      <c r="I854"/>
      <c r="J854"/>
      <c r="K854"/>
      <c r="L854"/>
      <c r="M854"/>
      <c r="N854"/>
      <c r="O854"/>
      <c r="P854"/>
      <c r="Q854"/>
      <c r="R854"/>
      <c r="S854"/>
      <c r="T854"/>
      <c r="U854"/>
      <c r="V854"/>
      <c r="W854"/>
    </row>
    <row r="855" spans="1:23" x14ac:dyDescent="0.4">
      <c r="A855"/>
      <c r="B855"/>
      <c r="C855"/>
      <c r="D855"/>
      <c r="E855"/>
      <c r="F855"/>
      <c r="G855"/>
      <c r="H855"/>
      <c r="I855"/>
      <c r="J855"/>
      <c r="K855"/>
      <c r="L855"/>
      <c r="M855"/>
      <c r="N855"/>
      <c r="O855"/>
      <c r="P855"/>
      <c r="Q855"/>
      <c r="R855"/>
      <c r="S855"/>
      <c r="T855"/>
      <c r="U855"/>
      <c r="V855"/>
      <c r="W855"/>
    </row>
    <row r="856" spans="1:23" x14ac:dyDescent="0.4">
      <c r="A856"/>
      <c r="B856"/>
      <c r="C856"/>
      <c r="D856"/>
      <c r="E856"/>
      <c r="F856"/>
      <c r="G856"/>
      <c r="H856"/>
      <c r="I856"/>
      <c r="J856"/>
      <c r="K856"/>
      <c r="L856"/>
      <c r="M856"/>
      <c r="N856"/>
      <c r="O856"/>
      <c r="P856"/>
      <c r="Q856"/>
      <c r="R856"/>
      <c r="S856"/>
      <c r="T856"/>
      <c r="U856"/>
      <c r="V856"/>
      <c r="W856"/>
    </row>
    <row r="857" spans="1:23" x14ac:dyDescent="0.4">
      <c r="A857"/>
      <c r="B857"/>
      <c r="C857"/>
      <c r="D857"/>
      <c r="E857"/>
      <c r="F857"/>
      <c r="G857"/>
      <c r="H857"/>
      <c r="I857"/>
      <c r="J857"/>
      <c r="K857"/>
      <c r="L857"/>
      <c r="M857"/>
      <c r="N857"/>
      <c r="O857"/>
      <c r="P857"/>
      <c r="Q857"/>
      <c r="R857"/>
      <c r="S857"/>
      <c r="T857"/>
      <c r="U857"/>
      <c r="V857"/>
      <c r="W857"/>
    </row>
    <row r="858" spans="1:23" x14ac:dyDescent="0.4">
      <c r="A858"/>
      <c r="B858"/>
      <c r="C858"/>
      <c r="D858"/>
      <c r="E858"/>
      <c r="F858"/>
      <c r="G858"/>
      <c r="H858"/>
      <c r="I858"/>
      <c r="J858"/>
      <c r="K858"/>
      <c r="L858"/>
      <c r="M858"/>
      <c r="N858"/>
      <c r="O858"/>
      <c r="P858"/>
      <c r="Q858"/>
      <c r="R858"/>
      <c r="S858"/>
      <c r="T858"/>
      <c r="U858"/>
      <c r="V858"/>
      <c r="W858"/>
    </row>
    <row r="859" spans="1:23" x14ac:dyDescent="0.4">
      <c r="A859"/>
      <c r="B859"/>
      <c r="C859"/>
      <c r="D859"/>
      <c r="E859"/>
      <c r="F859"/>
      <c r="G859"/>
      <c r="H859"/>
      <c r="I859"/>
      <c r="J859"/>
      <c r="K859"/>
      <c r="L859"/>
      <c r="M859"/>
      <c r="N859"/>
      <c r="O859"/>
      <c r="P859"/>
      <c r="Q859"/>
      <c r="R859"/>
      <c r="S859"/>
      <c r="T859"/>
      <c r="U859"/>
      <c r="V859"/>
      <c r="W859"/>
    </row>
    <row r="860" spans="1:23" x14ac:dyDescent="0.4">
      <c r="A860"/>
      <c r="B860"/>
      <c r="C860"/>
      <c r="D860"/>
      <c r="E860"/>
      <c r="F860"/>
      <c r="G860"/>
      <c r="H860"/>
      <c r="I860"/>
      <c r="J860"/>
      <c r="K860"/>
      <c r="L860"/>
      <c r="M860"/>
      <c r="N860"/>
      <c r="O860"/>
      <c r="P860"/>
      <c r="Q860"/>
      <c r="R860"/>
      <c r="S860"/>
      <c r="T860"/>
      <c r="U860"/>
      <c r="V860"/>
      <c r="W860"/>
    </row>
    <row r="861" spans="1:23" x14ac:dyDescent="0.4">
      <c r="A861"/>
      <c r="B861"/>
      <c r="C861"/>
      <c r="D861"/>
      <c r="E861"/>
      <c r="F861"/>
      <c r="G861"/>
      <c r="H861"/>
      <c r="I861"/>
      <c r="J861"/>
      <c r="K861"/>
      <c r="L861"/>
      <c r="M861"/>
      <c r="N861"/>
      <c r="O861"/>
      <c r="P861"/>
      <c r="Q861"/>
      <c r="R861"/>
      <c r="S861"/>
      <c r="T861"/>
      <c r="U861"/>
      <c r="V861"/>
      <c r="W861"/>
    </row>
    <row r="862" spans="1:23" x14ac:dyDescent="0.4">
      <c r="A862"/>
      <c r="B862"/>
      <c r="C862"/>
      <c r="D862"/>
      <c r="E862"/>
      <c r="F862"/>
      <c r="G862"/>
      <c r="H862"/>
      <c r="I862"/>
      <c r="J862"/>
      <c r="K862"/>
      <c r="L862"/>
      <c r="M862"/>
      <c r="N862"/>
      <c r="O862"/>
      <c r="P862"/>
      <c r="Q862"/>
      <c r="R862"/>
      <c r="S862"/>
      <c r="T862"/>
      <c r="U862"/>
      <c r="V862"/>
      <c r="W862"/>
    </row>
    <row r="863" spans="1:23" x14ac:dyDescent="0.4">
      <c r="A863"/>
      <c r="B863"/>
      <c r="C863"/>
      <c r="D863"/>
      <c r="E863"/>
      <c r="F863"/>
      <c r="G863"/>
      <c r="H863"/>
      <c r="I863"/>
      <c r="J863"/>
      <c r="K863"/>
      <c r="L863"/>
      <c r="M863"/>
      <c r="N863"/>
      <c r="O863"/>
      <c r="P863"/>
      <c r="Q863"/>
      <c r="R863"/>
      <c r="S863"/>
      <c r="T863"/>
      <c r="U863"/>
      <c r="V863"/>
      <c r="W863"/>
    </row>
    <row r="864" spans="1:23" x14ac:dyDescent="0.4">
      <c r="A864"/>
      <c r="B864"/>
      <c r="C864"/>
      <c r="D864"/>
      <c r="E864"/>
      <c r="F864"/>
      <c r="G864"/>
      <c r="H864"/>
      <c r="I864"/>
      <c r="J864"/>
      <c r="K864"/>
      <c r="L864"/>
      <c r="M864"/>
      <c r="N864"/>
      <c r="O864"/>
      <c r="P864"/>
      <c r="Q864"/>
      <c r="R864"/>
      <c r="S864"/>
      <c r="T864"/>
      <c r="U864"/>
      <c r="V864"/>
      <c r="W864"/>
    </row>
    <row r="865" spans="1:23" x14ac:dyDescent="0.4">
      <c r="A865"/>
      <c r="B865"/>
      <c r="C865"/>
      <c r="D865"/>
      <c r="E865"/>
      <c r="F865"/>
      <c r="G865"/>
      <c r="H865"/>
      <c r="I865"/>
      <c r="J865"/>
      <c r="K865"/>
      <c r="L865"/>
      <c r="M865"/>
      <c r="N865"/>
      <c r="O865"/>
      <c r="P865"/>
      <c r="Q865"/>
      <c r="R865"/>
      <c r="S865"/>
      <c r="T865"/>
      <c r="U865"/>
      <c r="V865"/>
      <c r="W865"/>
    </row>
    <row r="866" spans="1:23" x14ac:dyDescent="0.4">
      <c r="A866"/>
      <c r="B866"/>
      <c r="C866"/>
      <c r="D866"/>
      <c r="E866"/>
      <c r="F866"/>
      <c r="G866"/>
      <c r="H866"/>
      <c r="I866"/>
      <c r="J866"/>
      <c r="K866"/>
      <c r="L866"/>
      <c r="M866"/>
      <c r="N866"/>
      <c r="O866"/>
      <c r="P866"/>
      <c r="Q866"/>
      <c r="R866"/>
      <c r="S866"/>
      <c r="T866"/>
      <c r="U866"/>
      <c r="V866"/>
      <c r="W866"/>
    </row>
    <row r="867" spans="1:23" x14ac:dyDescent="0.4">
      <c r="A867"/>
      <c r="B867"/>
      <c r="C867"/>
      <c r="D867"/>
      <c r="E867"/>
      <c r="F867"/>
      <c r="G867"/>
      <c r="H867"/>
      <c r="I867"/>
      <c r="J867"/>
      <c r="K867"/>
      <c r="L867"/>
      <c r="M867"/>
      <c r="N867"/>
      <c r="O867"/>
      <c r="P867"/>
      <c r="Q867"/>
      <c r="R867"/>
      <c r="S867"/>
      <c r="T867"/>
      <c r="U867"/>
      <c r="V867"/>
      <c r="W867"/>
    </row>
    <row r="868" spans="1:23" x14ac:dyDescent="0.4">
      <c r="A868"/>
      <c r="B868"/>
      <c r="C868"/>
      <c r="D868"/>
      <c r="E868"/>
      <c r="F868"/>
      <c r="G868"/>
      <c r="H868"/>
      <c r="I868"/>
      <c r="J868"/>
      <c r="K868"/>
      <c r="L868"/>
      <c r="M868"/>
      <c r="N868"/>
      <c r="O868"/>
      <c r="P868"/>
      <c r="Q868"/>
      <c r="R868"/>
      <c r="S868"/>
      <c r="T868"/>
      <c r="U868"/>
      <c r="V868"/>
      <c r="W868"/>
    </row>
    <row r="869" spans="1:23" x14ac:dyDescent="0.4">
      <c r="A869"/>
      <c r="B869"/>
      <c r="C869"/>
      <c r="D869"/>
      <c r="E869"/>
      <c r="F869"/>
      <c r="G869"/>
      <c r="H869"/>
      <c r="I869"/>
      <c r="J869"/>
      <c r="K869"/>
      <c r="L869"/>
      <c r="M869"/>
      <c r="N869"/>
      <c r="O869"/>
      <c r="P869"/>
      <c r="Q869"/>
      <c r="R869"/>
      <c r="S869"/>
      <c r="T869"/>
      <c r="U869"/>
      <c r="V869"/>
      <c r="W869"/>
    </row>
    <row r="870" spans="1:23" x14ac:dyDescent="0.4">
      <c r="A870"/>
      <c r="B870"/>
      <c r="C870"/>
      <c r="D870"/>
      <c r="E870"/>
      <c r="F870"/>
      <c r="G870"/>
      <c r="H870"/>
      <c r="I870"/>
      <c r="J870"/>
      <c r="K870"/>
      <c r="L870"/>
      <c r="M870"/>
      <c r="N870"/>
      <c r="O870"/>
      <c r="P870"/>
      <c r="Q870"/>
      <c r="R870"/>
      <c r="S870"/>
      <c r="T870"/>
      <c r="U870"/>
      <c r="V870"/>
      <c r="W870"/>
    </row>
    <row r="871" spans="1:23" x14ac:dyDescent="0.4">
      <c r="A871"/>
      <c r="B871"/>
      <c r="C871"/>
      <c r="D871"/>
      <c r="E871"/>
      <c r="F871"/>
      <c r="G871"/>
      <c r="H871"/>
      <c r="I871"/>
      <c r="J871"/>
      <c r="K871"/>
      <c r="L871"/>
      <c r="M871"/>
      <c r="N871"/>
      <c r="O871"/>
      <c r="P871"/>
      <c r="Q871"/>
      <c r="R871"/>
      <c r="S871"/>
      <c r="T871"/>
      <c r="U871"/>
      <c r="V871"/>
      <c r="W871"/>
    </row>
    <row r="872" spans="1:23" x14ac:dyDescent="0.4">
      <c r="A872"/>
      <c r="B872"/>
      <c r="C872"/>
      <c r="D872"/>
      <c r="E872"/>
      <c r="F872"/>
      <c r="G872"/>
      <c r="H872"/>
      <c r="I872"/>
      <c r="J872"/>
      <c r="K872"/>
      <c r="L872"/>
      <c r="M872"/>
      <c r="N872"/>
      <c r="O872"/>
      <c r="P872"/>
      <c r="Q872"/>
      <c r="R872"/>
      <c r="S872"/>
      <c r="T872"/>
      <c r="U872"/>
      <c r="V872"/>
      <c r="W872"/>
    </row>
    <row r="873" spans="1:23" x14ac:dyDescent="0.4">
      <c r="A873"/>
      <c r="B873"/>
      <c r="C873"/>
      <c r="D873"/>
      <c r="E873"/>
      <c r="F873"/>
      <c r="G873"/>
      <c r="H873"/>
      <c r="I873"/>
      <c r="J873"/>
      <c r="K873"/>
      <c r="L873"/>
      <c r="M873"/>
      <c r="N873"/>
      <c r="O873"/>
      <c r="P873"/>
      <c r="Q873"/>
      <c r="R873"/>
      <c r="S873"/>
      <c r="T873"/>
      <c r="U873"/>
      <c r="V873"/>
      <c r="W873"/>
    </row>
    <row r="874" spans="1:23" x14ac:dyDescent="0.4">
      <c r="A874"/>
      <c r="B874"/>
      <c r="C874"/>
      <c r="D874"/>
      <c r="E874"/>
      <c r="F874"/>
      <c r="G874"/>
      <c r="H874"/>
      <c r="I874"/>
      <c r="J874"/>
      <c r="K874"/>
      <c r="L874"/>
      <c r="M874"/>
      <c r="N874"/>
      <c r="O874"/>
      <c r="P874"/>
      <c r="Q874"/>
      <c r="R874"/>
      <c r="S874"/>
      <c r="T874"/>
      <c r="U874"/>
      <c r="V874"/>
      <c r="W874"/>
    </row>
    <row r="875" spans="1:23" x14ac:dyDescent="0.4">
      <c r="A875"/>
      <c r="B875"/>
      <c r="C875"/>
      <c r="D875"/>
      <c r="E875"/>
      <c r="F875"/>
      <c r="G875"/>
      <c r="H875"/>
      <c r="I875"/>
      <c r="J875"/>
      <c r="K875"/>
      <c r="L875"/>
      <c r="M875"/>
      <c r="N875"/>
      <c r="O875"/>
      <c r="P875"/>
      <c r="Q875"/>
      <c r="R875"/>
      <c r="S875"/>
      <c r="T875"/>
      <c r="U875"/>
      <c r="V875"/>
      <c r="W875"/>
    </row>
    <row r="876" spans="1:23" x14ac:dyDescent="0.4">
      <c r="A876"/>
      <c r="B876"/>
      <c r="C876"/>
      <c r="D876"/>
      <c r="E876"/>
      <c r="F876"/>
      <c r="G876"/>
      <c r="H876"/>
      <c r="I876"/>
      <c r="J876"/>
      <c r="K876"/>
      <c r="L876"/>
      <c r="M876"/>
      <c r="N876"/>
      <c r="O876"/>
      <c r="P876"/>
      <c r="Q876"/>
      <c r="R876"/>
      <c r="S876"/>
      <c r="T876"/>
      <c r="U876"/>
      <c r="V876"/>
      <c r="W876"/>
    </row>
    <row r="877" spans="1:23" x14ac:dyDescent="0.4">
      <c r="A877"/>
      <c r="B877"/>
      <c r="C877"/>
      <c r="D877"/>
      <c r="E877"/>
      <c r="F877"/>
      <c r="G877"/>
      <c r="H877"/>
      <c r="I877"/>
      <c r="J877"/>
      <c r="K877"/>
      <c r="L877"/>
      <c r="M877"/>
      <c r="N877"/>
      <c r="O877"/>
      <c r="P877"/>
      <c r="Q877"/>
      <c r="R877"/>
      <c r="S877"/>
      <c r="T877"/>
      <c r="U877"/>
      <c r="V877"/>
      <c r="W877"/>
    </row>
    <row r="878" spans="1:23" x14ac:dyDescent="0.4">
      <c r="A878"/>
      <c r="B878"/>
      <c r="C878"/>
      <c r="D878"/>
      <c r="E878"/>
      <c r="F878"/>
      <c r="G878"/>
      <c r="H878"/>
      <c r="I878"/>
      <c r="J878"/>
      <c r="K878"/>
      <c r="L878"/>
      <c r="M878"/>
      <c r="N878"/>
      <c r="O878"/>
      <c r="P878"/>
      <c r="Q878"/>
      <c r="R878"/>
      <c r="S878"/>
      <c r="T878"/>
      <c r="U878"/>
      <c r="V878"/>
      <c r="W878"/>
    </row>
    <row r="879" spans="1:23" x14ac:dyDescent="0.4">
      <c r="A879"/>
      <c r="B879"/>
      <c r="C879"/>
      <c r="D879"/>
      <c r="E879"/>
      <c r="F879"/>
      <c r="G879"/>
      <c r="H879"/>
      <c r="I879"/>
      <c r="J879"/>
      <c r="K879"/>
      <c r="L879"/>
      <c r="M879"/>
      <c r="N879"/>
      <c r="O879"/>
      <c r="P879"/>
      <c r="Q879"/>
      <c r="R879"/>
      <c r="S879"/>
      <c r="T879"/>
      <c r="U879"/>
      <c r="V879"/>
      <c r="W879"/>
    </row>
    <row r="880" spans="1:23" x14ac:dyDescent="0.4">
      <c r="A880"/>
      <c r="B880"/>
      <c r="C880"/>
      <c r="D880"/>
      <c r="E880"/>
      <c r="F880"/>
      <c r="G880"/>
      <c r="H880"/>
      <c r="I880"/>
      <c r="J880"/>
      <c r="K880"/>
      <c r="L880"/>
      <c r="M880"/>
      <c r="N880"/>
      <c r="O880"/>
      <c r="P880"/>
      <c r="Q880"/>
      <c r="R880"/>
      <c r="S880"/>
      <c r="T880"/>
      <c r="U880"/>
      <c r="V880"/>
      <c r="W880"/>
    </row>
    <row r="881" spans="1:23" x14ac:dyDescent="0.4">
      <c r="A881"/>
      <c r="B881"/>
      <c r="C881"/>
      <c r="D881"/>
      <c r="E881"/>
      <c r="F881"/>
      <c r="G881"/>
      <c r="H881"/>
      <c r="I881"/>
      <c r="J881"/>
      <c r="K881"/>
      <c r="L881"/>
      <c r="M881"/>
      <c r="N881"/>
      <c r="O881"/>
      <c r="P881"/>
      <c r="Q881"/>
      <c r="R881"/>
      <c r="S881"/>
      <c r="T881"/>
      <c r="U881"/>
      <c r="V881"/>
      <c r="W881"/>
    </row>
    <row r="882" spans="1:23" x14ac:dyDescent="0.4">
      <c r="A882"/>
      <c r="B882"/>
      <c r="C882"/>
      <c r="D882"/>
      <c r="E882"/>
      <c r="F882"/>
      <c r="G882"/>
      <c r="H882"/>
      <c r="I882"/>
      <c r="J882"/>
      <c r="K882"/>
      <c r="L882"/>
      <c r="M882"/>
      <c r="N882"/>
      <c r="O882"/>
      <c r="P882"/>
      <c r="Q882"/>
      <c r="R882"/>
      <c r="S882"/>
      <c r="T882"/>
      <c r="U882"/>
      <c r="V882"/>
      <c r="W882"/>
    </row>
    <row r="883" spans="1:23" x14ac:dyDescent="0.4">
      <c r="A883"/>
      <c r="B883"/>
      <c r="C883"/>
      <c r="D883"/>
      <c r="E883"/>
      <c r="F883"/>
      <c r="G883"/>
      <c r="H883"/>
      <c r="I883"/>
      <c r="J883"/>
      <c r="K883"/>
      <c r="L883"/>
      <c r="M883"/>
      <c r="N883"/>
      <c r="O883"/>
      <c r="P883"/>
      <c r="Q883"/>
      <c r="R883"/>
      <c r="S883"/>
      <c r="T883"/>
      <c r="U883"/>
      <c r="V883"/>
      <c r="W883"/>
    </row>
    <row r="884" spans="1:23" x14ac:dyDescent="0.4">
      <c r="A884"/>
      <c r="B884"/>
      <c r="C884"/>
      <c r="D884"/>
      <c r="E884"/>
      <c r="F884"/>
      <c r="G884"/>
      <c r="H884"/>
      <c r="I884"/>
      <c r="J884"/>
      <c r="K884"/>
      <c r="L884"/>
      <c r="M884"/>
      <c r="N884"/>
      <c r="O884"/>
      <c r="P884"/>
      <c r="Q884"/>
      <c r="R884"/>
      <c r="S884"/>
      <c r="T884"/>
      <c r="U884"/>
      <c r="V884"/>
      <c r="W884"/>
    </row>
    <row r="885" spans="1:23" x14ac:dyDescent="0.4">
      <c r="A885"/>
      <c r="B885"/>
      <c r="C885"/>
      <c r="D885"/>
      <c r="E885"/>
      <c r="F885"/>
      <c r="G885"/>
      <c r="H885"/>
      <c r="I885"/>
      <c r="J885"/>
      <c r="K885"/>
      <c r="L885"/>
      <c r="M885"/>
      <c r="N885"/>
      <c r="O885"/>
      <c r="P885"/>
      <c r="Q885"/>
      <c r="R885"/>
      <c r="S885"/>
      <c r="T885"/>
      <c r="U885"/>
      <c r="V885"/>
      <c r="W885"/>
    </row>
    <row r="886" spans="1:23" x14ac:dyDescent="0.4">
      <c r="A886"/>
      <c r="B886"/>
      <c r="C886"/>
      <c r="D886"/>
      <c r="E886"/>
      <c r="F886"/>
      <c r="G886"/>
      <c r="H886"/>
      <c r="I886"/>
      <c r="J886"/>
      <c r="K886"/>
      <c r="L886"/>
      <c r="M886"/>
      <c r="N886"/>
      <c r="O886"/>
      <c r="P886"/>
      <c r="Q886"/>
      <c r="R886"/>
      <c r="S886"/>
      <c r="T886"/>
      <c r="U886"/>
      <c r="V886"/>
      <c r="W886"/>
    </row>
    <row r="887" spans="1:23" x14ac:dyDescent="0.4">
      <c r="A887"/>
      <c r="B887"/>
      <c r="C887"/>
      <c r="D887"/>
      <c r="E887"/>
      <c r="F887"/>
      <c r="G887"/>
      <c r="H887"/>
      <c r="I887"/>
      <c r="J887"/>
      <c r="K887"/>
      <c r="L887"/>
      <c r="M887"/>
      <c r="N887"/>
      <c r="O887"/>
      <c r="P887"/>
      <c r="Q887"/>
      <c r="R887"/>
      <c r="S887"/>
      <c r="T887"/>
      <c r="U887"/>
      <c r="V887"/>
      <c r="W887"/>
    </row>
    <row r="888" spans="1:23" x14ac:dyDescent="0.4">
      <c r="A888"/>
      <c r="B888"/>
      <c r="C888"/>
      <c r="D888"/>
      <c r="E888"/>
      <c r="F888"/>
      <c r="G888"/>
      <c r="H888"/>
      <c r="I888"/>
      <c r="J888"/>
      <c r="K888"/>
      <c r="L888"/>
      <c r="M888"/>
      <c r="N888"/>
      <c r="O888"/>
      <c r="P888"/>
      <c r="Q888"/>
      <c r="R888"/>
      <c r="S888"/>
      <c r="T888"/>
      <c r="U888"/>
      <c r="V888"/>
      <c r="W888"/>
    </row>
    <row r="889" spans="1:23" x14ac:dyDescent="0.4">
      <c r="A889"/>
      <c r="B889"/>
      <c r="C889"/>
      <c r="D889"/>
      <c r="E889"/>
      <c r="F889"/>
      <c r="G889"/>
      <c r="H889"/>
      <c r="I889"/>
      <c r="J889"/>
      <c r="K889"/>
      <c r="L889"/>
      <c r="M889"/>
      <c r="N889"/>
      <c r="O889"/>
      <c r="P889"/>
      <c r="Q889"/>
      <c r="R889"/>
      <c r="S889"/>
      <c r="T889"/>
      <c r="U889"/>
      <c r="V889"/>
      <c r="W889"/>
    </row>
    <row r="890" spans="1:23" x14ac:dyDescent="0.4">
      <c r="A890"/>
      <c r="B890"/>
      <c r="C890"/>
      <c r="D890"/>
      <c r="E890"/>
      <c r="F890"/>
      <c r="G890"/>
      <c r="H890"/>
      <c r="I890"/>
      <c r="J890"/>
      <c r="K890"/>
      <c r="L890"/>
      <c r="M890"/>
      <c r="N890"/>
      <c r="O890"/>
      <c r="P890"/>
      <c r="Q890"/>
      <c r="R890"/>
      <c r="S890"/>
      <c r="T890"/>
      <c r="U890"/>
      <c r="V890"/>
      <c r="W890"/>
    </row>
    <row r="891" spans="1:23" x14ac:dyDescent="0.4">
      <c r="A891"/>
      <c r="B891"/>
      <c r="C891"/>
      <c r="D891"/>
      <c r="E891"/>
      <c r="F891"/>
      <c r="G891"/>
      <c r="H891"/>
      <c r="I891"/>
      <c r="J891"/>
      <c r="K891"/>
      <c r="L891"/>
      <c r="M891"/>
      <c r="N891"/>
      <c r="O891"/>
      <c r="P891"/>
      <c r="Q891"/>
      <c r="R891"/>
      <c r="S891"/>
      <c r="T891"/>
      <c r="U891"/>
      <c r="V891"/>
      <c r="W891"/>
    </row>
    <row r="892" spans="1:23" x14ac:dyDescent="0.4">
      <c r="A892"/>
      <c r="B892"/>
      <c r="C892"/>
      <c r="D892"/>
      <c r="E892"/>
      <c r="F892"/>
      <c r="G892"/>
      <c r="H892"/>
      <c r="I892"/>
      <c r="J892"/>
      <c r="K892"/>
      <c r="L892"/>
      <c r="M892"/>
      <c r="N892"/>
      <c r="O892"/>
      <c r="P892"/>
      <c r="Q892"/>
      <c r="R892"/>
      <c r="S892"/>
      <c r="T892"/>
      <c r="U892"/>
      <c r="V892"/>
      <c r="W892"/>
    </row>
    <row r="893" spans="1:23" x14ac:dyDescent="0.4">
      <c r="A893"/>
      <c r="B893"/>
      <c r="C893"/>
      <c r="D893"/>
      <c r="E893"/>
      <c r="F893"/>
      <c r="G893"/>
      <c r="H893"/>
      <c r="I893"/>
      <c r="J893"/>
      <c r="K893"/>
      <c r="L893"/>
      <c r="M893"/>
      <c r="N893"/>
      <c r="O893"/>
      <c r="P893"/>
      <c r="Q893"/>
      <c r="R893"/>
      <c r="S893"/>
      <c r="T893"/>
      <c r="U893"/>
      <c r="V893"/>
      <c r="W893"/>
    </row>
    <row r="894" spans="1:23" x14ac:dyDescent="0.4">
      <c r="A894"/>
      <c r="B894"/>
      <c r="C894"/>
      <c r="D894"/>
      <c r="E894"/>
      <c r="F894"/>
      <c r="G894"/>
      <c r="H894"/>
      <c r="I894"/>
      <c r="J894"/>
      <c r="K894"/>
      <c r="L894"/>
      <c r="M894"/>
      <c r="N894"/>
      <c r="O894"/>
      <c r="P894"/>
      <c r="Q894"/>
      <c r="R894"/>
      <c r="S894"/>
      <c r="T894"/>
      <c r="U894"/>
      <c r="V894"/>
      <c r="W894"/>
    </row>
    <row r="895" spans="1:23" x14ac:dyDescent="0.4">
      <c r="A895"/>
      <c r="B895"/>
      <c r="C895"/>
      <c r="D895"/>
      <c r="E895"/>
      <c r="F895"/>
      <c r="G895"/>
      <c r="H895"/>
      <c r="I895"/>
      <c r="J895"/>
      <c r="K895"/>
      <c r="L895"/>
      <c r="M895"/>
      <c r="N895"/>
      <c r="O895"/>
      <c r="P895"/>
      <c r="Q895"/>
      <c r="R895"/>
      <c r="S895"/>
      <c r="T895"/>
      <c r="U895"/>
      <c r="V895"/>
      <c r="W895"/>
    </row>
    <row r="896" spans="1:23" x14ac:dyDescent="0.4">
      <c r="A896"/>
      <c r="B896"/>
      <c r="C896"/>
      <c r="D896"/>
      <c r="E896"/>
      <c r="F896"/>
      <c r="G896"/>
      <c r="H896"/>
      <c r="I896"/>
      <c r="J896"/>
      <c r="K896"/>
      <c r="L896"/>
      <c r="M896"/>
      <c r="N896"/>
      <c r="O896"/>
      <c r="P896"/>
      <c r="Q896"/>
      <c r="R896"/>
      <c r="S896"/>
      <c r="T896"/>
      <c r="U896"/>
      <c r="V896"/>
      <c r="W896"/>
    </row>
    <row r="897" spans="1:23" x14ac:dyDescent="0.4">
      <c r="A897"/>
      <c r="B897"/>
      <c r="C897"/>
      <c r="D897"/>
      <c r="E897"/>
      <c r="F897"/>
      <c r="G897"/>
      <c r="H897"/>
      <c r="I897"/>
      <c r="J897"/>
      <c r="K897"/>
      <c r="L897"/>
      <c r="M897"/>
      <c r="N897"/>
      <c r="O897"/>
      <c r="P897"/>
      <c r="Q897"/>
      <c r="R897"/>
      <c r="S897"/>
      <c r="T897"/>
      <c r="U897"/>
      <c r="V897"/>
      <c r="W897"/>
    </row>
    <row r="898" spans="1:23" x14ac:dyDescent="0.4">
      <c r="A898"/>
      <c r="B898"/>
      <c r="C898"/>
      <c r="D898"/>
      <c r="E898"/>
      <c r="F898"/>
      <c r="G898"/>
      <c r="H898"/>
      <c r="I898"/>
      <c r="J898"/>
      <c r="K898"/>
      <c r="L898"/>
      <c r="M898"/>
      <c r="N898"/>
      <c r="O898"/>
      <c r="P898"/>
      <c r="Q898"/>
      <c r="R898"/>
      <c r="S898"/>
      <c r="T898"/>
      <c r="U898"/>
      <c r="V898"/>
      <c r="W898"/>
    </row>
    <row r="899" spans="1:23" x14ac:dyDescent="0.4">
      <c r="A899"/>
      <c r="B899"/>
      <c r="C899"/>
      <c r="D899"/>
      <c r="E899"/>
      <c r="F899"/>
      <c r="G899"/>
      <c r="H899"/>
      <c r="I899"/>
      <c r="J899"/>
      <c r="K899"/>
      <c r="L899"/>
      <c r="M899"/>
      <c r="N899"/>
      <c r="O899"/>
      <c r="P899"/>
      <c r="Q899"/>
      <c r="R899"/>
      <c r="S899"/>
      <c r="T899"/>
      <c r="U899"/>
      <c r="V899"/>
      <c r="W899"/>
    </row>
    <row r="900" spans="1:23" x14ac:dyDescent="0.4">
      <c r="A900"/>
      <c r="B900"/>
      <c r="C900"/>
      <c r="D900"/>
      <c r="E900"/>
      <c r="F900"/>
      <c r="G900"/>
      <c r="H900"/>
      <c r="I900"/>
      <c r="J900"/>
      <c r="K900"/>
      <c r="L900"/>
      <c r="M900"/>
      <c r="N900"/>
      <c r="O900"/>
      <c r="P900"/>
      <c r="Q900"/>
      <c r="R900"/>
      <c r="S900"/>
      <c r="T900"/>
      <c r="U900"/>
      <c r="V900"/>
      <c r="W900"/>
    </row>
    <row r="901" spans="1:23" x14ac:dyDescent="0.4">
      <c r="A901"/>
      <c r="B901"/>
      <c r="C901"/>
      <c r="D901"/>
      <c r="E901"/>
      <c r="F901"/>
      <c r="G901"/>
      <c r="H901"/>
      <c r="I901"/>
      <c r="J901"/>
      <c r="K901"/>
      <c r="L901"/>
      <c r="M901"/>
      <c r="N901"/>
      <c r="O901"/>
      <c r="P901"/>
      <c r="Q901"/>
      <c r="R901"/>
      <c r="S901"/>
      <c r="T901"/>
      <c r="U901"/>
      <c r="V901"/>
      <c r="W901"/>
    </row>
    <row r="902" spans="1:23" x14ac:dyDescent="0.4">
      <c r="A902"/>
      <c r="B902"/>
      <c r="C902"/>
      <c r="D902"/>
      <c r="E902"/>
      <c r="F902"/>
      <c r="G902"/>
      <c r="H902"/>
      <c r="I902"/>
      <c r="J902"/>
      <c r="K902"/>
      <c r="L902"/>
      <c r="M902"/>
      <c r="N902"/>
      <c r="O902"/>
      <c r="P902"/>
      <c r="Q902"/>
      <c r="R902"/>
      <c r="S902"/>
      <c r="T902"/>
      <c r="U902"/>
      <c r="V902"/>
      <c r="W902"/>
    </row>
    <row r="903" spans="1:23" x14ac:dyDescent="0.4">
      <c r="A903"/>
      <c r="B903"/>
      <c r="C903"/>
      <c r="D903"/>
      <c r="E903"/>
      <c r="F903"/>
      <c r="G903"/>
      <c r="H903"/>
      <c r="I903"/>
      <c r="J903"/>
      <c r="K903"/>
      <c r="L903"/>
      <c r="M903"/>
      <c r="N903"/>
      <c r="O903"/>
      <c r="P903"/>
      <c r="Q903"/>
      <c r="R903"/>
      <c r="S903"/>
      <c r="T903"/>
      <c r="U903"/>
      <c r="V903"/>
      <c r="W903"/>
    </row>
    <row r="904" spans="1:23" x14ac:dyDescent="0.4">
      <c r="A904"/>
      <c r="B904"/>
      <c r="C904"/>
      <c r="D904"/>
      <c r="E904"/>
      <c r="F904"/>
      <c r="G904"/>
      <c r="H904"/>
      <c r="I904"/>
      <c r="J904"/>
      <c r="K904"/>
      <c r="L904"/>
      <c r="M904"/>
      <c r="N904"/>
      <c r="O904"/>
      <c r="P904"/>
      <c r="Q904"/>
      <c r="R904"/>
      <c r="S904"/>
      <c r="T904"/>
      <c r="U904"/>
      <c r="V904"/>
      <c r="W904"/>
    </row>
    <row r="905" spans="1:23" x14ac:dyDescent="0.4">
      <c r="A905"/>
      <c r="B905"/>
      <c r="C905"/>
      <c r="D905"/>
      <c r="E905"/>
      <c r="F905"/>
      <c r="G905"/>
      <c r="H905"/>
      <c r="I905"/>
      <c r="J905"/>
      <c r="K905"/>
      <c r="L905"/>
      <c r="M905"/>
      <c r="N905"/>
      <c r="O905"/>
      <c r="P905"/>
      <c r="Q905"/>
      <c r="R905"/>
      <c r="S905"/>
      <c r="T905"/>
      <c r="U905"/>
      <c r="V905"/>
      <c r="W905"/>
    </row>
    <row r="906" spans="1:23" x14ac:dyDescent="0.4">
      <c r="A906"/>
      <c r="B906"/>
      <c r="C906"/>
      <c r="D906"/>
      <c r="E906"/>
      <c r="F906"/>
      <c r="G906"/>
      <c r="H906"/>
      <c r="I906"/>
      <c r="J906"/>
      <c r="K906"/>
      <c r="L906"/>
      <c r="M906"/>
      <c r="N906"/>
      <c r="O906"/>
      <c r="P906"/>
      <c r="Q906"/>
      <c r="R906"/>
      <c r="S906"/>
      <c r="T906"/>
      <c r="U906"/>
      <c r="V906"/>
      <c r="W906"/>
    </row>
    <row r="907" spans="1:23" x14ac:dyDescent="0.4">
      <c r="A907"/>
      <c r="B907"/>
      <c r="C907"/>
      <c r="D907"/>
      <c r="E907"/>
      <c r="F907"/>
      <c r="G907"/>
      <c r="H907"/>
      <c r="I907"/>
      <c r="J907"/>
      <c r="K907"/>
      <c r="L907"/>
      <c r="M907"/>
      <c r="N907"/>
      <c r="O907"/>
      <c r="P907"/>
      <c r="Q907"/>
      <c r="R907"/>
      <c r="S907"/>
      <c r="T907"/>
      <c r="U907"/>
      <c r="V907"/>
      <c r="W907"/>
    </row>
    <row r="908" spans="1:23" x14ac:dyDescent="0.4">
      <c r="A908"/>
      <c r="B908"/>
      <c r="C908"/>
      <c r="D908"/>
      <c r="E908"/>
      <c r="F908"/>
      <c r="G908"/>
      <c r="H908"/>
      <c r="I908"/>
      <c r="J908"/>
      <c r="K908"/>
      <c r="L908"/>
      <c r="M908"/>
      <c r="N908"/>
      <c r="O908"/>
      <c r="P908"/>
      <c r="Q908"/>
      <c r="R908"/>
      <c r="S908"/>
      <c r="T908"/>
      <c r="U908"/>
      <c r="V908"/>
      <c r="W908"/>
    </row>
    <row r="909" spans="1:23" x14ac:dyDescent="0.4">
      <c r="A909"/>
      <c r="B909"/>
      <c r="C909"/>
      <c r="D909"/>
      <c r="E909"/>
      <c r="F909"/>
      <c r="G909"/>
      <c r="H909"/>
      <c r="I909"/>
      <c r="J909"/>
      <c r="K909"/>
      <c r="L909"/>
      <c r="M909"/>
      <c r="N909"/>
      <c r="O909"/>
      <c r="P909"/>
      <c r="Q909"/>
      <c r="R909"/>
      <c r="S909"/>
      <c r="T909"/>
      <c r="U909"/>
      <c r="V909"/>
      <c r="W909"/>
    </row>
    <row r="910" spans="1:23" x14ac:dyDescent="0.4">
      <c r="A910"/>
      <c r="B910"/>
      <c r="C910"/>
      <c r="D910"/>
      <c r="E910"/>
      <c r="F910"/>
      <c r="G910"/>
      <c r="H910"/>
      <c r="I910"/>
      <c r="J910"/>
      <c r="K910"/>
      <c r="L910"/>
      <c r="M910"/>
      <c r="N910"/>
      <c r="O910"/>
      <c r="P910"/>
      <c r="Q910"/>
      <c r="R910"/>
      <c r="S910"/>
      <c r="T910"/>
      <c r="U910"/>
      <c r="V910"/>
      <c r="W910"/>
    </row>
    <row r="911" spans="1:23" x14ac:dyDescent="0.4">
      <c r="A911"/>
      <c r="B911"/>
      <c r="C911"/>
      <c r="D911"/>
      <c r="E911"/>
      <c r="F911"/>
      <c r="G911"/>
      <c r="H911"/>
      <c r="I911"/>
      <c r="J911"/>
      <c r="K911"/>
      <c r="L911"/>
      <c r="M911"/>
      <c r="N911"/>
      <c r="O911"/>
      <c r="P911"/>
      <c r="Q911"/>
      <c r="R911"/>
      <c r="S911"/>
      <c r="T911"/>
      <c r="U911"/>
      <c r="V911"/>
      <c r="W911"/>
    </row>
    <row r="912" spans="1:23" x14ac:dyDescent="0.4">
      <c r="A912"/>
      <c r="B912"/>
      <c r="C912"/>
      <c r="D912"/>
      <c r="E912"/>
      <c r="F912"/>
      <c r="G912"/>
      <c r="H912"/>
      <c r="I912"/>
      <c r="J912"/>
      <c r="K912"/>
      <c r="L912"/>
      <c r="M912"/>
      <c r="N912"/>
      <c r="O912"/>
      <c r="P912"/>
      <c r="Q912"/>
      <c r="R912"/>
      <c r="S912"/>
      <c r="T912"/>
      <c r="U912"/>
      <c r="V912"/>
      <c r="W912"/>
    </row>
    <row r="913" spans="1:23" x14ac:dyDescent="0.4">
      <c r="A913"/>
      <c r="B913"/>
      <c r="C913"/>
      <c r="D913"/>
      <c r="E913"/>
      <c r="F913"/>
      <c r="G913"/>
      <c r="H913"/>
      <c r="I913"/>
      <c r="J913"/>
      <c r="K913"/>
      <c r="L913"/>
      <c r="M913"/>
      <c r="N913"/>
      <c r="O913"/>
      <c r="P913"/>
      <c r="Q913"/>
      <c r="R913"/>
      <c r="S913"/>
      <c r="T913"/>
      <c r="U913"/>
      <c r="V913"/>
      <c r="W913"/>
    </row>
    <row r="914" spans="1:23" x14ac:dyDescent="0.4">
      <c r="A914"/>
      <c r="B914"/>
      <c r="C914"/>
      <c r="D914"/>
      <c r="E914"/>
      <c r="F914"/>
      <c r="G914"/>
      <c r="H914"/>
      <c r="I914"/>
      <c r="J914"/>
      <c r="K914"/>
      <c r="L914"/>
      <c r="M914"/>
      <c r="N914"/>
      <c r="O914"/>
      <c r="P914"/>
      <c r="Q914"/>
      <c r="R914"/>
      <c r="S914"/>
      <c r="T914"/>
      <c r="U914"/>
      <c r="V914"/>
      <c r="W914"/>
    </row>
    <row r="915" spans="1:23" x14ac:dyDescent="0.4">
      <c r="A915"/>
      <c r="B915"/>
      <c r="C915"/>
      <c r="D915"/>
      <c r="E915"/>
      <c r="F915"/>
      <c r="G915"/>
      <c r="H915"/>
      <c r="I915"/>
      <c r="J915"/>
      <c r="K915"/>
      <c r="L915"/>
      <c r="M915"/>
      <c r="N915"/>
      <c r="O915"/>
      <c r="P915"/>
      <c r="Q915"/>
      <c r="R915"/>
      <c r="S915"/>
      <c r="T915"/>
      <c r="U915"/>
      <c r="V915"/>
      <c r="W915"/>
    </row>
    <row r="916" spans="1:23" x14ac:dyDescent="0.4">
      <c r="A916"/>
      <c r="B916"/>
      <c r="C916"/>
      <c r="D916"/>
      <c r="E916"/>
      <c r="F916"/>
      <c r="G916"/>
      <c r="H916"/>
      <c r="I916"/>
      <c r="J916"/>
      <c r="K916"/>
      <c r="L916"/>
      <c r="M916"/>
      <c r="N916"/>
      <c r="O916"/>
      <c r="P916"/>
      <c r="Q916"/>
      <c r="R916"/>
      <c r="S916"/>
      <c r="T916"/>
      <c r="U916"/>
      <c r="V916"/>
      <c r="W916"/>
    </row>
    <row r="917" spans="1:23" x14ac:dyDescent="0.4">
      <c r="A917"/>
      <c r="B917"/>
      <c r="C917"/>
      <c r="D917"/>
      <c r="E917"/>
      <c r="F917"/>
      <c r="G917"/>
      <c r="H917"/>
      <c r="I917"/>
      <c r="J917"/>
      <c r="K917"/>
      <c r="L917"/>
      <c r="M917"/>
      <c r="N917"/>
      <c r="O917"/>
      <c r="P917"/>
      <c r="Q917"/>
      <c r="R917"/>
      <c r="S917"/>
      <c r="T917"/>
      <c r="U917"/>
      <c r="V917"/>
      <c r="W917"/>
    </row>
    <row r="918" spans="1:23" x14ac:dyDescent="0.4">
      <c r="A918"/>
      <c r="B918"/>
      <c r="C918"/>
      <c r="D918"/>
      <c r="E918"/>
      <c r="F918"/>
      <c r="G918"/>
      <c r="H918"/>
      <c r="I918"/>
      <c r="J918"/>
      <c r="K918"/>
      <c r="L918"/>
      <c r="M918"/>
      <c r="N918"/>
      <c r="O918"/>
      <c r="P918"/>
      <c r="Q918"/>
      <c r="R918"/>
      <c r="S918"/>
      <c r="T918"/>
      <c r="U918"/>
      <c r="V918"/>
      <c r="W918"/>
    </row>
    <row r="919" spans="1:23" x14ac:dyDescent="0.4">
      <c r="A919"/>
      <c r="B919"/>
      <c r="C919"/>
      <c r="D919"/>
      <c r="E919"/>
      <c r="F919"/>
      <c r="G919"/>
      <c r="H919"/>
      <c r="I919"/>
      <c r="J919"/>
      <c r="K919"/>
      <c r="L919"/>
      <c r="M919"/>
      <c r="N919"/>
      <c r="O919"/>
      <c r="P919"/>
      <c r="Q919"/>
      <c r="R919"/>
      <c r="S919"/>
      <c r="T919"/>
      <c r="U919"/>
      <c r="V919"/>
      <c r="W919"/>
    </row>
    <row r="920" spans="1:23" x14ac:dyDescent="0.4">
      <c r="A920"/>
      <c r="B920"/>
      <c r="C920"/>
      <c r="D920"/>
      <c r="E920"/>
      <c r="F920"/>
      <c r="G920"/>
      <c r="H920"/>
      <c r="I920"/>
      <c r="J920"/>
      <c r="K920"/>
      <c r="L920"/>
      <c r="M920"/>
      <c r="N920"/>
      <c r="O920"/>
      <c r="P920"/>
      <c r="Q920"/>
      <c r="R920"/>
      <c r="S920"/>
      <c r="T920"/>
      <c r="U920"/>
      <c r="V920"/>
      <c r="W920"/>
    </row>
    <row r="921" spans="1:23" x14ac:dyDescent="0.4">
      <c r="A921"/>
      <c r="B921"/>
      <c r="C921"/>
      <c r="D921"/>
      <c r="E921"/>
      <c r="F921"/>
      <c r="G921"/>
      <c r="H921"/>
      <c r="I921"/>
      <c r="J921"/>
      <c r="K921"/>
      <c r="L921"/>
      <c r="M921"/>
      <c r="N921"/>
      <c r="O921"/>
      <c r="P921"/>
      <c r="Q921"/>
      <c r="R921"/>
      <c r="S921"/>
      <c r="T921"/>
      <c r="U921"/>
      <c r="V921"/>
      <c r="W921"/>
    </row>
    <row r="922" spans="1:23" x14ac:dyDescent="0.4">
      <c r="A922"/>
      <c r="B922"/>
      <c r="C922"/>
      <c r="D922"/>
      <c r="E922"/>
      <c r="F922"/>
      <c r="G922"/>
      <c r="H922"/>
      <c r="I922"/>
      <c r="J922"/>
      <c r="K922"/>
      <c r="L922"/>
      <c r="M922"/>
      <c r="N922"/>
      <c r="O922"/>
      <c r="P922"/>
      <c r="Q922"/>
      <c r="R922"/>
      <c r="S922"/>
      <c r="T922"/>
      <c r="U922"/>
      <c r="V922"/>
      <c r="W922"/>
    </row>
    <row r="923" spans="1:23" x14ac:dyDescent="0.4">
      <c r="A923"/>
      <c r="B923"/>
      <c r="C923"/>
      <c r="D923"/>
      <c r="E923"/>
      <c r="F923"/>
      <c r="G923"/>
      <c r="H923"/>
      <c r="I923"/>
      <c r="J923"/>
      <c r="K923"/>
      <c r="L923"/>
      <c r="M923"/>
      <c r="N923"/>
      <c r="O923"/>
      <c r="P923"/>
      <c r="Q923"/>
      <c r="R923"/>
      <c r="S923"/>
      <c r="T923"/>
      <c r="U923"/>
      <c r="V923"/>
      <c r="W923"/>
    </row>
    <row r="924" spans="1:23" x14ac:dyDescent="0.4">
      <c r="A924"/>
      <c r="B924"/>
      <c r="C924"/>
      <c r="D924"/>
      <c r="E924"/>
      <c r="F924"/>
      <c r="G924"/>
      <c r="H924"/>
      <c r="I924"/>
      <c r="J924"/>
      <c r="K924"/>
      <c r="L924"/>
      <c r="M924"/>
      <c r="N924"/>
      <c r="O924"/>
      <c r="P924"/>
      <c r="Q924"/>
      <c r="R924"/>
      <c r="S924"/>
      <c r="T924"/>
      <c r="U924"/>
      <c r="V924"/>
      <c r="W924"/>
    </row>
    <row r="925" spans="1:23" x14ac:dyDescent="0.4">
      <c r="A925"/>
      <c r="B925"/>
      <c r="C925"/>
      <c r="D925"/>
      <c r="E925"/>
      <c r="F925"/>
      <c r="G925"/>
      <c r="H925"/>
      <c r="I925"/>
      <c r="J925"/>
      <c r="K925"/>
      <c r="L925"/>
      <c r="M925"/>
      <c r="N925"/>
      <c r="O925"/>
      <c r="P925"/>
      <c r="Q925"/>
      <c r="R925"/>
      <c r="S925"/>
      <c r="T925"/>
      <c r="U925"/>
      <c r="V925"/>
      <c r="W925"/>
    </row>
    <row r="926" spans="1:23" x14ac:dyDescent="0.4">
      <c r="A926"/>
      <c r="B926"/>
      <c r="C926"/>
      <c r="D926"/>
      <c r="E926"/>
      <c r="F926"/>
      <c r="G926"/>
      <c r="H926"/>
      <c r="I926"/>
      <c r="J926"/>
      <c r="K926"/>
      <c r="L926"/>
      <c r="M926"/>
      <c r="N926"/>
      <c r="O926"/>
      <c r="P926"/>
      <c r="Q926"/>
      <c r="R926"/>
      <c r="S926"/>
      <c r="T926"/>
      <c r="U926"/>
      <c r="V926"/>
      <c r="W926"/>
    </row>
    <row r="927" spans="1:23" x14ac:dyDescent="0.4">
      <c r="A927"/>
      <c r="B927"/>
      <c r="C927"/>
      <c r="D927"/>
      <c r="E927"/>
      <c r="F927"/>
      <c r="G927"/>
      <c r="H927"/>
      <c r="I927"/>
      <c r="J927"/>
      <c r="K927"/>
      <c r="L927"/>
      <c r="M927"/>
      <c r="N927"/>
      <c r="O927"/>
      <c r="P927"/>
      <c r="Q927"/>
      <c r="R927"/>
      <c r="S927"/>
      <c r="T927"/>
      <c r="U927"/>
      <c r="V927"/>
      <c r="W927"/>
    </row>
    <row r="928" spans="1:23" x14ac:dyDescent="0.4">
      <c r="A928"/>
      <c r="B928"/>
      <c r="C928"/>
      <c r="D928"/>
      <c r="E928"/>
      <c r="F928"/>
      <c r="G928"/>
      <c r="H928"/>
      <c r="I928"/>
      <c r="J928"/>
      <c r="K928"/>
      <c r="L928"/>
      <c r="M928"/>
      <c r="N928"/>
      <c r="O928"/>
      <c r="P928"/>
      <c r="Q928"/>
      <c r="R928"/>
      <c r="S928"/>
      <c r="T928"/>
      <c r="U928"/>
      <c r="V928"/>
      <c r="W928"/>
    </row>
    <row r="929" spans="1:23" x14ac:dyDescent="0.4">
      <c r="A929"/>
      <c r="B929"/>
      <c r="C929"/>
      <c r="D929"/>
      <c r="E929"/>
      <c r="F929"/>
      <c r="G929"/>
      <c r="H929"/>
      <c r="I929"/>
      <c r="J929"/>
      <c r="K929"/>
      <c r="L929"/>
      <c r="M929"/>
      <c r="N929"/>
      <c r="O929"/>
      <c r="P929"/>
      <c r="Q929"/>
      <c r="R929"/>
      <c r="S929"/>
      <c r="T929"/>
      <c r="U929"/>
      <c r="V929"/>
      <c r="W929"/>
    </row>
    <row r="930" spans="1:23" x14ac:dyDescent="0.4">
      <c r="A930"/>
      <c r="B930"/>
      <c r="C930"/>
      <c r="D930"/>
      <c r="E930"/>
      <c r="F930"/>
      <c r="G930"/>
      <c r="H930"/>
      <c r="I930"/>
      <c r="J930"/>
      <c r="K930"/>
      <c r="L930"/>
      <c r="M930"/>
      <c r="N930"/>
      <c r="O930"/>
      <c r="P930"/>
      <c r="Q930"/>
      <c r="R930"/>
      <c r="S930"/>
      <c r="T930"/>
      <c r="U930"/>
      <c r="V930"/>
      <c r="W930"/>
    </row>
    <row r="931" spans="1:23" x14ac:dyDescent="0.4">
      <c r="A931"/>
      <c r="B931"/>
      <c r="C931"/>
      <c r="D931"/>
      <c r="E931"/>
      <c r="F931"/>
      <c r="G931"/>
      <c r="H931"/>
      <c r="I931"/>
      <c r="J931"/>
      <c r="K931"/>
      <c r="L931"/>
      <c r="M931"/>
      <c r="N931"/>
      <c r="O931"/>
      <c r="P931"/>
      <c r="Q931"/>
      <c r="R931"/>
      <c r="S931"/>
      <c r="T931"/>
      <c r="U931"/>
      <c r="V931"/>
      <c r="W931"/>
    </row>
    <row r="932" spans="1:23" x14ac:dyDescent="0.4">
      <c r="A932"/>
      <c r="B932"/>
      <c r="C932"/>
      <c r="D932"/>
      <c r="E932"/>
      <c r="F932"/>
      <c r="G932"/>
      <c r="H932"/>
      <c r="I932"/>
      <c r="J932"/>
      <c r="K932"/>
      <c r="L932"/>
      <c r="M932"/>
      <c r="N932"/>
      <c r="O932"/>
      <c r="P932"/>
      <c r="Q932"/>
      <c r="R932"/>
      <c r="S932"/>
      <c r="T932"/>
      <c r="U932"/>
      <c r="V932"/>
      <c r="W932"/>
    </row>
    <row r="933" spans="1:23" x14ac:dyDescent="0.4">
      <c r="A933"/>
      <c r="B933"/>
      <c r="C933"/>
      <c r="D933"/>
      <c r="E933"/>
      <c r="F933"/>
      <c r="G933"/>
      <c r="H933"/>
      <c r="I933"/>
      <c r="J933"/>
      <c r="K933"/>
      <c r="L933"/>
      <c r="M933"/>
      <c r="N933"/>
      <c r="O933"/>
      <c r="P933"/>
      <c r="Q933"/>
      <c r="R933"/>
      <c r="S933"/>
      <c r="T933"/>
      <c r="U933"/>
      <c r="V933"/>
      <c r="W933"/>
    </row>
    <row r="934" spans="1:23" x14ac:dyDescent="0.4">
      <c r="A934"/>
      <c r="B934"/>
      <c r="C934"/>
      <c r="D934"/>
      <c r="E934"/>
      <c r="F934"/>
      <c r="G934"/>
      <c r="H934"/>
      <c r="I934"/>
      <c r="J934"/>
      <c r="K934"/>
      <c r="L934"/>
      <c r="M934"/>
      <c r="N934"/>
      <c r="O934"/>
      <c r="P934"/>
      <c r="Q934"/>
      <c r="R934"/>
      <c r="S934"/>
      <c r="T934"/>
      <c r="U934"/>
      <c r="V934"/>
      <c r="W934"/>
    </row>
    <row r="935" spans="1:23" x14ac:dyDescent="0.4">
      <c r="A935"/>
      <c r="B935"/>
      <c r="C935"/>
      <c r="D935"/>
      <c r="E935"/>
      <c r="F935"/>
      <c r="G935"/>
      <c r="H935"/>
      <c r="I935"/>
      <c r="J935"/>
      <c r="K935"/>
      <c r="L935"/>
      <c r="M935"/>
      <c r="N935"/>
      <c r="O935"/>
      <c r="P935"/>
      <c r="Q935"/>
      <c r="R935"/>
      <c r="S935"/>
      <c r="T935"/>
      <c r="U935"/>
      <c r="V935"/>
      <c r="W935"/>
    </row>
    <row r="936" spans="1:23" x14ac:dyDescent="0.4">
      <c r="A936"/>
      <c r="B936"/>
      <c r="C936"/>
      <c r="D936"/>
      <c r="E936"/>
      <c r="F936"/>
      <c r="G936"/>
      <c r="H936"/>
      <c r="I936"/>
      <c r="J936"/>
      <c r="K936"/>
      <c r="L936"/>
      <c r="M936"/>
      <c r="N936"/>
      <c r="O936"/>
      <c r="P936"/>
      <c r="Q936"/>
      <c r="R936"/>
      <c r="S936"/>
      <c r="T936"/>
      <c r="U936"/>
      <c r="V936"/>
      <c r="W936"/>
    </row>
    <row r="937" spans="1:23" x14ac:dyDescent="0.4">
      <c r="A937"/>
      <c r="B937"/>
      <c r="C937"/>
      <c r="D937"/>
      <c r="E937"/>
      <c r="F937"/>
      <c r="G937"/>
      <c r="H937"/>
      <c r="I937"/>
      <c r="J937"/>
      <c r="K937"/>
      <c r="L937"/>
      <c r="M937"/>
      <c r="N937"/>
      <c r="O937"/>
      <c r="P937"/>
      <c r="Q937"/>
      <c r="R937"/>
      <c r="S937"/>
      <c r="T937"/>
      <c r="U937"/>
      <c r="V937"/>
      <c r="W937"/>
    </row>
    <row r="938" spans="1:23" x14ac:dyDescent="0.4">
      <c r="A938"/>
      <c r="B938"/>
      <c r="C938"/>
      <c r="D938"/>
      <c r="E938"/>
      <c r="F938"/>
      <c r="G938"/>
      <c r="H938"/>
      <c r="I938"/>
      <c r="J938"/>
      <c r="K938"/>
      <c r="L938"/>
      <c r="M938"/>
      <c r="N938"/>
      <c r="O938"/>
      <c r="P938"/>
      <c r="Q938"/>
      <c r="R938"/>
      <c r="S938"/>
      <c r="T938"/>
      <c r="U938"/>
      <c r="V938"/>
      <c r="W938"/>
    </row>
    <row r="939" spans="1:23" x14ac:dyDescent="0.4">
      <c r="A939"/>
      <c r="B939"/>
      <c r="C939"/>
      <c r="D939"/>
      <c r="E939"/>
      <c r="F939"/>
      <c r="G939"/>
      <c r="H939"/>
      <c r="I939"/>
      <c r="J939"/>
      <c r="K939"/>
      <c r="L939"/>
      <c r="M939"/>
      <c r="N939"/>
      <c r="O939"/>
      <c r="P939"/>
      <c r="Q939"/>
      <c r="R939"/>
      <c r="S939"/>
      <c r="T939"/>
      <c r="U939"/>
      <c r="V939"/>
      <c r="W939"/>
    </row>
    <row r="940" spans="1:23" x14ac:dyDescent="0.4">
      <c r="A940"/>
      <c r="B940"/>
      <c r="C940"/>
      <c r="D940"/>
      <c r="E940"/>
      <c r="F940"/>
      <c r="G940"/>
      <c r="H940"/>
      <c r="I940"/>
      <c r="J940"/>
      <c r="K940"/>
      <c r="L940"/>
      <c r="M940"/>
      <c r="N940"/>
      <c r="O940"/>
      <c r="P940"/>
      <c r="Q940"/>
      <c r="R940"/>
      <c r="S940"/>
      <c r="T940"/>
      <c r="U940"/>
      <c r="V940"/>
      <c r="W940"/>
    </row>
    <row r="941" spans="1:23" x14ac:dyDescent="0.4">
      <c r="A941"/>
      <c r="B941"/>
      <c r="C941"/>
      <c r="D941"/>
      <c r="E941"/>
      <c r="F941"/>
      <c r="G941"/>
      <c r="H941"/>
      <c r="I941"/>
      <c r="J941"/>
      <c r="K941"/>
      <c r="L941"/>
      <c r="M941"/>
      <c r="N941"/>
      <c r="O941"/>
      <c r="P941"/>
      <c r="Q941"/>
      <c r="R941"/>
      <c r="S941"/>
      <c r="T941"/>
      <c r="U941"/>
      <c r="V941"/>
      <c r="W941"/>
    </row>
    <row r="942" spans="1:23" x14ac:dyDescent="0.4">
      <c r="A942"/>
      <c r="B942"/>
      <c r="C942"/>
      <c r="D942"/>
      <c r="E942"/>
      <c r="F942"/>
      <c r="G942"/>
      <c r="H942"/>
      <c r="I942"/>
      <c r="J942"/>
      <c r="K942"/>
      <c r="L942"/>
      <c r="M942"/>
      <c r="N942"/>
      <c r="O942"/>
      <c r="P942"/>
      <c r="Q942"/>
      <c r="R942"/>
      <c r="S942"/>
      <c r="T942"/>
      <c r="U942"/>
      <c r="V942"/>
      <c r="W942"/>
    </row>
    <row r="943" spans="1:23" x14ac:dyDescent="0.4">
      <c r="A943"/>
      <c r="B943"/>
      <c r="C943"/>
      <c r="D943"/>
      <c r="E943"/>
      <c r="F943"/>
      <c r="G943"/>
      <c r="H943"/>
      <c r="I943"/>
      <c r="J943"/>
      <c r="K943"/>
      <c r="L943"/>
      <c r="M943"/>
      <c r="N943"/>
      <c r="O943"/>
      <c r="P943"/>
      <c r="Q943"/>
      <c r="R943"/>
      <c r="S943"/>
      <c r="T943"/>
      <c r="U943"/>
      <c r="V943"/>
      <c r="W943"/>
    </row>
    <row r="944" spans="1:23" x14ac:dyDescent="0.4">
      <c r="A944"/>
      <c r="B944"/>
      <c r="C944"/>
      <c r="D944"/>
      <c r="E944"/>
      <c r="F944"/>
      <c r="G944"/>
      <c r="H944"/>
      <c r="I944"/>
      <c r="J944"/>
      <c r="K944"/>
      <c r="L944"/>
      <c r="M944"/>
      <c r="N944"/>
      <c r="O944"/>
      <c r="P944"/>
      <c r="Q944"/>
      <c r="R944"/>
      <c r="S944"/>
      <c r="T944"/>
      <c r="U944"/>
      <c r="V944"/>
      <c r="W944"/>
    </row>
    <row r="945" spans="1:23" x14ac:dyDescent="0.4">
      <c r="A945"/>
      <c r="B945"/>
      <c r="C945"/>
      <c r="D945"/>
      <c r="E945"/>
      <c r="F945"/>
      <c r="G945"/>
      <c r="H945"/>
      <c r="I945"/>
      <c r="J945"/>
      <c r="K945"/>
      <c r="L945"/>
      <c r="M945"/>
      <c r="N945"/>
      <c r="O945"/>
      <c r="P945"/>
      <c r="Q945"/>
      <c r="R945"/>
      <c r="S945"/>
      <c r="T945"/>
      <c r="U945"/>
      <c r="V945"/>
      <c r="W945"/>
    </row>
    <row r="946" spans="1:23" x14ac:dyDescent="0.4">
      <c r="A946"/>
      <c r="B946"/>
      <c r="C946"/>
      <c r="D946"/>
      <c r="E946"/>
      <c r="F946"/>
      <c r="G946"/>
      <c r="H946"/>
      <c r="I946"/>
      <c r="J946"/>
      <c r="K946"/>
      <c r="L946"/>
      <c r="M946"/>
      <c r="N946"/>
      <c r="O946"/>
      <c r="P946"/>
      <c r="Q946"/>
      <c r="R946"/>
      <c r="S946"/>
      <c r="T946"/>
      <c r="U946"/>
      <c r="V946"/>
      <c r="W946"/>
    </row>
    <row r="947" spans="1:23" x14ac:dyDescent="0.4">
      <c r="A947"/>
      <c r="B947"/>
      <c r="C947"/>
      <c r="D947"/>
      <c r="E947"/>
      <c r="F947"/>
      <c r="G947"/>
      <c r="H947"/>
      <c r="I947"/>
      <c r="J947"/>
      <c r="K947"/>
      <c r="L947"/>
      <c r="M947"/>
      <c r="N947"/>
      <c r="O947"/>
      <c r="P947"/>
      <c r="Q947"/>
      <c r="R947"/>
      <c r="S947"/>
      <c r="T947"/>
      <c r="U947"/>
      <c r="V947"/>
      <c r="W947"/>
    </row>
    <row r="948" spans="1:23" x14ac:dyDescent="0.4">
      <c r="A948"/>
      <c r="B948"/>
      <c r="C948"/>
      <c r="D948"/>
      <c r="E948"/>
      <c r="F948"/>
      <c r="G948"/>
      <c r="H948"/>
      <c r="I948"/>
      <c r="J948"/>
      <c r="K948"/>
      <c r="L948"/>
      <c r="M948"/>
      <c r="N948"/>
      <c r="O948"/>
      <c r="P948"/>
      <c r="Q948"/>
      <c r="R948"/>
      <c r="S948"/>
      <c r="T948"/>
      <c r="U948"/>
      <c r="V948"/>
      <c r="W948"/>
    </row>
    <row r="949" spans="1:23" x14ac:dyDescent="0.4">
      <c r="A949"/>
      <c r="B949"/>
      <c r="C949"/>
      <c r="D949"/>
      <c r="E949"/>
      <c r="F949"/>
      <c r="G949"/>
      <c r="H949"/>
      <c r="I949"/>
      <c r="J949"/>
      <c r="K949"/>
      <c r="L949"/>
      <c r="M949"/>
      <c r="N949"/>
      <c r="O949"/>
      <c r="P949"/>
      <c r="Q949"/>
      <c r="R949"/>
      <c r="S949"/>
      <c r="T949"/>
      <c r="U949"/>
      <c r="V949"/>
      <c r="W949"/>
    </row>
    <row r="950" spans="1:23" x14ac:dyDescent="0.4">
      <c r="A950"/>
      <c r="B950"/>
      <c r="C950"/>
      <c r="D950"/>
      <c r="E950"/>
      <c r="F950"/>
      <c r="G950"/>
      <c r="H950"/>
      <c r="I950"/>
      <c r="J950"/>
      <c r="K950"/>
      <c r="L950"/>
      <c r="M950"/>
      <c r="N950"/>
      <c r="O950"/>
      <c r="P950"/>
      <c r="Q950"/>
      <c r="R950"/>
      <c r="S950"/>
      <c r="T950"/>
      <c r="U950"/>
      <c r="V950"/>
      <c r="W950"/>
    </row>
    <row r="951" spans="1:23" x14ac:dyDescent="0.4">
      <c r="A951"/>
      <c r="B951"/>
      <c r="C951"/>
      <c r="D951"/>
      <c r="E951"/>
      <c r="F951"/>
      <c r="G951"/>
      <c r="H951"/>
      <c r="I951"/>
      <c r="J951"/>
      <c r="K951"/>
      <c r="L951"/>
      <c r="M951"/>
      <c r="N951"/>
      <c r="O951"/>
      <c r="P951"/>
      <c r="Q951"/>
      <c r="R951"/>
      <c r="S951"/>
      <c r="T951"/>
      <c r="U951"/>
      <c r="V951"/>
      <c r="W951"/>
    </row>
    <row r="952" spans="1:23" x14ac:dyDescent="0.4">
      <c r="A952"/>
      <c r="B952"/>
      <c r="C952"/>
      <c r="D952"/>
      <c r="E952"/>
      <c r="F952"/>
      <c r="G952"/>
      <c r="H952"/>
      <c r="I952"/>
      <c r="J952"/>
      <c r="K952"/>
      <c r="L952"/>
      <c r="M952"/>
      <c r="N952"/>
      <c r="O952"/>
      <c r="P952"/>
      <c r="Q952"/>
      <c r="R952"/>
      <c r="S952"/>
      <c r="T952"/>
      <c r="U952"/>
      <c r="V952"/>
      <c r="W952"/>
    </row>
    <row r="953" spans="1:23" x14ac:dyDescent="0.4">
      <c r="A953"/>
      <c r="B953"/>
      <c r="C953"/>
      <c r="D953"/>
      <c r="E953"/>
      <c r="F953"/>
      <c r="G953"/>
      <c r="H953"/>
      <c r="I953"/>
      <c r="J953"/>
      <c r="K953"/>
      <c r="L953"/>
      <c r="M953"/>
      <c r="N953"/>
      <c r="O953"/>
      <c r="P953"/>
      <c r="Q953"/>
      <c r="R953"/>
      <c r="S953"/>
      <c r="T953"/>
      <c r="U953"/>
      <c r="V953"/>
      <c r="W953"/>
    </row>
    <row r="954" spans="1:23" x14ac:dyDescent="0.4">
      <c r="A954"/>
      <c r="B954"/>
      <c r="C954"/>
      <c r="D954"/>
      <c r="E954"/>
      <c r="F954"/>
      <c r="G954"/>
      <c r="H954"/>
      <c r="I954"/>
      <c r="J954"/>
      <c r="K954"/>
      <c r="L954"/>
      <c r="M954"/>
      <c r="N954"/>
      <c r="O954"/>
      <c r="P954"/>
      <c r="Q954"/>
      <c r="R954"/>
      <c r="S954"/>
      <c r="T954"/>
      <c r="U954"/>
      <c r="V954"/>
      <c r="W954"/>
    </row>
    <row r="955" spans="1:23" x14ac:dyDescent="0.4">
      <c r="A955"/>
      <c r="B955"/>
      <c r="C955"/>
      <c r="D955"/>
      <c r="E955"/>
      <c r="F955"/>
      <c r="G955"/>
      <c r="H955"/>
      <c r="I955"/>
      <c r="J955"/>
      <c r="K955"/>
      <c r="L955"/>
      <c r="M955"/>
      <c r="N955"/>
      <c r="O955"/>
      <c r="P955"/>
      <c r="Q955"/>
      <c r="R955"/>
      <c r="S955"/>
      <c r="T955"/>
      <c r="U955"/>
      <c r="V955"/>
      <c r="W955"/>
    </row>
    <row r="956" spans="1:23" x14ac:dyDescent="0.4">
      <c r="A956"/>
      <c r="B956"/>
      <c r="C956"/>
      <c r="D956"/>
      <c r="E956"/>
      <c r="F956"/>
      <c r="G956"/>
      <c r="H956"/>
      <c r="I956"/>
      <c r="J956"/>
      <c r="K956"/>
      <c r="L956"/>
      <c r="M956"/>
      <c r="N956"/>
      <c r="O956"/>
      <c r="P956"/>
      <c r="Q956"/>
      <c r="R956"/>
      <c r="S956"/>
      <c r="T956"/>
      <c r="U956"/>
      <c r="V956"/>
      <c r="W956"/>
    </row>
    <row r="957" spans="1:23" x14ac:dyDescent="0.4">
      <c r="A957"/>
      <c r="B957"/>
      <c r="C957"/>
      <c r="D957"/>
      <c r="E957"/>
      <c r="F957"/>
      <c r="G957"/>
      <c r="H957"/>
      <c r="I957"/>
      <c r="J957"/>
      <c r="K957"/>
      <c r="L957"/>
      <c r="M957"/>
      <c r="N957"/>
      <c r="O957"/>
      <c r="P957"/>
      <c r="Q957"/>
      <c r="R957"/>
      <c r="S957"/>
      <c r="T957"/>
      <c r="U957"/>
      <c r="V957"/>
      <c r="W957"/>
    </row>
    <row r="958" spans="1:23" x14ac:dyDescent="0.4">
      <c r="A958"/>
      <c r="B958"/>
      <c r="C958"/>
      <c r="D958"/>
      <c r="E958"/>
      <c r="F958"/>
      <c r="G958"/>
      <c r="H958"/>
      <c r="I958"/>
      <c r="J958"/>
      <c r="K958"/>
      <c r="L958"/>
      <c r="M958"/>
      <c r="N958"/>
      <c r="O958"/>
      <c r="P958"/>
      <c r="Q958"/>
      <c r="R958"/>
      <c r="S958"/>
      <c r="T958"/>
      <c r="U958"/>
      <c r="V958"/>
      <c r="W958"/>
    </row>
    <row r="959" spans="1:23" x14ac:dyDescent="0.4">
      <c r="A959"/>
      <c r="B959"/>
      <c r="C959"/>
      <c r="D959"/>
      <c r="E959"/>
      <c r="F959"/>
      <c r="G959"/>
      <c r="H959"/>
      <c r="I959"/>
      <c r="J959"/>
      <c r="K959"/>
      <c r="L959"/>
      <c r="M959"/>
      <c r="N959"/>
      <c r="O959"/>
      <c r="P959"/>
      <c r="Q959"/>
      <c r="R959"/>
      <c r="S959"/>
      <c r="T959"/>
      <c r="U959"/>
      <c r="V959"/>
      <c r="W959"/>
    </row>
    <row r="960" spans="1:23" x14ac:dyDescent="0.4">
      <c r="A960"/>
      <c r="B960"/>
      <c r="C960"/>
      <c r="D960"/>
      <c r="E960"/>
      <c r="F960"/>
      <c r="G960"/>
      <c r="H960"/>
      <c r="I960"/>
      <c r="J960"/>
      <c r="K960"/>
      <c r="L960"/>
      <c r="M960"/>
      <c r="N960"/>
      <c r="O960"/>
      <c r="P960"/>
      <c r="Q960"/>
      <c r="R960"/>
      <c r="S960"/>
      <c r="T960"/>
      <c r="U960"/>
      <c r="V960"/>
      <c r="W960"/>
    </row>
    <row r="961" spans="1:23" x14ac:dyDescent="0.4">
      <c r="A961"/>
      <c r="B961"/>
      <c r="C961"/>
      <c r="D961"/>
      <c r="E961"/>
      <c r="F961"/>
      <c r="G961"/>
      <c r="H961"/>
      <c r="I961"/>
      <c r="J961"/>
      <c r="K961"/>
      <c r="L961"/>
      <c r="M961"/>
      <c r="N961"/>
      <c r="O961"/>
      <c r="P961"/>
      <c r="Q961"/>
      <c r="R961"/>
      <c r="S961"/>
      <c r="T961"/>
      <c r="U961"/>
      <c r="V961"/>
      <c r="W961"/>
    </row>
    <row r="962" spans="1:23" x14ac:dyDescent="0.4">
      <c r="A962"/>
      <c r="B962"/>
      <c r="C962"/>
      <c r="D962"/>
      <c r="E962"/>
      <c r="F962"/>
      <c r="G962"/>
      <c r="H962"/>
      <c r="I962"/>
      <c r="J962"/>
      <c r="K962"/>
      <c r="L962"/>
      <c r="M962"/>
      <c r="N962"/>
      <c r="O962"/>
      <c r="P962"/>
      <c r="Q962"/>
      <c r="R962"/>
      <c r="S962"/>
      <c r="T962"/>
      <c r="U962"/>
      <c r="V962"/>
      <c r="W962"/>
    </row>
    <row r="963" spans="1:23" x14ac:dyDescent="0.4">
      <c r="A963"/>
      <c r="B963"/>
      <c r="C963"/>
      <c r="D963"/>
      <c r="E963"/>
      <c r="F963"/>
      <c r="G963"/>
      <c r="H963"/>
      <c r="I963"/>
      <c r="J963"/>
      <c r="K963"/>
      <c r="L963"/>
      <c r="M963"/>
      <c r="N963"/>
      <c r="O963"/>
      <c r="P963"/>
      <c r="Q963"/>
      <c r="R963"/>
      <c r="S963"/>
      <c r="T963"/>
      <c r="U963"/>
      <c r="V963"/>
      <c r="W963"/>
    </row>
    <row r="964" spans="1:23" x14ac:dyDescent="0.4">
      <c r="A964"/>
      <c r="B964"/>
      <c r="C964"/>
      <c r="D964"/>
      <c r="E964"/>
      <c r="F964"/>
      <c r="G964"/>
      <c r="H964"/>
      <c r="I964"/>
      <c r="J964"/>
      <c r="K964"/>
      <c r="L964"/>
      <c r="M964"/>
      <c r="N964"/>
      <c r="O964"/>
      <c r="P964"/>
      <c r="Q964"/>
      <c r="R964"/>
      <c r="S964"/>
      <c r="T964"/>
      <c r="U964"/>
      <c r="V964"/>
      <c r="W964"/>
    </row>
    <row r="965" spans="1:23" x14ac:dyDescent="0.4">
      <c r="A965"/>
      <c r="B965"/>
      <c r="C965"/>
      <c r="D965"/>
      <c r="E965"/>
      <c r="F965"/>
      <c r="G965"/>
      <c r="H965"/>
      <c r="I965"/>
      <c r="J965"/>
      <c r="K965"/>
      <c r="L965"/>
      <c r="M965"/>
      <c r="N965"/>
      <c r="O965"/>
      <c r="P965"/>
      <c r="Q965"/>
      <c r="R965"/>
      <c r="S965"/>
      <c r="T965"/>
      <c r="U965"/>
      <c r="V965"/>
      <c r="W965"/>
    </row>
    <row r="966" spans="1:23" x14ac:dyDescent="0.4">
      <c r="A966"/>
      <c r="B966"/>
      <c r="C966"/>
      <c r="D966"/>
      <c r="E966"/>
      <c r="F966"/>
      <c r="G966"/>
      <c r="H966"/>
      <c r="I966"/>
      <c r="J966"/>
      <c r="K966"/>
      <c r="L966"/>
      <c r="M966"/>
      <c r="N966"/>
      <c r="O966"/>
      <c r="P966"/>
      <c r="Q966"/>
      <c r="R966"/>
      <c r="S966"/>
      <c r="T966"/>
      <c r="U966"/>
      <c r="V966"/>
      <c r="W966"/>
    </row>
    <row r="967" spans="1:23" x14ac:dyDescent="0.4">
      <c r="A967"/>
      <c r="B967"/>
      <c r="C967"/>
      <c r="D967"/>
      <c r="E967"/>
      <c r="F967"/>
      <c r="G967"/>
      <c r="H967"/>
      <c r="I967"/>
      <c r="J967"/>
      <c r="K967"/>
      <c r="L967"/>
      <c r="M967"/>
      <c r="N967"/>
      <c r="O967"/>
      <c r="P967"/>
      <c r="Q967"/>
      <c r="R967"/>
      <c r="S967"/>
      <c r="T967"/>
      <c r="U967"/>
      <c r="V967"/>
      <c r="W967"/>
    </row>
    <row r="968" spans="1:23" x14ac:dyDescent="0.4">
      <c r="A968"/>
      <c r="B968"/>
      <c r="C968"/>
      <c r="D968"/>
      <c r="E968"/>
      <c r="F968"/>
      <c r="G968"/>
      <c r="H968"/>
      <c r="I968"/>
      <c r="J968"/>
      <c r="K968"/>
      <c r="L968"/>
      <c r="M968"/>
      <c r="N968"/>
      <c r="O968"/>
      <c r="P968"/>
      <c r="Q968"/>
      <c r="R968"/>
      <c r="S968"/>
      <c r="T968"/>
      <c r="U968"/>
      <c r="V968"/>
      <c r="W968"/>
    </row>
    <row r="969" spans="1:23" x14ac:dyDescent="0.4">
      <c r="A969"/>
      <c r="B969"/>
      <c r="C969"/>
      <c r="D969"/>
      <c r="E969"/>
      <c r="F969"/>
      <c r="G969"/>
      <c r="H969"/>
      <c r="I969"/>
      <c r="J969"/>
      <c r="K969"/>
      <c r="L969"/>
      <c r="M969"/>
      <c r="N969"/>
      <c r="O969"/>
      <c r="P969"/>
      <c r="Q969"/>
      <c r="R969"/>
      <c r="S969"/>
      <c r="T969"/>
      <c r="U969"/>
      <c r="V969"/>
      <c r="W969"/>
    </row>
    <row r="970" spans="1:23" x14ac:dyDescent="0.4">
      <c r="A970"/>
      <c r="B970"/>
      <c r="C970"/>
      <c r="D970"/>
      <c r="E970"/>
      <c r="F970"/>
      <c r="G970"/>
      <c r="H970"/>
      <c r="I970"/>
      <c r="J970"/>
      <c r="K970"/>
      <c r="L970"/>
      <c r="M970"/>
      <c r="N970"/>
      <c r="O970"/>
      <c r="P970"/>
      <c r="Q970"/>
      <c r="R970"/>
      <c r="S970"/>
      <c r="T970"/>
      <c r="U970"/>
      <c r="V970"/>
      <c r="W970"/>
    </row>
    <row r="971" spans="1:23" x14ac:dyDescent="0.4">
      <c r="A971"/>
      <c r="B971"/>
      <c r="C971"/>
      <c r="D971"/>
      <c r="E971"/>
      <c r="F971"/>
      <c r="G971"/>
      <c r="H971"/>
      <c r="I971"/>
      <c r="J971"/>
      <c r="K971"/>
      <c r="L971"/>
      <c r="M971"/>
      <c r="N971"/>
      <c r="O971"/>
      <c r="P971"/>
      <c r="Q971"/>
      <c r="R971"/>
      <c r="S971"/>
      <c r="T971"/>
      <c r="U971"/>
      <c r="V971"/>
      <c r="W971"/>
    </row>
    <row r="972" spans="1:23" x14ac:dyDescent="0.4">
      <c r="A972"/>
      <c r="B972"/>
      <c r="C972"/>
      <c r="D972"/>
      <c r="E972"/>
      <c r="F972"/>
      <c r="G972"/>
      <c r="H972"/>
      <c r="I972"/>
      <c r="J972"/>
      <c r="K972"/>
      <c r="L972"/>
      <c r="M972"/>
      <c r="N972"/>
      <c r="O972"/>
      <c r="P972"/>
      <c r="Q972"/>
      <c r="R972"/>
      <c r="S972"/>
      <c r="T972"/>
      <c r="U972"/>
      <c r="V972"/>
      <c r="W972"/>
    </row>
    <row r="973" spans="1:23" x14ac:dyDescent="0.4">
      <c r="A973"/>
      <c r="B973"/>
      <c r="C973"/>
      <c r="D973"/>
      <c r="E973"/>
      <c r="F973"/>
      <c r="G973"/>
      <c r="H973"/>
      <c r="I973"/>
      <c r="J973"/>
      <c r="K973"/>
      <c r="L973"/>
      <c r="M973"/>
      <c r="N973"/>
      <c r="O973"/>
      <c r="P973"/>
      <c r="Q973"/>
      <c r="R973"/>
      <c r="S973"/>
      <c r="T973"/>
      <c r="U973"/>
      <c r="V973"/>
      <c r="W973"/>
    </row>
    <row r="974" spans="1:23" x14ac:dyDescent="0.4">
      <c r="A974"/>
      <c r="B974"/>
      <c r="C974"/>
      <c r="D974"/>
      <c r="E974"/>
      <c r="F974"/>
      <c r="G974"/>
      <c r="H974"/>
      <c r="I974"/>
      <c r="J974"/>
      <c r="K974"/>
      <c r="L974"/>
      <c r="M974"/>
      <c r="N974"/>
      <c r="O974"/>
      <c r="P974"/>
      <c r="Q974"/>
      <c r="R974"/>
      <c r="S974"/>
      <c r="T974"/>
      <c r="U974"/>
      <c r="V974"/>
      <c r="W974"/>
    </row>
    <row r="975" spans="1:23" x14ac:dyDescent="0.4">
      <c r="A975"/>
      <c r="B975"/>
      <c r="C975"/>
      <c r="D975"/>
      <c r="E975"/>
      <c r="F975"/>
      <c r="G975"/>
      <c r="H975"/>
      <c r="I975"/>
      <c r="J975"/>
      <c r="K975"/>
      <c r="L975"/>
      <c r="M975"/>
      <c r="N975"/>
      <c r="O975"/>
      <c r="P975"/>
      <c r="Q975"/>
      <c r="R975"/>
      <c r="S975"/>
      <c r="T975"/>
      <c r="U975"/>
      <c r="V975"/>
      <c r="W975"/>
    </row>
    <row r="976" spans="1:23" x14ac:dyDescent="0.4">
      <c r="A976"/>
      <c r="B976"/>
      <c r="C976"/>
      <c r="D976"/>
      <c r="E976"/>
      <c r="F976"/>
      <c r="G976"/>
      <c r="H976"/>
      <c r="I976"/>
      <c r="J976"/>
      <c r="K976"/>
      <c r="L976"/>
      <c r="M976"/>
      <c r="N976"/>
      <c r="O976"/>
      <c r="P976"/>
      <c r="Q976"/>
      <c r="R976"/>
      <c r="S976"/>
      <c r="T976"/>
      <c r="U976"/>
      <c r="V976"/>
      <c r="W976"/>
    </row>
    <row r="977" spans="1:23" x14ac:dyDescent="0.4">
      <c r="A977"/>
      <c r="B977"/>
      <c r="C977"/>
      <c r="D977"/>
      <c r="E977"/>
      <c r="F977"/>
      <c r="G977"/>
      <c r="H977"/>
      <c r="I977"/>
      <c r="J977"/>
      <c r="K977"/>
      <c r="L977"/>
      <c r="M977"/>
      <c r="N977"/>
      <c r="O977"/>
      <c r="P977"/>
      <c r="Q977"/>
      <c r="R977"/>
      <c r="S977"/>
      <c r="T977"/>
      <c r="U977"/>
      <c r="V977"/>
      <c r="W977"/>
    </row>
    <row r="978" spans="1:23" x14ac:dyDescent="0.4">
      <c r="A978"/>
      <c r="B978"/>
      <c r="C978"/>
      <c r="D978"/>
      <c r="E978"/>
      <c r="F978"/>
      <c r="G978"/>
      <c r="H978"/>
      <c r="I978"/>
      <c r="J978"/>
      <c r="K978"/>
      <c r="L978"/>
      <c r="M978"/>
      <c r="N978"/>
      <c r="O978"/>
      <c r="P978"/>
      <c r="Q978"/>
      <c r="R978"/>
      <c r="S978"/>
      <c r="T978"/>
      <c r="U978"/>
      <c r="V978"/>
      <c r="W978"/>
    </row>
    <row r="979" spans="1:23" x14ac:dyDescent="0.4">
      <c r="A979"/>
      <c r="B979"/>
      <c r="C979"/>
      <c r="D979"/>
      <c r="E979"/>
      <c r="F979"/>
      <c r="G979"/>
      <c r="H979"/>
      <c r="I979"/>
      <c r="J979"/>
      <c r="K979"/>
      <c r="L979"/>
      <c r="M979"/>
      <c r="N979"/>
      <c r="O979"/>
      <c r="P979"/>
      <c r="Q979"/>
      <c r="R979"/>
      <c r="S979"/>
      <c r="T979"/>
      <c r="U979"/>
      <c r="V979"/>
      <c r="W979"/>
    </row>
    <row r="980" spans="1:23" x14ac:dyDescent="0.4">
      <c r="A980"/>
      <c r="B980"/>
      <c r="C980"/>
      <c r="D980"/>
      <c r="E980"/>
      <c r="F980"/>
      <c r="G980"/>
      <c r="H980"/>
      <c r="I980"/>
      <c r="J980"/>
      <c r="K980"/>
      <c r="L980"/>
      <c r="M980"/>
      <c r="N980"/>
      <c r="O980"/>
      <c r="P980"/>
      <c r="Q980"/>
      <c r="R980"/>
      <c r="S980"/>
      <c r="T980"/>
      <c r="U980"/>
      <c r="V980"/>
      <c r="W980"/>
    </row>
    <row r="981" spans="1:23" x14ac:dyDescent="0.4">
      <c r="A981"/>
      <c r="B981"/>
      <c r="C981"/>
      <c r="D981"/>
      <c r="E981"/>
      <c r="F981"/>
      <c r="G981"/>
      <c r="H981"/>
      <c r="I981"/>
      <c r="J981"/>
      <c r="K981"/>
      <c r="L981"/>
      <c r="M981"/>
      <c r="N981"/>
      <c r="O981"/>
      <c r="P981"/>
      <c r="Q981"/>
      <c r="R981"/>
      <c r="S981"/>
      <c r="T981"/>
      <c r="U981"/>
      <c r="V981"/>
      <c r="W981"/>
    </row>
    <row r="982" spans="1:23" x14ac:dyDescent="0.4">
      <c r="A982"/>
      <c r="B982"/>
      <c r="C982"/>
      <c r="D982"/>
      <c r="E982"/>
      <c r="F982"/>
      <c r="G982"/>
      <c r="H982"/>
      <c r="I982"/>
      <c r="J982"/>
      <c r="K982"/>
      <c r="L982"/>
      <c r="M982"/>
      <c r="N982"/>
      <c r="O982"/>
      <c r="P982"/>
      <c r="Q982"/>
      <c r="R982"/>
      <c r="S982"/>
      <c r="T982"/>
      <c r="U982"/>
      <c r="V982"/>
      <c r="W982"/>
    </row>
    <row r="983" spans="1:23" x14ac:dyDescent="0.4">
      <c r="A983"/>
      <c r="B983"/>
      <c r="C983"/>
      <c r="D983"/>
      <c r="E983"/>
      <c r="F983"/>
      <c r="G983"/>
      <c r="H983"/>
      <c r="I983"/>
      <c r="J983"/>
      <c r="K983"/>
      <c r="L983"/>
      <c r="M983"/>
      <c r="N983"/>
      <c r="O983"/>
      <c r="P983"/>
      <c r="Q983"/>
      <c r="R983"/>
      <c r="S983"/>
      <c r="T983"/>
      <c r="U983"/>
      <c r="V983"/>
      <c r="W983"/>
    </row>
    <row r="984" spans="1:23" x14ac:dyDescent="0.4">
      <c r="A984"/>
      <c r="B984"/>
      <c r="C984"/>
      <c r="D984"/>
      <c r="E984"/>
      <c r="F984"/>
      <c r="G984"/>
      <c r="H984"/>
      <c r="I984"/>
      <c r="J984"/>
      <c r="K984"/>
      <c r="L984"/>
      <c r="M984"/>
      <c r="N984"/>
      <c r="O984"/>
      <c r="P984"/>
      <c r="Q984"/>
      <c r="R984"/>
      <c r="S984"/>
      <c r="T984"/>
      <c r="U984"/>
      <c r="V984"/>
      <c r="W984"/>
    </row>
    <row r="985" spans="1:23" x14ac:dyDescent="0.4">
      <c r="A985"/>
      <c r="B985"/>
      <c r="C985"/>
      <c r="D985"/>
      <c r="E985"/>
      <c r="F985"/>
      <c r="G985"/>
      <c r="H985"/>
      <c r="I985"/>
      <c r="J985"/>
      <c r="K985"/>
      <c r="L985"/>
      <c r="M985"/>
      <c r="N985"/>
      <c r="O985"/>
      <c r="P985"/>
      <c r="Q985"/>
      <c r="R985"/>
      <c r="S985"/>
      <c r="T985"/>
      <c r="U985"/>
      <c r="V985"/>
      <c r="W985"/>
    </row>
    <row r="986" spans="1:23" x14ac:dyDescent="0.4">
      <c r="A986"/>
      <c r="B986"/>
      <c r="C986"/>
      <c r="D986"/>
      <c r="E986"/>
      <c r="F986"/>
      <c r="G986"/>
      <c r="H986"/>
      <c r="I986"/>
      <c r="J986"/>
      <c r="K986"/>
      <c r="L986"/>
      <c r="M986"/>
      <c r="N986"/>
      <c r="O986"/>
      <c r="P986"/>
      <c r="Q986"/>
      <c r="R986"/>
      <c r="S986"/>
      <c r="T986"/>
      <c r="U986"/>
      <c r="V986"/>
      <c r="W986"/>
    </row>
    <row r="987" spans="1:23" x14ac:dyDescent="0.4">
      <c r="A987"/>
      <c r="B987"/>
      <c r="C987"/>
      <c r="D987"/>
      <c r="E987"/>
      <c r="F987"/>
      <c r="G987"/>
      <c r="H987"/>
      <c r="I987"/>
      <c r="J987"/>
      <c r="K987"/>
      <c r="L987"/>
      <c r="M987"/>
      <c r="N987"/>
      <c r="O987"/>
      <c r="P987"/>
      <c r="Q987"/>
      <c r="R987"/>
      <c r="S987"/>
      <c r="T987"/>
      <c r="U987"/>
      <c r="V987"/>
      <c r="W987"/>
    </row>
    <row r="988" spans="1:23" x14ac:dyDescent="0.4">
      <c r="A988"/>
      <c r="B988"/>
      <c r="C988"/>
      <c r="D988"/>
      <c r="E988"/>
      <c r="F988"/>
      <c r="G988"/>
      <c r="H988"/>
      <c r="I988"/>
      <c r="J988"/>
      <c r="K988"/>
      <c r="L988"/>
      <c r="M988"/>
      <c r="N988"/>
      <c r="O988"/>
      <c r="P988"/>
      <c r="Q988"/>
      <c r="R988"/>
      <c r="S988"/>
      <c r="T988"/>
      <c r="U988"/>
      <c r="V988"/>
      <c r="W988"/>
    </row>
    <row r="989" spans="1:23" x14ac:dyDescent="0.4">
      <c r="A989"/>
      <c r="B989"/>
      <c r="C989"/>
      <c r="D989"/>
      <c r="E989"/>
      <c r="F989"/>
      <c r="G989"/>
      <c r="H989"/>
      <c r="I989"/>
      <c r="J989"/>
      <c r="K989"/>
      <c r="L989"/>
      <c r="M989"/>
      <c r="N989"/>
      <c r="O989"/>
      <c r="P989"/>
      <c r="Q989"/>
      <c r="R989"/>
      <c r="S989"/>
      <c r="T989"/>
      <c r="U989"/>
      <c r="V989"/>
      <c r="W989"/>
    </row>
    <row r="990" spans="1:23" x14ac:dyDescent="0.4">
      <c r="A990"/>
      <c r="B990"/>
      <c r="C990"/>
      <c r="D990"/>
      <c r="E990"/>
      <c r="F990"/>
      <c r="G990"/>
      <c r="H990"/>
      <c r="I990"/>
      <c r="J990"/>
      <c r="K990"/>
      <c r="L990"/>
      <c r="M990"/>
      <c r="N990"/>
      <c r="O990"/>
      <c r="P990"/>
      <c r="Q990"/>
      <c r="R990"/>
      <c r="S990"/>
      <c r="T990"/>
      <c r="U990"/>
      <c r="V990"/>
      <c r="W990"/>
    </row>
    <row r="991" spans="1:23" x14ac:dyDescent="0.4">
      <c r="A991"/>
      <c r="B991"/>
      <c r="C991"/>
      <c r="D991"/>
      <c r="E991"/>
      <c r="F991"/>
      <c r="G991"/>
      <c r="H991"/>
      <c r="I991"/>
      <c r="J991"/>
      <c r="K991"/>
      <c r="L991"/>
      <c r="M991"/>
      <c r="N991"/>
      <c r="O991"/>
      <c r="P991"/>
      <c r="Q991"/>
      <c r="R991"/>
      <c r="S991"/>
      <c r="T991"/>
      <c r="U991"/>
      <c r="V991"/>
      <c r="W991"/>
    </row>
    <row r="992" spans="1:23" x14ac:dyDescent="0.4">
      <c r="A992"/>
      <c r="B992"/>
      <c r="C992"/>
      <c r="D992"/>
      <c r="E992"/>
      <c r="F992"/>
      <c r="G992"/>
      <c r="H992"/>
      <c r="I992"/>
      <c r="J992"/>
      <c r="K992"/>
      <c r="L992"/>
      <c r="M992"/>
      <c r="N992"/>
      <c r="O992"/>
      <c r="P992"/>
      <c r="Q992"/>
      <c r="R992"/>
      <c r="S992"/>
      <c r="T992"/>
      <c r="U992"/>
      <c r="V992"/>
      <c r="W992"/>
    </row>
    <row r="993" spans="1:23" x14ac:dyDescent="0.4">
      <c r="A993"/>
      <c r="B993"/>
      <c r="C993"/>
      <c r="D993"/>
      <c r="E993"/>
      <c r="F993"/>
      <c r="G993"/>
      <c r="H993"/>
      <c r="I993"/>
      <c r="J993"/>
      <c r="K993"/>
      <c r="L993"/>
      <c r="M993"/>
      <c r="N993"/>
      <c r="O993"/>
      <c r="P993"/>
      <c r="Q993"/>
      <c r="R993"/>
      <c r="S993"/>
      <c r="T993"/>
      <c r="U993"/>
      <c r="V993"/>
      <c r="W993"/>
    </row>
    <row r="994" spans="1:23" x14ac:dyDescent="0.4">
      <c r="A994"/>
      <c r="B994"/>
      <c r="C994"/>
      <c r="D994"/>
      <c r="E994"/>
      <c r="F994"/>
      <c r="G994"/>
      <c r="H994"/>
      <c r="I994"/>
      <c r="J994"/>
      <c r="K994"/>
      <c r="L994"/>
      <c r="M994"/>
      <c r="N994"/>
      <c r="O994"/>
      <c r="P994"/>
      <c r="Q994"/>
      <c r="R994"/>
      <c r="S994"/>
      <c r="T994"/>
      <c r="U994"/>
      <c r="V994"/>
      <c r="W994"/>
    </row>
    <row r="995" spans="1:23" x14ac:dyDescent="0.4">
      <c r="A995"/>
      <c r="B995"/>
      <c r="C995"/>
      <c r="D995"/>
      <c r="E995"/>
      <c r="F995"/>
      <c r="G995"/>
      <c r="H995"/>
      <c r="I995"/>
      <c r="J995"/>
      <c r="K995"/>
      <c r="L995"/>
      <c r="M995"/>
      <c r="N995"/>
      <c r="O995"/>
      <c r="P995"/>
      <c r="Q995"/>
      <c r="R995"/>
      <c r="S995"/>
      <c r="T995"/>
      <c r="U995"/>
      <c r="V995"/>
      <c r="W995"/>
    </row>
    <row r="996" spans="1:23" x14ac:dyDescent="0.4">
      <c r="A996"/>
      <c r="B996"/>
      <c r="C996"/>
      <c r="D996"/>
      <c r="E996"/>
      <c r="F996"/>
      <c r="G996"/>
      <c r="H996"/>
      <c r="I996"/>
      <c r="J996"/>
      <c r="K996"/>
      <c r="L996"/>
      <c r="M996"/>
      <c r="N996"/>
      <c r="O996"/>
      <c r="P996"/>
      <c r="Q996"/>
      <c r="R996"/>
      <c r="S996"/>
      <c r="T996"/>
      <c r="U996"/>
      <c r="V996"/>
      <c r="W996"/>
    </row>
    <row r="997" spans="1:23" x14ac:dyDescent="0.4">
      <c r="A997"/>
      <c r="B997"/>
      <c r="C997"/>
      <c r="D997"/>
      <c r="E997"/>
      <c r="F997"/>
      <c r="G997"/>
      <c r="H997"/>
      <c r="I997"/>
      <c r="J997"/>
      <c r="K997"/>
      <c r="L997"/>
      <c r="M997"/>
      <c r="N997"/>
      <c r="O997"/>
      <c r="P997"/>
      <c r="Q997"/>
      <c r="R997"/>
      <c r="S997"/>
      <c r="T997"/>
      <c r="U997"/>
      <c r="V997"/>
      <c r="W997"/>
    </row>
    <row r="998" spans="1:23" x14ac:dyDescent="0.4">
      <c r="A998"/>
      <c r="B998"/>
      <c r="C998"/>
      <c r="D998"/>
      <c r="E998"/>
      <c r="F998"/>
      <c r="G998"/>
      <c r="H998"/>
      <c r="I998"/>
      <c r="J998"/>
      <c r="K998"/>
      <c r="L998"/>
      <c r="M998"/>
      <c r="N998"/>
      <c r="O998"/>
      <c r="P998"/>
      <c r="Q998"/>
      <c r="R998"/>
      <c r="S998"/>
      <c r="T998"/>
      <c r="U998"/>
      <c r="V998"/>
      <c r="W998"/>
    </row>
    <row r="999" spans="1:23" x14ac:dyDescent="0.4">
      <c r="A999"/>
      <c r="B999"/>
      <c r="C999"/>
      <c r="D999"/>
      <c r="E999"/>
      <c r="F999"/>
      <c r="G999"/>
      <c r="H999"/>
      <c r="I999"/>
      <c r="J999"/>
      <c r="K999"/>
      <c r="L999"/>
      <c r="M999"/>
      <c r="N999"/>
      <c r="O999"/>
      <c r="P999"/>
      <c r="Q999"/>
      <c r="R999"/>
      <c r="S999"/>
      <c r="T999"/>
      <c r="U999"/>
      <c r="V999"/>
      <c r="W999"/>
    </row>
    <row r="1000" spans="1:23" x14ac:dyDescent="0.4">
      <c r="A1000"/>
      <c r="B1000"/>
      <c r="C1000"/>
      <c r="D1000"/>
      <c r="E1000"/>
      <c r="F1000"/>
      <c r="G1000"/>
      <c r="H1000"/>
      <c r="I1000"/>
      <c r="J1000"/>
      <c r="K1000"/>
      <c r="L1000"/>
      <c r="M1000"/>
      <c r="N1000"/>
      <c r="O1000"/>
      <c r="P1000"/>
      <c r="Q1000"/>
      <c r="R1000"/>
      <c r="S1000"/>
      <c r="T1000"/>
      <c r="U1000"/>
      <c r="V1000"/>
      <c r="W1000"/>
    </row>
  </sheetData>
  <sheetProtection sheet="1" objects="1" scenarios="1"/>
  <mergeCells count="11">
    <mergeCell ref="H4:K4"/>
    <mergeCell ref="P4:S4"/>
    <mergeCell ref="A6:C6"/>
    <mergeCell ref="T4:W4"/>
    <mergeCell ref="T6:W6"/>
    <mergeCell ref="A8:S8"/>
    <mergeCell ref="D6:G6"/>
    <mergeCell ref="H6:K6"/>
    <mergeCell ref="L6:O6"/>
    <mergeCell ref="P6:S6"/>
    <mergeCell ref="A4:C4"/>
  </mergeCells>
  <phoneticPr fontId="2" type="noConversion"/>
  <conditionalFormatting sqref="Y1:Y8 Y84:Y65536 AE9:AE83">
    <cfRule type="duplicateValues" dxfId="0" priority="1" stopIfTrue="1"/>
  </conditionalFormatting>
  <dataValidations count="7">
    <dataValidation type="list" allowBlank="1" showInputMessage="1" showErrorMessage="1" sqref="P9:P83 S9:S83">
      <formula1>"0,1"</formula1>
    </dataValidation>
    <dataValidation type="list" allowBlank="1" showInputMessage="1" showErrorMessage="1" sqref="Q9:R83">
      <formula1>"0,1,2"</formula1>
    </dataValidation>
    <dataValidation type="decimal" operator="greaterThan" allowBlank="1" showInputMessage="1" showErrorMessage="1" error="Please enter numerical values only." sqref="D9:D83">
      <formula1>0</formula1>
    </dataValidation>
    <dataValidation type="list" allowBlank="1" showInputMessage="1" showErrorMessage="1" sqref="H9:I83">
      <formula1>"0,1,4,99"</formula1>
    </dataValidation>
    <dataValidation type="list" allowBlank="1" showInputMessage="1" showErrorMessage="1" sqref="J9:K83">
      <formula1>"0,1,2,3,4,5"</formula1>
    </dataValidation>
    <dataValidation type="list" allowBlank="1" showInputMessage="1" showErrorMessage="1" sqref="U9:W83">
      <formula1>"Oui"</formula1>
    </dataValidation>
    <dataValidation type="list" allowBlank="1" showInputMessage="1" showErrorMessage="1" sqref="T9:T83">
      <formula1>"SS/SC,TAS,Les deux"</formula1>
    </dataValidation>
  </dataValidations>
  <pageMargins left="0.2" right="0.2" top="0.53" bottom="0.38" header="0.5" footer="0.38"/>
  <pageSetup paperSize="9" scale="60"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000"/>
  <sheetViews>
    <sheetView zoomScaleNormal="100" workbookViewId="0">
      <pane xSplit="3" ySplit="8" topLeftCell="D9" activePane="bottomRight" state="frozen"/>
      <selection pane="topRight" activeCell="D1" sqref="D1"/>
      <selection pane="bottomLeft" activeCell="A9" sqref="A9"/>
      <selection pane="bottomRight" activeCell="K9" sqref="K9"/>
    </sheetView>
  </sheetViews>
  <sheetFormatPr defaultColWidth="9.1640625" defaultRowHeight="12.3" x14ac:dyDescent="0.4"/>
  <cols>
    <col min="1" max="1" width="18.27734375" style="1" customWidth="1"/>
    <col min="2" max="3" width="23.44140625" style="1" customWidth="1"/>
    <col min="4" max="6" width="11.71875" style="1" customWidth="1"/>
    <col min="7" max="7" width="12.71875" style="1" customWidth="1"/>
    <col min="8" max="8" width="16.27734375" style="1" customWidth="1"/>
    <col min="9" max="9" width="14.27734375" style="1" customWidth="1"/>
    <col min="10" max="12" width="12.71875" style="1" customWidth="1"/>
    <col min="13" max="13" width="15" style="1" customWidth="1"/>
    <col min="14" max="16384" width="9.1640625" style="1"/>
  </cols>
  <sheetData>
    <row r="1" spans="1:13" ht="22.5" x14ac:dyDescent="0.75">
      <c r="A1" s="4" t="s">
        <v>63</v>
      </c>
      <c r="B1" s="5"/>
      <c r="C1" s="5"/>
      <c r="D1" s="5"/>
      <c r="E1" s="5"/>
      <c r="F1" s="5"/>
      <c r="G1" s="5"/>
      <c r="H1" s="5"/>
      <c r="I1" s="5"/>
      <c r="J1" s="5"/>
      <c r="K1" s="5"/>
      <c r="L1" s="5"/>
    </row>
    <row r="2" spans="1:13" x14ac:dyDescent="0.4">
      <c r="A2" s="130" t="s">
        <v>64</v>
      </c>
      <c r="B2" s="5"/>
      <c r="C2" s="5"/>
      <c r="D2" s="5"/>
      <c r="E2" s="5"/>
      <c r="F2" s="5"/>
      <c r="G2" s="5"/>
      <c r="H2" s="5"/>
      <c r="I2" s="5"/>
      <c r="J2" s="5"/>
      <c r="K2" s="5"/>
      <c r="L2" s="5"/>
    </row>
    <row r="3" spans="1:13" x14ac:dyDescent="0.4">
      <c r="A3" s="5"/>
      <c r="B3" s="5"/>
      <c r="C3" s="5"/>
      <c r="D3" s="5"/>
      <c r="E3" s="5"/>
      <c r="F3" s="5"/>
      <c r="G3" s="5"/>
      <c r="H3" s="5"/>
      <c r="I3" s="5"/>
      <c r="J3" s="5"/>
      <c r="K3" s="5"/>
      <c r="L3" s="5"/>
    </row>
    <row r="4" spans="1:13" x14ac:dyDescent="0.4">
      <c r="A4" s="244" t="s">
        <v>7</v>
      </c>
      <c r="B4" s="244"/>
      <c r="C4" s="244"/>
      <c r="D4" s="6">
        <f>SUM(D$9:D$1000)</f>
        <v>0</v>
      </c>
      <c r="E4" s="6">
        <f>SUM(E$9:E$1000)</f>
        <v>0</v>
      </c>
      <c r="F4" s="6">
        <f>SUM(F$9:F$1000)</f>
        <v>0</v>
      </c>
      <c r="G4" s="6">
        <f>SUM(G$9:G$1000)</f>
        <v>0</v>
      </c>
      <c r="H4" s="18"/>
      <c r="I4" s="6">
        <f>SUM(I$9:I$1000)</f>
        <v>0</v>
      </c>
      <c r="J4" s="6">
        <f>SUM(J$9:J$1000)</f>
        <v>0</v>
      </c>
      <c r="K4" s="6">
        <f>SUM(K$9:K$1000)</f>
        <v>0</v>
      </c>
      <c r="L4" s="6">
        <f>SUM(L$9:L$1000)</f>
        <v>0</v>
      </c>
      <c r="M4" s="6">
        <f>SUM(M$9:M$1000)</f>
        <v>0</v>
      </c>
    </row>
    <row r="5" spans="1:13" ht="2.25" customHeight="1" x14ac:dyDescent="0.4">
      <c r="A5" s="5"/>
      <c r="B5" s="5"/>
      <c r="C5" s="5"/>
      <c r="D5" s="5"/>
      <c r="E5" s="5"/>
      <c r="F5" s="5"/>
      <c r="G5" s="5"/>
      <c r="H5" s="5"/>
      <c r="I5" s="5"/>
      <c r="J5" s="5"/>
      <c r="K5" s="5"/>
      <c r="L5" s="5"/>
      <c r="M5" s="5"/>
    </row>
    <row r="6" spans="1:13" x14ac:dyDescent="0.4">
      <c r="A6" s="216" t="s">
        <v>51</v>
      </c>
      <c r="B6" s="252"/>
      <c r="C6" s="217"/>
      <c r="D6" s="256" t="s">
        <v>90</v>
      </c>
      <c r="E6" s="257"/>
      <c r="F6" s="257"/>
      <c r="G6" s="257"/>
      <c r="H6" s="32" t="s">
        <v>65</v>
      </c>
      <c r="I6" s="10" t="s">
        <v>66</v>
      </c>
      <c r="J6" s="258" t="s">
        <v>63</v>
      </c>
      <c r="K6" s="259"/>
      <c r="L6" s="259"/>
      <c r="M6" s="260"/>
    </row>
    <row r="7" spans="1:13" ht="12" customHeight="1" x14ac:dyDescent="0.4">
      <c r="A7" s="255" t="s">
        <v>54</v>
      </c>
      <c r="B7" s="255" t="s">
        <v>55</v>
      </c>
      <c r="C7" s="253" t="s">
        <v>0</v>
      </c>
      <c r="D7" s="249" t="s">
        <v>57</v>
      </c>
      <c r="E7" s="249" t="s">
        <v>58</v>
      </c>
      <c r="F7" s="249" t="s">
        <v>56</v>
      </c>
      <c r="G7" s="251" t="s">
        <v>2</v>
      </c>
      <c r="H7" s="249" t="s">
        <v>59</v>
      </c>
      <c r="I7" s="249" t="s">
        <v>59</v>
      </c>
      <c r="J7" s="247" t="s">
        <v>67</v>
      </c>
      <c r="K7" s="247" t="s">
        <v>68</v>
      </c>
      <c r="L7" s="247" t="s">
        <v>82</v>
      </c>
      <c r="M7" s="247" t="s">
        <v>69</v>
      </c>
    </row>
    <row r="8" spans="1:13" ht="25.5" customHeight="1" x14ac:dyDescent="0.4">
      <c r="A8" s="254"/>
      <c r="B8" s="254"/>
      <c r="C8" s="254"/>
      <c r="D8" s="250"/>
      <c r="E8" s="250"/>
      <c r="F8" s="250"/>
      <c r="G8" s="250"/>
      <c r="H8" s="250"/>
      <c r="I8" s="250"/>
      <c r="J8" s="248"/>
      <c r="K8" s="248"/>
      <c r="L8" s="248"/>
      <c r="M8" s="248"/>
    </row>
    <row r="9" spans="1:13" x14ac:dyDescent="0.4">
      <c r="A9" s="12" t="str">
        <f>IF(INTRO!$E$39&lt;&gt;"Non endémique", " ", IF(INTRO!$E$37="Non endémique"," ", IF(COUNTRY_INFO!A9=0," ",COUNTRY_INFO!A9)))</f>
        <v xml:space="preserve"> </v>
      </c>
      <c r="B9" s="12" t="str">
        <f>IF(INTRO!$E$39&lt;&gt;"Non endémique", " ", IF(INTRO!$E$37="Non endémique"," ", IF(COUNTRY_INFO!B9=0," ",COUNTRY_INFO!B9)))</f>
        <v xml:space="preserve"> </v>
      </c>
      <c r="C9" s="12" t="str">
        <f>IF(INTRO!$E$39&lt;&gt;"Non endémique", " ", IF(INTRO!$E$37="Non endémique"," ", IF(COUNTRY_INFO!C9=0," ",COUNTRY_INFO!C9)))</f>
        <v xml:space="preserve"> </v>
      </c>
      <c r="D9" s="13">
        <f>IF(INTRO!$E$39&lt;&gt;"Non endémique", 0, IF(INTRO!$E$37="Non endémique",0,IF(COUNTRY_INFO!$H9=1,COUNTRY_INFO!E9,0)))</f>
        <v>0</v>
      </c>
      <c r="E9" s="13">
        <f>IF(INTRO!$E$39&lt;&gt;"Non endémique", 0, IF(INTRO!$E$37="Non endémique",0,IF(COUNTRY_INFO!$H9=1,COUNTRY_INFO!F9,0)))</f>
        <v>0</v>
      </c>
      <c r="F9" s="13">
        <f>IF(INTRO!$E$39&lt;&gt;"Non endémique", 0, IF(INTRO!$E$37="Non endémique",0,IF(COUNTRY_INFO!$H9=1,COUNTRY_INFO!G9,0)))</f>
        <v>0</v>
      </c>
      <c r="G9" s="13">
        <f t="shared" ref="G9:G40" si="0">SUM(D9:F9)</f>
        <v>0</v>
      </c>
      <c r="H9" s="14" t="str">
        <f>IF(INTRO!$E$39="Non endémique",IF(INTRO!$E$37="Non endémique","Non requis",COUNTRY_INFO!P9),"Traiter avec IVM")</f>
        <v>Traiter avec IVM</v>
      </c>
      <c r="I9" s="13">
        <f t="shared" ref="I9:I40" si="1">IF(H9=1,G9,0)</f>
        <v>0</v>
      </c>
      <c r="J9" s="13">
        <f t="shared" ref="J9:J40" si="2">IF(I9&gt;0,I9*2.5,0)</f>
        <v>0</v>
      </c>
      <c r="K9" s="24"/>
      <c r="L9" s="15">
        <f t="shared" ref="L9:L40" si="3">IF($J9&gt;$K9,$J9-$K9,0)</f>
        <v>0</v>
      </c>
      <c r="M9" s="15">
        <f t="shared" ref="M9:M40" si="4">ROUNDUP($J9/1000,0)</f>
        <v>0</v>
      </c>
    </row>
    <row r="10" spans="1:13" x14ac:dyDescent="0.4">
      <c r="A10" s="12" t="str">
        <f>IF(INTRO!$E$39&lt;&gt;"Non endémique", " ", IF(INTRO!$E$37="Non endémique"," ", IF(COUNTRY_INFO!A10=0," ",COUNTRY_INFO!A10)))</f>
        <v xml:space="preserve"> </v>
      </c>
      <c r="B10" s="12" t="str">
        <f>IF(INTRO!$E$39&lt;&gt;"Non endémique", " ", IF(INTRO!$E$37="Non endémique"," ", IF(COUNTRY_INFO!B10=0," ",COUNTRY_INFO!B10)))</f>
        <v xml:space="preserve"> </v>
      </c>
      <c r="C10" s="12" t="str">
        <f>IF(INTRO!$E$39&lt;&gt;"Non endémique", " ", IF(INTRO!$E$37="Non endémique"," ", IF(COUNTRY_INFO!C10=0," ",COUNTRY_INFO!C10)))</f>
        <v xml:space="preserve"> </v>
      </c>
      <c r="D10" s="13">
        <f>IF(INTRO!$E$39&lt;&gt;"Non endémique", 0, IF(INTRO!$E$37="Non endémique",0,IF(COUNTRY_INFO!$H10=1,COUNTRY_INFO!E10,0)))</f>
        <v>0</v>
      </c>
      <c r="E10" s="13">
        <f>IF(INTRO!$E$39&lt;&gt;"Non endémique", 0, IF(INTRO!$E$37="Non endémique",0,IF(COUNTRY_INFO!$H10=1,COUNTRY_INFO!F10,0)))</f>
        <v>0</v>
      </c>
      <c r="F10" s="13">
        <f>IF(INTRO!$E$39&lt;&gt;"Non endémique", 0, IF(INTRO!$E$37="Non endémique",0,IF(COUNTRY_INFO!$H10=1,COUNTRY_INFO!G10,0)))</f>
        <v>0</v>
      </c>
      <c r="G10" s="13">
        <f t="shared" si="0"/>
        <v>0</v>
      </c>
      <c r="H10" s="14" t="str">
        <f>IF(INTRO!$E$39="Non endémique",IF(INTRO!$E$37="Non endémique","Non requis",COUNTRY_INFO!P10),"Traiter avec IVM")</f>
        <v>Traiter avec IVM</v>
      </c>
      <c r="I10" s="13">
        <f t="shared" si="1"/>
        <v>0</v>
      </c>
      <c r="J10" s="13">
        <f t="shared" si="2"/>
        <v>0</v>
      </c>
      <c r="K10" s="24"/>
      <c r="L10" s="15">
        <f t="shared" si="3"/>
        <v>0</v>
      </c>
      <c r="M10" s="15">
        <f t="shared" si="4"/>
        <v>0</v>
      </c>
    </row>
    <row r="11" spans="1:13" x14ac:dyDescent="0.4">
      <c r="A11" s="12" t="str">
        <f>IF(INTRO!$E$39&lt;&gt;"Non endémique", " ", IF(INTRO!$E$37="Non endémique"," ", IF(COUNTRY_INFO!A11=0," ",COUNTRY_INFO!A11)))</f>
        <v xml:space="preserve"> </v>
      </c>
      <c r="B11" s="12" t="str">
        <f>IF(INTRO!$E$39&lt;&gt;"Non endémique", " ", IF(INTRO!$E$37="Non endémique"," ", IF(COUNTRY_INFO!B11=0," ",COUNTRY_INFO!B11)))</f>
        <v xml:space="preserve"> </v>
      </c>
      <c r="C11" s="12" t="str">
        <f>IF(INTRO!$E$39&lt;&gt;"Non endémique", " ", IF(INTRO!$E$37="Non endémique"," ", IF(COUNTRY_INFO!C11=0," ",COUNTRY_INFO!C11)))</f>
        <v xml:space="preserve"> </v>
      </c>
      <c r="D11" s="13">
        <f>IF(INTRO!$E$39&lt;&gt;"Non endémique", 0, IF(INTRO!$E$37="Non endémique",0,IF(COUNTRY_INFO!$H11=1,COUNTRY_INFO!E11,0)))</f>
        <v>0</v>
      </c>
      <c r="E11" s="13">
        <f>IF(INTRO!$E$39&lt;&gt;"Non endémique", 0, IF(INTRO!$E$37="Non endémique",0,IF(COUNTRY_INFO!$H11=1,COUNTRY_INFO!F11,0)))</f>
        <v>0</v>
      </c>
      <c r="F11" s="13">
        <f>IF(INTRO!$E$39&lt;&gt;"Non endémique", 0, IF(INTRO!$E$37="Non endémique",0,IF(COUNTRY_INFO!$H11=1,COUNTRY_INFO!G11,0)))</f>
        <v>0</v>
      </c>
      <c r="G11" s="13">
        <f t="shared" si="0"/>
        <v>0</v>
      </c>
      <c r="H11" s="14" t="str">
        <f>IF(INTRO!$E$39="Non endémique",IF(INTRO!$E$37="Non endémique","Non requis",COUNTRY_INFO!P11),"Traiter avec IVM")</f>
        <v>Traiter avec IVM</v>
      </c>
      <c r="I11" s="13">
        <f t="shared" si="1"/>
        <v>0</v>
      </c>
      <c r="J11" s="13">
        <f t="shared" si="2"/>
        <v>0</v>
      </c>
      <c r="K11" s="24"/>
      <c r="L11" s="15">
        <f t="shared" si="3"/>
        <v>0</v>
      </c>
      <c r="M11" s="15">
        <f t="shared" si="4"/>
        <v>0</v>
      </c>
    </row>
    <row r="12" spans="1:13" x14ac:dyDescent="0.4">
      <c r="A12" s="12" t="str">
        <f>IF(INTRO!$E$39&lt;&gt;"Non endémique", " ", IF(INTRO!$E$37="Non endémique"," ", IF(COUNTRY_INFO!A12=0," ",COUNTRY_INFO!A12)))</f>
        <v xml:space="preserve"> </v>
      </c>
      <c r="B12" s="12" t="str">
        <f>IF(INTRO!$E$39&lt;&gt;"Non endémique", " ", IF(INTRO!$E$37="Non endémique"," ", IF(COUNTRY_INFO!B12=0," ",COUNTRY_INFO!B12)))</f>
        <v xml:space="preserve"> </v>
      </c>
      <c r="C12" s="12" t="str">
        <f>IF(INTRO!$E$39&lt;&gt;"Non endémique", " ", IF(INTRO!$E$37="Non endémique"," ", IF(COUNTRY_INFO!C12=0," ",COUNTRY_INFO!C12)))</f>
        <v xml:space="preserve"> </v>
      </c>
      <c r="D12" s="13">
        <f>IF(INTRO!$E$39&lt;&gt;"Non endémique", 0, IF(INTRO!$E$37="Non endémique",0,IF(COUNTRY_INFO!$H12=1,COUNTRY_INFO!E12,0)))</f>
        <v>0</v>
      </c>
      <c r="E12" s="13">
        <f>IF(INTRO!$E$39&lt;&gt;"Non endémique", 0, IF(INTRO!$E$37="Non endémique",0,IF(COUNTRY_INFO!$H12=1,COUNTRY_INFO!F12,0)))</f>
        <v>0</v>
      </c>
      <c r="F12" s="13">
        <f>IF(INTRO!$E$39&lt;&gt;"Non endémique", 0, IF(INTRO!$E$37="Non endémique",0,IF(COUNTRY_INFO!$H12=1,COUNTRY_INFO!G12,0)))</f>
        <v>0</v>
      </c>
      <c r="G12" s="13">
        <f t="shared" si="0"/>
        <v>0</v>
      </c>
      <c r="H12" s="14" t="str">
        <f>IF(INTRO!$E$39="Non endémique",IF(INTRO!$E$37="Non endémique","Non requis",COUNTRY_INFO!P12),"Traiter avec IVM")</f>
        <v>Traiter avec IVM</v>
      </c>
      <c r="I12" s="13">
        <f t="shared" si="1"/>
        <v>0</v>
      </c>
      <c r="J12" s="13">
        <f t="shared" si="2"/>
        <v>0</v>
      </c>
      <c r="K12" s="24"/>
      <c r="L12" s="15">
        <f t="shared" si="3"/>
        <v>0</v>
      </c>
      <c r="M12" s="15">
        <f t="shared" si="4"/>
        <v>0</v>
      </c>
    </row>
    <row r="13" spans="1:13" x14ac:dyDescent="0.4">
      <c r="A13" s="12" t="str">
        <f>IF(INTRO!$E$39&lt;&gt;"Non endémique", " ", IF(INTRO!$E$37="Non endémique"," ", IF(COUNTRY_INFO!A13=0," ",COUNTRY_INFO!A13)))</f>
        <v xml:space="preserve"> </v>
      </c>
      <c r="B13" s="12" t="str">
        <f>IF(INTRO!$E$39&lt;&gt;"Non endémique", " ", IF(INTRO!$E$37="Non endémique"," ", IF(COUNTRY_INFO!B13=0," ",COUNTRY_INFO!B13)))</f>
        <v xml:space="preserve"> </v>
      </c>
      <c r="C13" s="12" t="str">
        <f>IF(INTRO!$E$39&lt;&gt;"Non endémique", " ", IF(INTRO!$E$37="Non endémique"," ", IF(COUNTRY_INFO!C13=0," ",COUNTRY_INFO!C13)))</f>
        <v xml:space="preserve"> </v>
      </c>
      <c r="D13" s="13">
        <f>IF(INTRO!$E$39&lt;&gt;"Non endémique", 0, IF(INTRO!$E$37="Non endémique",0,IF(COUNTRY_INFO!$H13=1,COUNTRY_INFO!E13,0)))</f>
        <v>0</v>
      </c>
      <c r="E13" s="13">
        <f>IF(INTRO!$E$39&lt;&gt;"Non endémique", 0, IF(INTRO!$E$37="Non endémique",0,IF(COUNTRY_INFO!$H13=1,COUNTRY_INFO!F13,0)))</f>
        <v>0</v>
      </c>
      <c r="F13" s="13">
        <f>IF(INTRO!$E$39&lt;&gt;"Non endémique", 0, IF(INTRO!$E$37="Non endémique",0,IF(COUNTRY_INFO!$H13=1,COUNTRY_INFO!G13,0)))</f>
        <v>0</v>
      </c>
      <c r="G13" s="13">
        <f t="shared" si="0"/>
        <v>0</v>
      </c>
      <c r="H13" s="14" t="str">
        <f>IF(INTRO!$E$39="Non endémique",IF(INTRO!$E$37="Non endémique","Non requis",COUNTRY_INFO!P13),"Traiter avec IVM")</f>
        <v>Traiter avec IVM</v>
      </c>
      <c r="I13" s="13">
        <f t="shared" si="1"/>
        <v>0</v>
      </c>
      <c r="J13" s="13">
        <f t="shared" si="2"/>
        <v>0</v>
      </c>
      <c r="K13" s="24"/>
      <c r="L13" s="15">
        <f t="shared" si="3"/>
        <v>0</v>
      </c>
      <c r="M13" s="15">
        <f t="shared" si="4"/>
        <v>0</v>
      </c>
    </row>
    <row r="14" spans="1:13" x14ac:dyDescent="0.4">
      <c r="A14" s="12" t="str">
        <f>IF(INTRO!$E$39&lt;&gt;"Non endémique", " ", IF(INTRO!$E$37="Non endémique"," ", IF(COUNTRY_INFO!A14=0," ",COUNTRY_INFO!A14)))</f>
        <v xml:space="preserve"> </v>
      </c>
      <c r="B14" s="12" t="str">
        <f>IF(INTRO!$E$39&lt;&gt;"Non endémique", " ", IF(INTRO!$E$37="Non endémique"," ", IF(COUNTRY_INFO!B14=0," ",COUNTRY_INFO!B14)))</f>
        <v xml:space="preserve"> </v>
      </c>
      <c r="C14" s="12" t="str">
        <f>IF(INTRO!$E$39&lt;&gt;"Non endémique", " ", IF(INTRO!$E$37="Non endémique"," ", IF(COUNTRY_INFO!C14=0," ",COUNTRY_INFO!C14)))</f>
        <v xml:space="preserve"> </v>
      </c>
      <c r="D14" s="13">
        <f>IF(INTRO!$E$39&lt;&gt;"Non endémique", 0, IF(INTRO!$E$37="Non endémique",0,IF(COUNTRY_INFO!$H14=1,COUNTRY_INFO!E14,0)))</f>
        <v>0</v>
      </c>
      <c r="E14" s="13">
        <f>IF(INTRO!$E$39&lt;&gt;"Non endémique", 0, IF(INTRO!$E$37="Non endémique",0,IF(COUNTRY_INFO!$H14=1,COUNTRY_INFO!F14,0)))</f>
        <v>0</v>
      </c>
      <c r="F14" s="13">
        <f>IF(INTRO!$E$39&lt;&gt;"Non endémique", 0, IF(INTRO!$E$37="Non endémique",0,IF(COUNTRY_INFO!$H14=1,COUNTRY_INFO!G14,0)))</f>
        <v>0</v>
      </c>
      <c r="G14" s="13">
        <f t="shared" si="0"/>
        <v>0</v>
      </c>
      <c r="H14" s="14" t="str">
        <f>IF(INTRO!$E$39="Non endémique",IF(INTRO!$E$37="Non endémique","Non requis",COUNTRY_INFO!P14),"Traiter avec IVM")</f>
        <v>Traiter avec IVM</v>
      </c>
      <c r="I14" s="13">
        <f t="shared" si="1"/>
        <v>0</v>
      </c>
      <c r="J14" s="13">
        <f t="shared" si="2"/>
        <v>0</v>
      </c>
      <c r="K14" s="24"/>
      <c r="L14" s="15">
        <f t="shared" si="3"/>
        <v>0</v>
      </c>
      <c r="M14" s="15">
        <f t="shared" si="4"/>
        <v>0</v>
      </c>
    </row>
    <row r="15" spans="1:13" x14ac:dyDescent="0.4">
      <c r="A15" s="12" t="str">
        <f>IF(INTRO!$E$39&lt;&gt;"Non endémique", " ", IF(INTRO!$E$37="Non endémique"," ", IF(COUNTRY_INFO!A15=0," ",COUNTRY_INFO!A15)))</f>
        <v xml:space="preserve"> </v>
      </c>
      <c r="B15" s="12" t="str">
        <f>IF(INTRO!$E$39&lt;&gt;"Non endémique", " ", IF(INTRO!$E$37="Non endémique"," ", IF(COUNTRY_INFO!B15=0," ",COUNTRY_INFO!B15)))</f>
        <v xml:space="preserve"> </v>
      </c>
      <c r="C15" s="12" t="str">
        <f>IF(INTRO!$E$39&lt;&gt;"Non endémique", " ", IF(INTRO!$E$37="Non endémique"," ", IF(COUNTRY_INFO!C15=0," ",COUNTRY_INFO!C15)))</f>
        <v xml:space="preserve"> </v>
      </c>
      <c r="D15" s="13">
        <f>IF(INTRO!$E$39&lt;&gt;"Non endémique", 0, IF(INTRO!$E$37="Non endémique",0,IF(COUNTRY_INFO!$H15=1,COUNTRY_INFO!E15,0)))</f>
        <v>0</v>
      </c>
      <c r="E15" s="13">
        <f>IF(INTRO!$E$39&lt;&gt;"Non endémique", 0, IF(INTRO!$E$37="Non endémique",0,IF(COUNTRY_INFO!$H15=1,COUNTRY_INFO!F15,0)))</f>
        <v>0</v>
      </c>
      <c r="F15" s="13">
        <f>IF(INTRO!$E$39&lt;&gt;"Non endémique", 0, IF(INTRO!$E$37="Non endémique",0,IF(COUNTRY_INFO!$H15=1,COUNTRY_INFO!G15,0)))</f>
        <v>0</v>
      </c>
      <c r="G15" s="13">
        <f t="shared" si="0"/>
        <v>0</v>
      </c>
      <c r="H15" s="14" t="str">
        <f>IF(INTRO!$E$39="Non endémique",IF(INTRO!$E$37="Non endémique","Non requis",COUNTRY_INFO!P15),"Traiter avec IVM")</f>
        <v>Traiter avec IVM</v>
      </c>
      <c r="I15" s="13">
        <f t="shared" si="1"/>
        <v>0</v>
      </c>
      <c r="J15" s="13">
        <f t="shared" si="2"/>
        <v>0</v>
      </c>
      <c r="K15" s="24"/>
      <c r="L15" s="15">
        <f t="shared" si="3"/>
        <v>0</v>
      </c>
      <c r="M15" s="15">
        <f t="shared" si="4"/>
        <v>0</v>
      </c>
    </row>
    <row r="16" spans="1:13" x14ac:dyDescent="0.4">
      <c r="A16" s="12" t="str">
        <f>IF(INTRO!$E$39&lt;&gt;"Non endémique", " ", IF(INTRO!$E$37="Non endémique"," ", IF(COUNTRY_INFO!A16=0," ",COUNTRY_INFO!A16)))</f>
        <v xml:space="preserve"> </v>
      </c>
      <c r="B16" s="12" t="str">
        <f>IF(INTRO!$E$39&lt;&gt;"Non endémique", " ", IF(INTRO!$E$37="Non endémique"," ", IF(COUNTRY_INFO!B16=0," ",COUNTRY_INFO!B16)))</f>
        <v xml:space="preserve"> </v>
      </c>
      <c r="C16" s="12" t="str">
        <f>IF(INTRO!$E$39&lt;&gt;"Non endémique", " ", IF(INTRO!$E$37="Non endémique"," ", IF(COUNTRY_INFO!C16=0," ",COUNTRY_INFO!C16)))</f>
        <v xml:space="preserve"> </v>
      </c>
      <c r="D16" s="13">
        <f>IF(INTRO!$E$39&lt;&gt;"Non endémique", 0, IF(INTRO!$E$37="Non endémique",0,IF(COUNTRY_INFO!$H16=1,COUNTRY_INFO!E16,0)))</f>
        <v>0</v>
      </c>
      <c r="E16" s="13">
        <f>IF(INTRO!$E$39&lt;&gt;"Non endémique", 0, IF(INTRO!$E$37="Non endémique",0,IF(COUNTRY_INFO!$H16=1,COUNTRY_INFO!F16,0)))</f>
        <v>0</v>
      </c>
      <c r="F16" s="13">
        <f>IF(INTRO!$E$39&lt;&gt;"Non endémique", 0, IF(INTRO!$E$37="Non endémique",0,IF(COUNTRY_INFO!$H16=1,COUNTRY_INFO!G16,0)))</f>
        <v>0</v>
      </c>
      <c r="G16" s="13">
        <f t="shared" si="0"/>
        <v>0</v>
      </c>
      <c r="H16" s="14" t="str">
        <f>IF(INTRO!$E$39="Non endémique",IF(INTRO!$E$37="Non endémique","Non requis",COUNTRY_INFO!P16),"Traiter avec IVM")</f>
        <v>Traiter avec IVM</v>
      </c>
      <c r="I16" s="13">
        <f t="shared" si="1"/>
        <v>0</v>
      </c>
      <c r="J16" s="13">
        <f t="shared" si="2"/>
        <v>0</v>
      </c>
      <c r="K16" s="24"/>
      <c r="L16" s="15">
        <f t="shared" si="3"/>
        <v>0</v>
      </c>
      <c r="M16" s="15">
        <f t="shared" si="4"/>
        <v>0</v>
      </c>
    </row>
    <row r="17" spans="1:13" x14ac:dyDescent="0.4">
      <c r="A17" s="12" t="str">
        <f>IF(INTRO!$E$39&lt;&gt;"Non endémique", " ", IF(INTRO!$E$37="Non endémique"," ", IF(COUNTRY_INFO!A17=0," ",COUNTRY_INFO!A17)))</f>
        <v xml:space="preserve"> </v>
      </c>
      <c r="B17" s="12" t="str">
        <f>IF(INTRO!$E$39&lt;&gt;"Non endémique", " ", IF(INTRO!$E$37="Non endémique"," ", IF(COUNTRY_INFO!B17=0," ",COUNTRY_INFO!B17)))</f>
        <v xml:space="preserve"> </v>
      </c>
      <c r="C17" s="12" t="str">
        <f>IF(INTRO!$E$39&lt;&gt;"Non endémique", " ", IF(INTRO!$E$37="Non endémique"," ", IF(COUNTRY_INFO!C17=0," ",COUNTRY_INFO!C17)))</f>
        <v xml:space="preserve"> </v>
      </c>
      <c r="D17" s="13">
        <f>IF(INTRO!$E$39&lt;&gt;"Non endémique", 0, IF(INTRO!$E$37="Non endémique",0,IF(COUNTRY_INFO!$H17=1,COUNTRY_INFO!E17,0)))</f>
        <v>0</v>
      </c>
      <c r="E17" s="13">
        <f>IF(INTRO!$E$39&lt;&gt;"Non endémique", 0, IF(INTRO!$E$37="Non endémique",0,IF(COUNTRY_INFO!$H17=1,COUNTRY_INFO!F17,0)))</f>
        <v>0</v>
      </c>
      <c r="F17" s="13">
        <f>IF(INTRO!$E$39&lt;&gt;"Non endémique", 0, IF(INTRO!$E$37="Non endémique",0,IF(COUNTRY_INFO!$H17=1,COUNTRY_INFO!G17,0)))</f>
        <v>0</v>
      </c>
      <c r="G17" s="13">
        <f t="shared" si="0"/>
        <v>0</v>
      </c>
      <c r="H17" s="14" t="str">
        <f>IF(INTRO!$E$39="Non endémique",IF(INTRO!$E$37="Non endémique","Non requis",COUNTRY_INFO!P17),"Traiter avec IVM")</f>
        <v>Traiter avec IVM</v>
      </c>
      <c r="I17" s="13">
        <f t="shared" si="1"/>
        <v>0</v>
      </c>
      <c r="J17" s="13">
        <f t="shared" si="2"/>
        <v>0</v>
      </c>
      <c r="K17" s="24"/>
      <c r="L17" s="15">
        <f t="shared" si="3"/>
        <v>0</v>
      </c>
      <c r="M17" s="15">
        <f t="shared" si="4"/>
        <v>0</v>
      </c>
    </row>
    <row r="18" spans="1:13" x14ac:dyDescent="0.4">
      <c r="A18" s="12" t="str">
        <f>IF(INTRO!$E$39&lt;&gt;"Non endémique", " ", IF(INTRO!$E$37="Non endémique"," ", IF(COUNTRY_INFO!A18=0," ",COUNTRY_INFO!A18)))</f>
        <v xml:space="preserve"> </v>
      </c>
      <c r="B18" s="12" t="str">
        <f>IF(INTRO!$E$39&lt;&gt;"Non endémique", " ", IF(INTRO!$E$37="Non endémique"," ", IF(COUNTRY_INFO!B18=0," ",COUNTRY_INFO!B18)))</f>
        <v xml:space="preserve"> </v>
      </c>
      <c r="C18" s="12" t="str">
        <f>IF(INTRO!$E$39&lt;&gt;"Non endémique", " ", IF(INTRO!$E$37="Non endémique"," ", IF(COUNTRY_INFO!C18=0," ",COUNTRY_INFO!C18)))</f>
        <v xml:space="preserve"> </v>
      </c>
      <c r="D18" s="13">
        <f>IF(INTRO!$E$39&lt;&gt;"Non endémique", 0, IF(INTRO!$E$37="Non endémique",0,IF(COUNTRY_INFO!$H18=1,COUNTRY_INFO!E18,0)))</f>
        <v>0</v>
      </c>
      <c r="E18" s="13">
        <f>IF(INTRO!$E$39&lt;&gt;"Non endémique", 0, IF(INTRO!$E$37="Non endémique",0,IF(COUNTRY_INFO!$H18=1,COUNTRY_INFO!F18,0)))</f>
        <v>0</v>
      </c>
      <c r="F18" s="13">
        <f>IF(INTRO!$E$39&lt;&gt;"Non endémique", 0, IF(INTRO!$E$37="Non endémique",0,IF(COUNTRY_INFO!$H18=1,COUNTRY_INFO!G18,0)))</f>
        <v>0</v>
      </c>
      <c r="G18" s="13">
        <f t="shared" si="0"/>
        <v>0</v>
      </c>
      <c r="H18" s="14" t="str">
        <f>IF(INTRO!$E$39="Non endémique",IF(INTRO!$E$37="Non endémique","Non requis",COUNTRY_INFO!P18),"Traiter avec IVM")</f>
        <v>Traiter avec IVM</v>
      </c>
      <c r="I18" s="13">
        <f t="shared" si="1"/>
        <v>0</v>
      </c>
      <c r="J18" s="13">
        <f t="shared" si="2"/>
        <v>0</v>
      </c>
      <c r="K18" s="24"/>
      <c r="L18" s="15">
        <f t="shared" si="3"/>
        <v>0</v>
      </c>
      <c r="M18" s="15">
        <f t="shared" si="4"/>
        <v>0</v>
      </c>
    </row>
    <row r="19" spans="1:13" x14ac:dyDescent="0.4">
      <c r="A19" s="12" t="str">
        <f>IF(INTRO!$E$39&lt;&gt;"Non endémique", " ", IF(INTRO!$E$37="Non endémique"," ", IF(COUNTRY_INFO!A19=0," ",COUNTRY_INFO!A19)))</f>
        <v xml:space="preserve"> </v>
      </c>
      <c r="B19" s="12" t="str">
        <f>IF(INTRO!$E$39&lt;&gt;"Non endémique", " ", IF(INTRO!$E$37="Non endémique"," ", IF(COUNTRY_INFO!B19=0," ",COUNTRY_INFO!B19)))</f>
        <v xml:space="preserve"> </v>
      </c>
      <c r="C19" s="12" t="str">
        <f>IF(INTRO!$E$39&lt;&gt;"Non endémique", " ", IF(INTRO!$E$37="Non endémique"," ", IF(COUNTRY_INFO!C19=0," ",COUNTRY_INFO!C19)))</f>
        <v xml:space="preserve"> </v>
      </c>
      <c r="D19" s="13">
        <f>IF(INTRO!$E$39&lt;&gt;"Non endémique", 0, IF(INTRO!$E$37="Non endémique",0,IF(COUNTRY_INFO!$H19=1,COUNTRY_INFO!E19,0)))</f>
        <v>0</v>
      </c>
      <c r="E19" s="13">
        <f>IF(INTRO!$E$39&lt;&gt;"Non endémique", 0, IF(INTRO!$E$37="Non endémique",0,IF(COUNTRY_INFO!$H19=1,COUNTRY_INFO!F19,0)))</f>
        <v>0</v>
      </c>
      <c r="F19" s="13">
        <f>IF(INTRO!$E$39&lt;&gt;"Non endémique", 0, IF(INTRO!$E$37="Non endémique",0,IF(COUNTRY_INFO!$H19=1,COUNTRY_INFO!G19,0)))</f>
        <v>0</v>
      </c>
      <c r="G19" s="13">
        <f t="shared" si="0"/>
        <v>0</v>
      </c>
      <c r="H19" s="14" t="str">
        <f>IF(INTRO!$E$39="Non endémique",IF(INTRO!$E$37="Non endémique","Non requis",COUNTRY_INFO!P19),"Traiter avec IVM")</f>
        <v>Traiter avec IVM</v>
      </c>
      <c r="I19" s="13">
        <f t="shared" si="1"/>
        <v>0</v>
      </c>
      <c r="J19" s="13">
        <f t="shared" si="2"/>
        <v>0</v>
      </c>
      <c r="K19" s="24"/>
      <c r="L19" s="15">
        <f t="shared" si="3"/>
        <v>0</v>
      </c>
      <c r="M19" s="15">
        <f t="shared" si="4"/>
        <v>0</v>
      </c>
    </row>
    <row r="20" spans="1:13" x14ac:dyDescent="0.4">
      <c r="A20" s="12" t="str">
        <f>IF(INTRO!$E$39&lt;&gt;"Non endémique", " ", IF(INTRO!$E$37="Non endémique"," ", IF(COUNTRY_INFO!A20=0," ",COUNTRY_INFO!A20)))</f>
        <v xml:space="preserve"> </v>
      </c>
      <c r="B20" s="12" t="str">
        <f>IF(INTRO!$E$39&lt;&gt;"Non endémique", " ", IF(INTRO!$E$37="Non endémique"," ", IF(COUNTRY_INFO!B20=0," ",COUNTRY_INFO!B20)))</f>
        <v xml:space="preserve"> </v>
      </c>
      <c r="C20" s="12" t="str">
        <f>IF(INTRO!$E$39&lt;&gt;"Non endémique", " ", IF(INTRO!$E$37="Non endémique"," ", IF(COUNTRY_INFO!C20=0," ",COUNTRY_INFO!C20)))</f>
        <v xml:space="preserve"> </v>
      </c>
      <c r="D20" s="13">
        <f>IF(INTRO!$E$39&lt;&gt;"Non endémique", 0, IF(INTRO!$E$37="Non endémique",0,IF(COUNTRY_INFO!$H20=1,COUNTRY_INFO!E20,0)))</f>
        <v>0</v>
      </c>
      <c r="E20" s="13">
        <f>IF(INTRO!$E$39&lt;&gt;"Non endémique", 0, IF(INTRO!$E$37="Non endémique",0,IF(COUNTRY_INFO!$H20=1,COUNTRY_INFO!F20,0)))</f>
        <v>0</v>
      </c>
      <c r="F20" s="13">
        <f>IF(INTRO!$E$39&lt;&gt;"Non endémique", 0, IF(INTRO!$E$37="Non endémique",0,IF(COUNTRY_INFO!$H20=1,COUNTRY_INFO!G20,0)))</f>
        <v>0</v>
      </c>
      <c r="G20" s="13">
        <f t="shared" si="0"/>
        <v>0</v>
      </c>
      <c r="H20" s="14" t="str">
        <f>IF(INTRO!$E$39="Non endémique",IF(INTRO!$E$37="Non endémique","Non requis",COUNTRY_INFO!P20),"Traiter avec IVM")</f>
        <v>Traiter avec IVM</v>
      </c>
      <c r="I20" s="13">
        <f t="shared" si="1"/>
        <v>0</v>
      </c>
      <c r="J20" s="13">
        <f t="shared" si="2"/>
        <v>0</v>
      </c>
      <c r="K20" s="24"/>
      <c r="L20" s="15">
        <f t="shared" si="3"/>
        <v>0</v>
      </c>
      <c r="M20" s="15">
        <f t="shared" si="4"/>
        <v>0</v>
      </c>
    </row>
    <row r="21" spans="1:13" x14ac:dyDescent="0.4">
      <c r="A21" s="12" t="str">
        <f>IF(INTRO!$E$39&lt;&gt;"Non endémique", " ", IF(INTRO!$E$37="Non endémique"," ", IF(COUNTRY_INFO!A21=0," ",COUNTRY_INFO!A21)))</f>
        <v xml:space="preserve"> </v>
      </c>
      <c r="B21" s="12" t="str">
        <f>IF(INTRO!$E$39&lt;&gt;"Non endémique", " ", IF(INTRO!$E$37="Non endémique"," ", IF(COUNTRY_INFO!B21=0," ",COUNTRY_INFO!B21)))</f>
        <v xml:space="preserve"> </v>
      </c>
      <c r="C21" s="12" t="str">
        <f>IF(INTRO!$E$39&lt;&gt;"Non endémique", " ", IF(INTRO!$E$37="Non endémique"," ", IF(COUNTRY_INFO!C21=0," ",COUNTRY_INFO!C21)))</f>
        <v xml:space="preserve"> </v>
      </c>
      <c r="D21" s="13">
        <f>IF(INTRO!$E$39&lt;&gt;"Non endémique", 0, IF(INTRO!$E$37="Non endémique",0,IF(COUNTRY_INFO!$H21=1,COUNTRY_INFO!E21,0)))</f>
        <v>0</v>
      </c>
      <c r="E21" s="13">
        <f>IF(INTRO!$E$39&lt;&gt;"Non endémique", 0, IF(INTRO!$E$37="Non endémique",0,IF(COUNTRY_INFO!$H21=1,COUNTRY_INFO!F21,0)))</f>
        <v>0</v>
      </c>
      <c r="F21" s="13">
        <f>IF(INTRO!$E$39&lt;&gt;"Non endémique", 0, IF(INTRO!$E$37="Non endémique",0,IF(COUNTRY_INFO!$H21=1,COUNTRY_INFO!G21,0)))</f>
        <v>0</v>
      </c>
      <c r="G21" s="13">
        <f t="shared" si="0"/>
        <v>0</v>
      </c>
      <c r="H21" s="14" t="str">
        <f>IF(INTRO!$E$39="Non endémique",IF(INTRO!$E$37="Non endémique","Non requis",COUNTRY_INFO!P21),"Traiter avec IVM")</f>
        <v>Traiter avec IVM</v>
      </c>
      <c r="I21" s="13">
        <f t="shared" si="1"/>
        <v>0</v>
      </c>
      <c r="J21" s="13">
        <f t="shared" si="2"/>
        <v>0</v>
      </c>
      <c r="K21" s="24"/>
      <c r="L21" s="15">
        <f t="shared" si="3"/>
        <v>0</v>
      </c>
      <c r="M21" s="15">
        <f t="shared" si="4"/>
        <v>0</v>
      </c>
    </row>
    <row r="22" spans="1:13" x14ac:dyDescent="0.4">
      <c r="A22" s="12" t="str">
        <f>IF(INTRO!$E$39&lt;&gt;"Non endémique", " ", IF(INTRO!$E$37="Non endémique"," ", IF(COUNTRY_INFO!A22=0," ",COUNTRY_INFO!A22)))</f>
        <v xml:space="preserve"> </v>
      </c>
      <c r="B22" s="12" t="str">
        <f>IF(INTRO!$E$39&lt;&gt;"Non endémique", " ", IF(INTRO!$E$37="Non endémique"," ", IF(COUNTRY_INFO!B22=0," ",COUNTRY_INFO!B22)))</f>
        <v xml:space="preserve"> </v>
      </c>
      <c r="C22" s="12" t="str">
        <f>IF(INTRO!$E$39&lt;&gt;"Non endémique", " ", IF(INTRO!$E$37="Non endémique"," ", IF(COUNTRY_INFO!C22=0," ",COUNTRY_INFO!C22)))</f>
        <v xml:space="preserve"> </v>
      </c>
      <c r="D22" s="13">
        <f>IF(INTRO!$E$39&lt;&gt;"Non endémique", 0, IF(INTRO!$E$37="Non endémique",0,IF(COUNTRY_INFO!$H22=1,COUNTRY_INFO!E22,0)))</f>
        <v>0</v>
      </c>
      <c r="E22" s="13">
        <f>IF(INTRO!$E$39&lt;&gt;"Non endémique", 0, IF(INTRO!$E$37="Non endémique",0,IF(COUNTRY_INFO!$H22=1,COUNTRY_INFO!F22,0)))</f>
        <v>0</v>
      </c>
      <c r="F22" s="13">
        <f>IF(INTRO!$E$39&lt;&gt;"Non endémique", 0, IF(INTRO!$E$37="Non endémique",0,IF(COUNTRY_INFO!$H22=1,COUNTRY_INFO!G22,0)))</f>
        <v>0</v>
      </c>
      <c r="G22" s="13">
        <f t="shared" si="0"/>
        <v>0</v>
      </c>
      <c r="H22" s="14" t="str">
        <f>IF(INTRO!$E$39="Non endémique",IF(INTRO!$E$37="Non endémique","Non requis",COUNTRY_INFO!P22),"Traiter avec IVM")</f>
        <v>Traiter avec IVM</v>
      </c>
      <c r="I22" s="13">
        <f t="shared" si="1"/>
        <v>0</v>
      </c>
      <c r="J22" s="13">
        <f t="shared" si="2"/>
        <v>0</v>
      </c>
      <c r="K22" s="24"/>
      <c r="L22" s="15">
        <f t="shared" si="3"/>
        <v>0</v>
      </c>
      <c r="M22" s="15">
        <f t="shared" si="4"/>
        <v>0</v>
      </c>
    </row>
    <row r="23" spans="1:13" x14ac:dyDescent="0.4">
      <c r="A23" s="12" t="str">
        <f>IF(INTRO!$E$39&lt;&gt;"Non endémique", " ", IF(INTRO!$E$37="Non endémique"," ", IF(COUNTRY_INFO!A23=0," ",COUNTRY_INFO!A23)))</f>
        <v xml:space="preserve"> </v>
      </c>
      <c r="B23" s="12" t="str">
        <f>IF(INTRO!$E$39&lt;&gt;"Non endémique", " ", IF(INTRO!$E$37="Non endémique"," ", IF(COUNTRY_INFO!B23=0," ",COUNTRY_INFO!B23)))</f>
        <v xml:space="preserve"> </v>
      </c>
      <c r="C23" s="12" t="str">
        <f>IF(INTRO!$E$39&lt;&gt;"Non endémique", " ", IF(INTRO!$E$37="Non endémique"," ", IF(COUNTRY_INFO!C23=0," ",COUNTRY_INFO!C23)))</f>
        <v xml:space="preserve"> </v>
      </c>
      <c r="D23" s="13">
        <f>IF(INTRO!$E$39&lt;&gt;"Non endémique", 0, IF(INTRO!$E$37="Non endémique",0,IF(COUNTRY_INFO!$H23=1,COUNTRY_INFO!E23,0)))</f>
        <v>0</v>
      </c>
      <c r="E23" s="13">
        <f>IF(INTRO!$E$39&lt;&gt;"Non endémique", 0, IF(INTRO!$E$37="Non endémique",0,IF(COUNTRY_INFO!$H23=1,COUNTRY_INFO!F23,0)))</f>
        <v>0</v>
      </c>
      <c r="F23" s="13">
        <f>IF(INTRO!$E$39&lt;&gt;"Non endémique", 0, IF(INTRO!$E$37="Non endémique",0,IF(COUNTRY_INFO!$H23=1,COUNTRY_INFO!G23,0)))</f>
        <v>0</v>
      </c>
      <c r="G23" s="13">
        <f t="shared" si="0"/>
        <v>0</v>
      </c>
      <c r="H23" s="14" t="str">
        <f>IF(INTRO!$E$39="Non endémique",IF(INTRO!$E$37="Non endémique","Non requis",COUNTRY_INFO!P23),"Traiter avec IVM")</f>
        <v>Traiter avec IVM</v>
      </c>
      <c r="I23" s="13">
        <f t="shared" si="1"/>
        <v>0</v>
      </c>
      <c r="J23" s="13">
        <f t="shared" si="2"/>
        <v>0</v>
      </c>
      <c r="K23" s="24"/>
      <c r="L23" s="15">
        <f t="shared" si="3"/>
        <v>0</v>
      </c>
      <c r="M23" s="15">
        <f t="shared" si="4"/>
        <v>0</v>
      </c>
    </row>
    <row r="24" spans="1:13" x14ac:dyDescent="0.4">
      <c r="A24" s="12" t="str">
        <f>IF(INTRO!$E$39&lt;&gt;"Non endémique", " ", IF(INTRO!$E$37="Non endémique"," ", IF(COUNTRY_INFO!A24=0," ",COUNTRY_INFO!A24)))</f>
        <v xml:space="preserve"> </v>
      </c>
      <c r="B24" s="12" t="str">
        <f>IF(INTRO!$E$39&lt;&gt;"Non endémique", " ", IF(INTRO!$E$37="Non endémique"," ", IF(COUNTRY_INFO!B24=0," ",COUNTRY_INFO!B24)))</f>
        <v xml:space="preserve"> </v>
      </c>
      <c r="C24" s="12" t="str">
        <f>IF(INTRO!$E$39&lt;&gt;"Non endémique", " ", IF(INTRO!$E$37="Non endémique"," ", IF(COUNTRY_INFO!C24=0," ",COUNTRY_INFO!C24)))</f>
        <v xml:space="preserve"> </v>
      </c>
      <c r="D24" s="13">
        <f>IF(INTRO!$E$39&lt;&gt;"Non endémique", 0, IF(INTRO!$E$37="Non endémique",0,IF(COUNTRY_INFO!$H24=1,COUNTRY_INFO!E24,0)))</f>
        <v>0</v>
      </c>
      <c r="E24" s="13">
        <f>IF(INTRO!$E$39&lt;&gt;"Non endémique", 0, IF(INTRO!$E$37="Non endémique",0,IF(COUNTRY_INFO!$H24=1,COUNTRY_INFO!F24,0)))</f>
        <v>0</v>
      </c>
      <c r="F24" s="13">
        <f>IF(INTRO!$E$39&lt;&gt;"Non endémique", 0, IF(INTRO!$E$37="Non endémique",0,IF(COUNTRY_INFO!$H24=1,COUNTRY_INFO!G24,0)))</f>
        <v>0</v>
      </c>
      <c r="G24" s="13">
        <f t="shared" si="0"/>
        <v>0</v>
      </c>
      <c r="H24" s="14" t="str">
        <f>IF(INTRO!$E$39="Non endémique",IF(INTRO!$E$37="Non endémique","Non requis",COUNTRY_INFO!P24),"Traiter avec IVM")</f>
        <v>Traiter avec IVM</v>
      </c>
      <c r="I24" s="13">
        <f t="shared" si="1"/>
        <v>0</v>
      </c>
      <c r="J24" s="13">
        <f t="shared" si="2"/>
        <v>0</v>
      </c>
      <c r="K24" s="24"/>
      <c r="L24" s="15">
        <f t="shared" si="3"/>
        <v>0</v>
      </c>
      <c r="M24" s="15">
        <f t="shared" si="4"/>
        <v>0</v>
      </c>
    </row>
    <row r="25" spans="1:13" x14ac:dyDescent="0.4">
      <c r="A25" s="12" t="str">
        <f>IF(INTRO!$E$39&lt;&gt;"Non endémique", " ", IF(INTRO!$E$37="Non endémique"," ", IF(COUNTRY_INFO!A25=0," ",COUNTRY_INFO!A25)))</f>
        <v xml:space="preserve"> </v>
      </c>
      <c r="B25" s="12" t="str">
        <f>IF(INTRO!$E$39&lt;&gt;"Non endémique", " ", IF(INTRO!$E$37="Non endémique"," ", IF(COUNTRY_INFO!B25=0," ",COUNTRY_INFO!B25)))</f>
        <v xml:space="preserve"> </v>
      </c>
      <c r="C25" s="12" t="str">
        <f>IF(INTRO!$E$39&lt;&gt;"Non endémique", " ", IF(INTRO!$E$37="Non endémique"," ", IF(COUNTRY_INFO!C25=0," ",COUNTRY_INFO!C25)))</f>
        <v xml:space="preserve"> </v>
      </c>
      <c r="D25" s="13">
        <f>IF(INTRO!$E$39&lt;&gt;"Non endémique", 0, IF(INTRO!$E$37="Non endémique",0,IF(COUNTRY_INFO!$H25=1,COUNTRY_INFO!E25,0)))</f>
        <v>0</v>
      </c>
      <c r="E25" s="13">
        <f>IF(INTRO!$E$39&lt;&gt;"Non endémique", 0, IF(INTRO!$E$37="Non endémique",0,IF(COUNTRY_INFO!$H25=1,COUNTRY_INFO!F25,0)))</f>
        <v>0</v>
      </c>
      <c r="F25" s="13">
        <f>IF(INTRO!$E$39&lt;&gt;"Non endémique", 0, IF(INTRO!$E$37="Non endémique",0,IF(COUNTRY_INFO!$H25=1,COUNTRY_INFO!G25,0)))</f>
        <v>0</v>
      </c>
      <c r="G25" s="13">
        <f t="shared" si="0"/>
        <v>0</v>
      </c>
      <c r="H25" s="14" t="str">
        <f>IF(INTRO!$E$39="Non endémique",IF(INTRO!$E$37="Non endémique","Non requis",COUNTRY_INFO!P25),"Traiter avec IVM")</f>
        <v>Traiter avec IVM</v>
      </c>
      <c r="I25" s="13">
        <f t="shared" si="1"/>
        <v>0</v>
      </c>
      <c r="J25" s="13">
        <f t="shared" si="2"/>
        <v>0</v>
      </c>
      <c r="K25" s="24"/>
      <c r="L25" s="15">
        <f t="shared" si="3"/>
        <v>0</v>
      </c>
      <c r="M25" s="15">
        <f t="shared" si="4"/>
        <v>0</v>
      </c>
    </row>
    <row r="26" spans="1:13" x14ac:dyDescent="0.4">
      <c r="A26" s="12" t="str">
        <f>IF(INTRO!$E$39&lt;&gt;"Non endémique", " ", IF(INTRO!$E$37="Non endémique"," ", IF(COUNTRY_INFO!A26=0," ",COUNTRY_INFO!A26)))</f>
        <v xml:space="preserve"> </v>
      </c>
      <c r="B26" s="12" t="str">
        <f>IF(INTRO!$E$39&lt;&gt;"Non endémique", " ", IF(INTRO!$E$37="Non endémique"," ", IF(COUNTRY_INFO!B26=0," ",COUNTRY_INFO!B26)))</f>
        <v xml:space="preserve"> </v>
      </c>
      <c r="C26" s="12" t="str">
        <f>IF(INTRO!$E$39&lt;&gt;"Non endémique", " ", IF(INTRO!$E$37="Non endémique"," ", IF(COUNTRY_INFO!C26=0," ",COUNTRY_INFO!C26)))</f>
        <v xml:space="preserve"> </v>
      </c>
      <c r="D26" s="13">
        <f>IF(INTRO!$E$39&lt;&gt;"Non endémique", 0, IF(INTRO!$E$37="Non endémique",0,IF(COUNTRY_INFO!$H26=1,COUNTRY_INFO!E26,0)))</f>
        <v>0</v>
      </c>
      <c r="E26" s="13">
        <f>IF(INTRO!$E$39&lt;&gt;"Non endémique", 0, IF(INTRO!$E$37="Non endémique",0,IF(COUNTRY_INFO!$H26=1,COUNTRY_INFO!F26,0)))</f>
        <v>0</v>
      </c>
      <c r="F26" s="13">
        <f>IF(INTRO!$E$39&lt;&gt;"Non endémique", 0, IF(INTRO!$E$37="Non endémique",0,IF(COUNTRY_INFO!$H26=1,COUNTRY_INFO!G26,0)))</f>
        <v>0</v>
      </c>
      <c r="G26" s="13">
        <f t="shared" si="0"/>
        <v>0</v>
      </c>
      <c r="H26" s="14" t="str">
        <f>IF(INTRO!$E$39="Non endémique",IF(INTRO!$E$37="Non endémique","Non requis",COUNTRY_INFO!P26),"Traiter avec IVM")</f>
        <v>Traiter avec IVM</v>
      </c>
      <c r="I26" s="13">
        <f t="shared" si="1"/>
        <v>0</v>
      </c>
      <c r="J26" s="13">
        <f t="shared" si="2"/>
        <v>0</v>
      </c>
      <c r="K26" s="24"/>
      <c r="L26" s="15">
        <f t="shared" si="3"/>
        <v>0</v>
      </c>
      <c r="M26" s="15">
        <f t="shared" si="4"/>
        <v>0</v>
      </c>
    </row>
    <row r="27" spans="1:13" x14ac:dyDescent="0.4">
      <c r="A27" s="12" t="str">
        <f>IF(INTRO!$E$39&lt;&gt;"Non endémique", " ", IF(INTRO!$E$37="Non endémique"," ", IF(COUNTRY_INFO!A27=0," ",COUNTRY_INFO!A27)))</f>
        <v xml:space="preserve"> </v>
      </c>
      <c r="B27" s="12" t="str">
        <f>IF(INTRO!$E$39&lt;&gt;"Non endémique", " ", IF(INTRO!$E$37="Non endémique"," ", IF(COUNTRY_INFO!B27=0," ",COUNTRY_INFO!B27)))</f>
        <v xml:space="preserve"> </v>
      </c>
      <c r="C27" s="12" t="str">
        <f>IF(INTRO!$E$39&lt;&gt;"Non endémique", " ", IF(INTRO!$E$37="Non endémique"," ", IF(COUNTRY_INFO!C27=0," ",COUNTRY_INFO!C27)))</f>
        <v xml:space="preserve"> </v>
      </c>
      <c r="D27" s="13">
        <f>IF(INTRO!$E$39&lt;&gt;"Non endémique", 0, IF(INTRO!$E$37="Non endémique",0,IF(COUNTRY_INFO!$H27=1,COUNTRY_INFO!E27,0)))</f>
        <v>0</v>
      </c>
      <c r="E27" s="13">
        <f>IF(INTRO!$E$39&lt;&gt;"Non endémique", 0, IF(INTRO!$E$37="Non endémique",0,IF(COUNTRY_INFO!$H27=1,COUNTRY_INFO!F27,0)))</f>
        <v>0</v>
      </c>
      <c r="F27" s="13">
        <f>IF(INTRO!$E$39&lt;&gt;"Non endémique", 0, IF(INTRO!$E$37="Non endémique",0,IF(COUNTRY_INFO!$H27=1,COUNTRY_INFO!G27,0)))</f>
        <v>0</v>
      </c>
      <c r="G27" s="13">
        <f t="shared" si="0"/>
        <v>0</v>
      </c>
      <c r="H27" s="14" t="str">
        <f>IF(INTRO!$E$39="Non endémique",IF(INTRO!$E$37="Non endémique","Non requis",COUNTRY_INFO!P27),"Traiter avec IVM")</f>
        <v>Traiter avec IVM</v>
      </c>
      <c r="I27" s="13">
        <f t="shared" si="1"/>
        <v>0</v>
      </c>
      <c r="J27" s="13">
        <f t="shared" si="2"/>
        <v>0</v>
      </c>
      <c r="K27" s="24"/>
      <c r="L27" s="15">
        <f t="shared" si="3"/>
        <v>0</v>
      </c>
      <c r="M27" s="15">
        <f t="shared" si="4"/>
        <v>0</v>
      </c>
    </row>
    <row r="28" spans="1:13" x14ac:dyDescent="0.4">
      <c r="A28" s="12" t="str">
        <f>IF(INTRO!$E$39&lt;&gt;"Non endémique", " ", IF(INTRO!$E$37="Non endémique"," ", IF(COUNTRY_INFO!A28=0," ",COUNTRY_INFO!A28)))</f>
        <v xml:space="preserve"> </v>
      </c>
      <c r="B28" s="12" t="str">
        <f>IF(INTRO!$E$39&lt;&gt;"Non endémique", " ", IF(INTRO!$E$37="Non endémique"," ", IF(COUNTRY_INFO!B28=0," ",COUNTRY_INFO!B28)))</f>
        <v xml:space="preserve"> </v>
      </c>
      <c r="C28" s="12" t="str">
        <f>IF(INTRO!$E$39&lt;&gt;"Non endémique", " ", IF(INTRO!$E$37="Non endémique"," ", IF(COUNTRY_INFO!C28=0," ",COUNTRY_INFO!C28)))</f>
        <v xml:space="preserve"> </v>
      </c>
      <c r="D28" s="13">
        <f>IF(INTRO!$E$39&lt;&gt;"Non endémique", 0, IF(INTRO!$E$37="Non endémique",0,IF(COUNTRY_INFO!$H28=1,COUNTRY_INFO!E28,0)))</f>
        <v>0</v>
      </c>
      <c r="E28" s="13">
        <f>IF(INTRO!$E$39&lt;&gt;"Non endémique", 0, IF(INTRO!$E$37="Non endémique",0,IF(COUNTRY_INFO!$H28=1,COUNTRY_INFO!F28,0)))</f>
        <v>0</v>
      </c>
      <c r="F28" s="13">
        <f>IF(INTRO!$E$39&lt;&gt;"Non endémique", 0, IF(INTRO!$E$37="Non endémique",0,IF(COUNTRY_INFO!$H28=1,COUNTRY_INFO!G28,0)))</f>
        <v>0</v>
      </c>
      <c r="G28" s="13">
        <f t="shared" si="0"/>
        <v>0</v>
      </c>
      <c r="H28" s="14" t="str">
        <f>IF(INTRO!$E$39="Non endémique",IF(INTRO!$E$37="Non endémique","Non requis",COUNTRY_INFO!P28),"Traiter avec IVM")</f>
        <v>Traiter avec IVM</v>
      </c>
      <c r="I28" s="13">
        <f t="shared" si="1"/>
        <v>0</v>
      </c>
      <c r="J28" s="13">
        <f t="shared" si="2"/>
        <v>0</v>
      </c>
      <c r="K28" s="24"/>
      <c r="L28" s="15">
        <f t="shared" si="3"/>
        <v>0</v>
      </c>
      <c r="M28" s="15">
        <f t="shared" si="4"/>
        <v>0</v>
      </c>
    </row>
    <row r="29" spans="1:13" x14ac:dyDescent="0.4">
      <c r="A29" s="12" t="str">
        <f>IF(INTRO!$E$39&lt;&gt;"Non endémique", " ", IF(INTRO!$E$37="Non endémique"," ", IF(COUNTRY_INFO!A29=0," ",COUNTRY_INFO!A29)))</f>
        <v xml:space="preserve"> </v>
      </c>
      <c r="B29" s="12" t="str">
        <f>IF(INTRO!$E$39&lt;&gt;"Non endémique", " ", IF(INTRO!$E$37="Non endémique"," ", IF(COUNTRY_INFO!B29=0," ",COUNTRY_INFO!B29)))</f>
        <v xml:space="preserve"> </v>
      </c>
      <c r="C29" s="12" t="str">
        <f>IF(INTRO!$E$39&lt;&gt;"Non endémique", " ", IF(INTRO!$E$37="Non endémique"," ", IF(COUNTRY_INFO!C29=0," ",COUNTRY_INFO!C29)))</f>
        <v xml:space="preserve"> </v>
      </c>
      <c r="D29" s="13">
        <f>IF(INTRO!$E$39&lt;&gt;"Non endémique", 0, IF(INTRO!$E$37="Non endémique",0,IF(COUNTRY_INFO!$H29=1,COUNTRY_INFO!E29,0)))</f>
        <v>0</v>
      </c>
      <c r="E29" s="13">
        <f>IF(INTRO!$E$39&lt;&gt;"Non endémique", 0, IF(INTRO!$E$37="Non endémique",0,IF(COUNTRY_INFO!$H29=1,COUNTRY_INFO!F29,0)))</f>
        <v>0</v>
      </c>
      <c r="F29" s="13">
        <f>IF(INTRO!$E$39&lt;&gt;"Non endémique", 0, IF(INTRO!$E$37="Non endémique",0,IF(COUNTRY_INFO!$H29=1,COUNTRY_INFO!G29,0)))</f>
        <v>0</v>
      </c>
      <c r="G29" s="13">
        <f t="shared" si="0"/>
        <v>0</v>
      </c>
      <c r="H29" s="14" t="str">
        <f>IF(INTRO!$E$39="Non endémique",IF(INTRO!$E$37="Non endémique","Non requis",COUNTRY_INFO!P29),"Traiter avec IVM")</f>
        <v>Traiter avec IVM</v>
      </c>
      <c r="I29" s="13">
        <f t="shared" si="1"/>
        <v>0</v>
      </c>
      <c r="J29" s="13">
        <f t="shared" si="2"/>
        <v>0</v>
      </c>
      <c r="K29" s="24"/>
      <c r="L29" s="15">
        <f t="shared" si="3"/>
        <v>0</v>
      </c>
      <c r="M29" s="15">
        <f t="shared" si="4"/>
        <v>0</v>
      </c>
    </row>
    <row r="30" spans="1:13" x14ac:dyDescent="0.4">
      <c r="A30" s="12" t="str">
        <f>IF(INTRO!$E$39&lt;&gt;"Non endémique", " ", IF(INTRO!$E$37="Non endémique"," ", IF(COUNTRY_INFO!A30=0," ",COUNTRY_INFO!A30)))</f>
        <v xml:space="preserve"> </v>
      </c>
      <c r="B30" s="12" t="str">
        <f>IF(INTRO!$E$39&lt;&gt;"Non endémique", " ", IF(INTRO!$E$37="Non endémique"," ", IF(COUNTRY_INFO!B30=0," ",COUNTRY_INFO!B30)))</f>
        <v xml:space="preserve"> </v>
      </c>
      <c r="C30" s="12" t="str">
        <f>IF(INTRO!$E$39&lt;&gt;"Non endémique", " ", IF(INTRO!$E$37="Non endémique"," ", IF(COUNTRY_INFO!C30=0," ",COUNTRY_INFO!C30)))</f>
        <v xml:space="preserve"> </v>
      </c>
      <c r="D30" s="13">
        <f>IF(INTRO!$E$39&lt;&gt;"Non endémique", 0, IF(INTRO!$E$37="Non endémique",0,IF(COUNTRY_INFO!$H30=1,COUNTRY_INFO!E30,0)))</f>
        <v>0</v>
      </c>
      <c r="E30" s="13">
        <f>IF(INTRO!$E$39&lt;&gt;"Non endémique", 0, IF(INTRO!$E$37="Non endémique",0,IF(COUNTRY_INFO!$H30=1,COUNTRY_INFO!F30,0)))</f>
        <v>0</v>
      </c>
      <c r="F30" s="13">
        <f>IF(INTRO!$E$39&lt;&gt;"Non endémique", 0, IF(INTRO!$E$37="Non endémique",0,IF(COUNTRY_INFO!$H30=1,COUNTRY_INFO!G30,0)))</f>
        <v>0</v>
      </c>
      <c r="G30" s="13">
        <f t="shared" si="0"/>
        <v>0</v>
      </c>
      <c r="H30" s="14" t="str">
        <f>IF(INTRO!$E$39="Non endémique",IF(INTRO!$E$37="Non endémique","Non requis",COUNTRY_INFO!P30),"Traiter avec IVM")</f>
        <v>Traiter avec IVM</v>
      </c>
      <c r="I30" s="13">
        <f t="shared" si="1"/>
        <v>0</v>
      </c>
      <c r="J30" s="13">
        <f t="shared" si="2"/>
        <v>0</v>
      </c>
      <c r="K30" s="24"/>
      <c r="L30" s="15">
        <f t="shared" si="3"/>
        <v>0</v>
      </c>
      <c r="M30" s="15">
        <f t="shared" si="4"/>
        <v>0</v>
      </c>
    </row>
    <row r="31" spans="1:13" x14ac:dyDescent="0.4">
      <c r="A31" s="12" t="str">
        <f>IF(INTRO!$E$39&lt;&gt;"Non endémique", " ", IF(INTRO!$E$37="Non endémique"," ", IF(COUNTRY_INFO!A31=0," ",COUNTRY_INFO!A31)))</f>
        <v xml:space="preserve"> </v>
      </c>
      <c r="B31" s="12" t="str">
        <f>IF(INTRO!$E$39&lt;&gt;"Non endémique", " ", IF(INTRO!$E$37="Non endémique"," ", IF(COUNTRY_INFO!B31=0," ",COUNTRY_INFO!B31)))</f>
        <v xml:space="preserve"> </v>
      </c>
      <c r="C31" s="12" t="str">
        <f>IF(INTRO!$E$39&lt;&gt;"Non endémique", " ", IF(INTRO!$E$37="Non endémique"," ", IF(COUNTRY_INFO!C31=0," ",COUNTRY_INFO!C31)))</f>
        <v xml:space="preserve"> </v>
      </c>
      <c r="D31" s="13">
        <f>IF(INTRO!$E$39&lt;&gt;"Non endémique", 0, IF(INTRO!$E$37="Non endémique",0,IF(COUNTRY_INFO!$H31=1,COUNTRY_INFO!E31,0)))</f>
        <v>0</v>
      </c>
      <c r="E31" s="13">
        <f>IF(INTRO!$E$39&lt;&gt;"Non endémique", 0, IF(INTRO!$E$37="Non endémique",0,IF(COUNTRY_INFO!$H31=1,COUNTRY_INFO!F31,0)))</f>
        <v>0</v>
      </c>
      <c r="F31" s="13">
        <f>IF(INTRO!$E$39&lt;&gt;"Non endémique", 0, IF(INTRO!$E$37="Non endémique",0,IF(COUNTRY_INFO!$H31=1,COUNTRY_INFO!G31,0)))</f>
        <v>0</v>
      </c>
      <c r="G31" s="13">
        <f t="shared" si="0"/>
        <v>0</v>
      </c>
      <c r="H31" s="14" t="str">
        <f>IF(INTRO!$E$39="Non endémique",IF(INTRO!$E$37="Non endémique","Non requis",COUNTRY_INFO!P31),"Traiter avec IVM")</f>
        <v>Traiter avec IVM</v>
      </c>
      <c r="I31" s="13">
        <f t="shared" si="1"/>
        <v>0</v>
      </c>
      <c r="J31" s="13">
        <f t="shared" si="2"/>
        <v>0</v>
      </c>
      <c r="K31" s="24"/>
      <c r="L31" s="15">
        <f t="shared" si="3"/>
        <v>0</v>
      </c>
      <c r="M31" s="15">
        <f t="shared" si="4"/>
        <v>0</v>
      </c>
    </row>
    <row r="32" spans="1:13" x14ac:dyDescent="0.4">
      <c r="A32" s="12" t="str">
        <f>IF(INTRO!$E$39&lt;&gt;"Non endémique", " ", IF(INTRO!$E$37="Non endémique"," ", IF(COUNTRY_INFO!A32=0," ",COUNTRY_INFO!A32)))</f>
        <v xml:space="preserve"> </v>
      </c>
      <c r="B32" s="12" t="str">
        <f>IF(INTRO!$E$39&lt;&gt;"Non endémique", " ", IF(INTRO!$E$37="Non endémique"," ", IF(COUNTRY_INFO!B32=0," ",COUNTRY_INFO!B32)))</f>
        <v xml:space="preserve"> </v>
      </c>
      <c r="C32" s="12" t="str">
        <f>IF(INTRO!$E$39&lt;&gt;"Non endémique", " ", IF(INTRO!$E$37="Non endémique"," ", IF(COUNTRY_INFO!C32=0," ",COUNTRY_INFO!C32)))</f>
        <v xml:space="preserve"> </v>
      </c>
      <c r="D32" s="13">
        <f>IF(INTRO!$E$39&lt;&gt;"Non endémique", 0, IF(INTRO!$E$37="Non endémique",0,IF(COUNTRY_INFO!$H32=1,COUNTRY_INFO!E32,0)))</f>
        <v>0</v>
      </c>
      <c r="E32" s="13">
        <f>IF(INTRO!$E$39&lt;&gt;"Non endémique", 0, IF(INTRO!$E$37="Non endémique",0,IF(COUNTRY_INFO!$H32=1,COUNTRY_INFO!F32,0)))</f>
        <v>0</v>
      </c>
      <c r="F32" s="13">
        <f>IF(INTRO!$E$39&lt;&gt;"Non endémique", 0, IF(INTRO!$E$37="Non endémique",0,IF(COUNTRY_INFO!$H32=1,COUNTRY_INFO!G32,0)))</f>
        <v>0</v>
      </c>
      <c r="G32" s="13">
        <f t="shared" si="0"/>
        <v>0</v>
      </c>
      <c r="H32" s="14" t="str">
        <f>IF(INTRO!$E$39="Non endémique",IF(INTRO!$E$37="Non endémique","Non requis",COUNTRY_INFO!P32),"Traiter avec IVM")</f>
        <v>Traiter avec IVM</v>
      </c>
      <c r="I32" s="13">
        <f t="shared" si="1"/>
        <v>0</v>
      </c>
      <c r="J32" s="13">
        <f t="shared" si="2"/>
        <v>0</v>
      </c>
      <c r="K32" s="24"/>
      <c r="L32" s="15">
        <f t="shared" si="3"/>
        <v>0</v>
      </c>
      <c r="M32" s="15">
        <f t="shared" si="4"/>
        <v>0</v>
      </c>
    </row>
    <row r="33" spans="1:13" x14ac:dyDescent="0.4">
      <c r="A33" s="12" t="str">
        <f>IF(INTRO!$E$39&lt;&gt;"Non endémique", " ", IF(INTRO!$E$37="Non endémique"," ", IF(COUNTRY_INFO!A33=0," ",COUNTRY_INFO!A33)))</f>
        <v xml:space="preserve"> </v>
      </c>
      <c r="B33" s="12" t="str">
        <f>IF(INTRO!$E$39&lt;&gt;"Non endémique", " ", IF(INTRO!$E$37="Non endémique"," ", IF(COUNTRY_INFO!B33=0," ",COUNTRY_INFO!B33)))</f>
        <v xml:space="preserve"> </v>
      </c>
      <c r="C33" s="12" t="str">
        <f>IF(INTRO!$E$39&lt;&gt;"Non endémique", " ", IF(INTRO!$E$37="Non endémique"," ", IF(COUNTRY_INFO!C33=0," ",COUNTRY_INFO!C33)))</f>
        <v xml:space="preserve"> </v>
      </c>
      <c r="D33" s="13">
        <f>IF(INTRO!$E$39&lt;&gt;"Non endémique", 0, IF(INTRO!$E$37="Non endémique",0,IF(COUNTRY_INFO!$H33=1,COUNTRY_INFO!E33,0)))</f>
        <v>0</v>
      </c>
      <c r="E33" s="13">
        <f>IF(INTRO!$E$39&lt;&gt;"Non endémique", 0, IF(INTRO!$E$37="Non endémique",0,IF(COUNTRY_INFO!$H33=1,COUNTRY_INFO!F33,0)))</f>
        <v>0</v>
      </c>
      <c r="F33" s="13">
        <f>IF(INTRO!$E$39&lt;&gt;"Non endémique", 0, IF(INTRO!$E$37="Non endémique",0,IF(COUNTRY_INFO!$H33=1,COUNTRY_INFO!G33,0)))</f>
        <v>0</v>
      </c>
      <c r="G33" s="13">
        <f t="shared" si="0"/>
        <v>0</v>
      </c>
      <c r="H33" s="14" t="str">
        <f>IF(INTRO!$E$39="Non endémique",IF(INTRO!$E$37="Non endémique","Non requis",COUNTRY_INFO!P33),"Traiter avec IVM")</f>
        <v>Traiter avec IVM</v>
      </c>
      <c r="I33" s="13">
        <f t="shared" si="1"/>
        <v>0</v>
      </c>
      <c r="J33" s="13">
        <f t="shared" si="2"/>
        <v>0</v>
      </c>
      <c r="K33" s="24"/>
      <c r="L33" s="15">
        <f t="shared" si="3"/>
        <v>0</v>
      </c>
      <c r="M33" s="15">
        <f t="shared" si="4"/>
        <v>0</v>
      </c>
    </row>
    <row r="34" spans="1:13" x14ac:dyDescent="0.4">
      <c r="A34" s="12" t="str">
        <f>IF(INTRO!$E$39&lt;&gt;"Non endémique", " ", IF(INTRO!$E$37="Non endémique"," ", IF(COUNTRY_INFO!A34=0," ",COUNTRY_INFO!A34)))</f>
        <v xml:space="preserve"> </v>
      </c>
      <c r="B34" s="12" t="str">
        <f>IF(INTRO!$E$39&lt;&gt;"Non endémique", " ", IF(INTRO!$E$37="Non endémique"," ", IF(COUNTRY_INFO!B34=0," ",COUNTRY_INFO!B34)))</f>
        <v xml:space="preserve"> </v>
      </c>
      <c r="C34" s="12" t="str">
        <f>IF(INTRO!$E$39&lt;&gt;"Non endémique", " ", IF(INTRO!$E$37="Non endémique"," ", IF(COUNTRY_INFO!C34=0," ",COUNTRY_INFO!C34)))</f>
        <v xml:space="preserve"> </v>
      </c>
      <c r="D34" s="13">
        <f>IF(INTRO!$E$39&lt;&gt;"Non endémique", 0, IF(INTRO!$E$37="Non endémique",0,IF(COUNTRY_INFO!$H34=1,COUNTRY_INFO!E34,0)))</f>
        <v>0</v>
      </c>
      <c r="E34" s="13">
        <f>IF(INTRO!$E$39&lt;&gt;"Non endémique", 0, IF(INTRO!$E$37="Non endémique",0,IF(COUNTRY_INFO!$H34=1,COUNTRY_INFO!F34,0)))</f>
        <v>0</v>
      </c>
      <c r="F34" s="13">
        <f>IF(INTRO!$E$39&lt;&gt;"Non endémique", 0, IF(INTRO!$E$37="Non endémique",0,IF(COUNTRY_INFO!$H34=1,COUNTRY_INFO!G34,0)))</f>
        <v>0</v>
      </c>
      <c r="G34" s="13">
        <f t="shared" si="0"/>
        <v>0</v>
      </c>
      <c r="H34" s="14" t="str">
        <f>IF(INTRO!$E$39="Non endémique",IF(INTRO!$E$37="Non endémique","Non requis",COUNTRY_INFO!P34),"Traiter avec IVM")</f>
        <v>Traiter avec IVM</v>
      </c>
      <c r="I34" s="13">
        <f t="shared" si="1"/>
        <v>0</v>
      </c>
      <c r="J34" s="13">
        <f t="shared" si="2"/>
        <v>0</v>
      </c>
      <c r="K34" s="24"/>
      <c r="L34" s="15">
        <f t="shared" si="3"/>
        <v>0</v>
      </c>
      <c r="M34" s="15">
        <f t="shared" si="4"/>
        <v>0</v>
      </c>
    </row>
    <row r="35" spans="1:13" x14ac:dyDescent="0.4">
      <c r="A35" s="12" t="str">
        <f>IF(INTRO!$E$39&lt;&gt;"Non endémique", " ", IF(INTRO!$E$37="Non endémique"," ", IF(COUNTRY_INFO!A35=0," ",COUNTRY_INFO!A35)))</f>
        <v xml:space="preserve"> </v>
      </c>
      <c r="B35" s="12" t="str">
        <f>IF(INTRO!$E$39&lt;&gt;"Non endémique", " ", IF(INTRO!$E$37="Non endémique"," ", IF(COUNTRY_INFO!B35=0," ",COUNTRY_INFO!B35)))</f>
        <v xml:space="preserve"> </v>
      </c>
      <c r="C35" s="12" t="str">
        <f>IF(INTRO!$E$39&lt;&gt;"Non endémique", " ", IF(INTRO!$E$37="Non endémique"," ", IF(COUNTRY_INFO!C35=0," ",COUNTRY_INFO!C35)))</f>
        <v xml:space="preserve"> </v>
      </c>
      <c r="D35" s="13">
        <f>IF(INTRO!$E$39&lt;&gt;"Non endémique", 0, IF(INTRO!$E$37="Non endémique",0,IF(COUNTRY_INFO!$H35=1,COUNTRY_INFO!E35,0)))</f>
        <v>0</v>
      </c>
      <c r="E35" s="13">
        <f>IF(INTRO!$E$39&lt;&gt;"Non endémique", 0, IF(INTRO!$E$37="Non endémique",0,IF(COUNTRY_INFO!$H35=1,COUNTRY_INFO!F35,0)))</f>
        <v>0</v>
      </c>
      <c r="F35" s="13">
        <f>IF(INTRO!$E$39&lt;&gt;"Non endémique", 0, IF(INTRO!$E$37="Non endémique",0,IF(COUNTRY_INFO!$H35=1,COUNTRY_INFO!G35,0)))</f>
        <v>0</v>
      </c>
      <c r="G35" s="13">
        <f t="shared" si="0"/>
        <v>0</v>
      </c>
      <c r="H35" s="14" t="str">
        <f>IF(INTRO!$E$39="Non endémique",IF(INTRO!$E$37="Non endémique","Non requis",COUNTRY_INFO!P35),"Traiter avec IVM")</f>
        <v>Traiter avec IVM</v>
      </c>
      <c r="I35" s="13">
        <f t="shared" si="1"/>
        <v>0</v>
      </c>
      <c r="J35" s="13">
        <f t="shared" si="2"/>
        <v>0</v>
      </c>
      <c r="K35" s="24"/>
      <c r="L35" s="15">
        <f t="shared" si="3"/>
        <v>0</v>
      </c>
      <c r="M35" s="15">
        <f t="shared" si="4"/>
        <v>0</v>
      </c>
    </row>
    <row r="36" spans="1:13" x14ac:dyDescent="0.4">
      <c r="A36" s="12" t="str">
        <f>IF(INTRO!$E$39&lt;&gt;"Non endémique", " ", IF(INTRO!$E$37="Non endémique"," ", IF(COUNTRY_INFO!A36=0," ",COUNTRY_INFO!A36)))</f>
        <v xml:space="preserve"> </v>
      </c>
      <c r="B36" s="12" t="str">
        <f>IF(INTRO!$E$39&lt;&gt;"Non endémique", " ", IF(INTRO!$E$37="Non endémique"," ", IF(COUNTRY_INFO!B36=0," ",COUNTRY_INFO!B36)))</f>
        <v xml:space="preserve"> </v>
      </c>
      <c r="C36" s="12" t="str">
        <f>IF(INTRO!$E$39&lt;&gt;"Non endémique", " ", IF(INTRO!$E$37="Non endémique"," ", IF(COUNTRY_INFO!C36=0," ",COUNTRY_INFO!C36)))</f>
        <v xml:space="preserve"> </v>
      </c>
      <c r="D36" s="13">
        <f>IF(INTRO!$E$39&lt;&gt;"Non endémique", 0, IF(INTRO!$E$37="Non endémique",0,IF(COUNTRY_INFO!$H36=1,COUNTRY_INFO!E36,0)))</f>
        <v>0</v>
      </c>
      <c r="E36" s="13">
        <f>IF(INTRO!$E$39&lt;&gt;"Non endémique", 0, IF(INTRO!$E$37="Non endémique",0,IF(COUNTRY_INFO!$H36=1,COUNTRY_INFO!F36,0)))</f>
        <v>0</v>
      </c>
      <c r="F36" s="13">
        <f>IF(INTRO!$E$39&lt;&gt;"Non endémique", 0, IF(INTRO!$E$37="Non endémique",0,IF(COUNTRY_INFO!$H36=1,COUNTRY_INFO!G36,0)))</f>
        <v>0</v>
      </c>
      <c r="G36" s="13">
        <f t="shared" si="0"/>
        <v>0</v>
      </c>
      <c r="H36" s="14" t="str">
        <f>IF(INTRO!$E$39="Non endémique",IF(INTRO!$E$37="Non endémique","Non requis",COUNTRY_INFO!P36),"Traiter avec IVM")</f>
        <v>Traiter avec IVM</v>
      </c>
      <c r="I36" s="13">
        <f t="shared" si="1"/>
        <v>0</v>
      </c>
      <c r="J36" s="13">
        <f t="shared" si="2"/>
        <v>0</v>
      </c>
      <c r="K36" s="24"/>
      <c r="L36" s="15">
        <f t="shared" si="3"/>
        <v>0</v>
      </c>
      <c r="M36" s="15">
        <f t="shared" si="4"/>
        <v>0</v>
      </c>
    </row>
    <row r="37" spans="1:13" x14ac:dyDescent="0.4">
      <c r="A37" s="12" t="str">
        <f>IF(INTRO!$E$39&lt;&gt;"Non endémique", " ", IF(INTRO!$E$37="Non endémique"," ", IF(COUNTRY_INFO!A37=0," ",COUNTRY_INFO!A37)))</f>
        <v xml:space="preserve"> </v>
      </c>
      <c r="B37" s="12" t="str">
        <f>IF(INTRO!$E$39&lt;&gt;"Non endémique", " ", IF(INTRO!$E$37="Non endémique"," ", IF(COUNTRY_INFO!B37=0," ",COUNTRY_INFO!B37)))</f>
        <v xml:space="preserve"> </v>
      </c>
      <c r="C37" s="12" t="str">
        <f>IF(INTRO!$E$39&lt;&gt;"Non endémique", " ", IF(INTRO!$E$37="Non endémique"," ", IF(COUNTRY_INFO!C37=0," ",COUNTRY_INFO!C37)))</f>
        <v xml:space="preserve"> </v>
      </c>
      <c r="D37" s="13">
        <f>IF(INTRO!$E$39&lt;&gt;"Non endémique", 0, IF(INTRO!$E$37="Non endémique",0,IF(COUNTRY_INFO!$H37=1,COUNTRY_INFO!E37,0)))</f>
        <v>0</v>
      </c>
      <c r="E37" s="13">
        <f>IF(INTRO!$E$39&lt;&gt;"Non endémique", 0, IF(INTRO!$E$37="Non endémique",0,IF(COUNTRY_INFO!$H37=1,COUNTRY_INFO!F37,0)))</f>
        <v>0</v>
      </c>
      <c r="F37" s="13">
        <f>IF(INTRO!$E$39&lt;&gt;"Non endémique", 0, IF(INTRO!$E$37="Non endémique",0,IF(COUNTRY_INFO!$H37=1,COUNTRY_INFO!G37,0)))</f>
        <v>0</v>
      </c>
      <c r="G37" s="13">
        <f t="shared" si="0"/>
        <v>0</v>
      </c>
      <c r="H37" s="14" t="str">
        <f>IF(INTRO!$E$39="Non endémique",IF(INTRO!$E$37="Non endémique","Non requis",COUNTRY_INFO!P37),"Traiter avec IVM")</f>
        <v>Traiter avec IVM</v>
      </c>
      <c r="I37" s="13">
        <f t="shared" si="1"/>
        <v>0</v>
      </c>
      <c r="J37" s="13">
        <f t="shared" si="2"/>
        <v>0</v>
      </c>
      <c r="K37" s="24"/>
      <c r="L37" s="15">
        <f t="shared" si="3"/>
        <v>0</v>
      </c>
      <c r="M37" s="15">
        <f t="shared" si="4"/>
        <v>0</v>
      </c>
    </row>
    <row r="38" spans="1:13" x14ac:dyDescent="0.4">
      <c r="A38" s="12" t="str">
        <f>IF(INTRO!$E$39&lt;&gt;"Non endémique", " ", IF(INTRO!$E$37="Non endémique"," ", IF(COUNTRY_INFO!A38=0," ",COUNTRY_INFO!A38)))</f>
        <v xml:space="preserve"> </v>
      </c>
      <c r="B38" s="12" t="str">
        <f>IF(INTRO!$E$39&lt;&gt;"Non endémique", " ", IF(INTRO!$E$37="Non endémique"," ", IF(COUNTRY_INFO!B38=0," ",COUNTRY_INFO!B38)))</f>
        <v xml:space="preserve"> </v>
      </c>
      <c r="C38" s="12" t="str">
        <f>IF(INTRO!$E$39&lt;&gt;"Non endémique", " ", IF(INTRO!$E$37="Non endémique"," ", IF(COUNTRY_INFO!C38=0," ",COUNTRY_INFO!C38)))</f>
        <v xml:space="preserve"> </v>
      </c>
      <c r="D38" s="13">
        <f>IF(INTRO!$E$39&lt;&gt;"Non endémique", 0, IF(INTRO!$E$37="Non endémique",0,IF(COUNTRY_INFO!$H38=1,COUNTRY_INFO!E38,0)))</f>
        <v>0</v>
      </c>
      <c r="E38" s="13">
        <f>IF(INTRO!$E$39&lt;&gt;"Non endémique", 0, IF(INTRO!$E$37="Non endémique",0,IF(COUNTRY_INFO!$H38=1,COUNTRY_INFO!F38,0)))</f>
        <v>0</v>
      </c>
      <c r="F38" s="13">
        <f>IF(INTRO!$E$39&lt;&gt;"Non endémique", 0, IF(INTRO!$E$37="Non endémique",0,IF(COUNTRY_INFO!$H38=1,COUNTRY_INFO!G38,0)))</f>
        <v>0</v>
      </c>
      <c r="G38" s="13">
        <f t="shared" si="0"/>
        <v>0</v>
      </c>
      <c r="H38" s="14" t="str">
        <f>IF(INTRO!$E$39="Non endémique",IF(INTRO!$E$37="Non endémique","Non requis",COUNTRY_INFO!P38),"Traiter avec IVM")</f>
        <v>Traiter avec IVM</v>
      </c>
      <c r="I38" s="13">
        <f t="shared" si="1"/>
        <v>0</v>
      </c>
      <c r="J38" s="13">
        <f t="shared" si="2"/>
        <v>0</v>
      </c>
      <c r="K38" s="24"/>
      <c r="L38" s="15">
        <f t="shared" si="3"/>
        <v>0</v>
      </c>
      <c r="M38" s="15">
        <f t="shared" si="4"/>
        <v>0</v>
      </c>
    </row>
    <row r="39" spans="1:13" x14ac:dyDescent="0.4">
      <c r="A39" s="12" t="str">
        <f>IF(INTRO!$E$39&lt;&gt;"Non endémique", " ", IF(INTRO!$E$37="Non endémique"," ", IF(COUNTRY_INFO!A39=0," ",COUNTRY_INFO!A39)))</f>
        <v xml:space="preserve"> </v>
      </c>
      <c r="B39" s="12" t="str">
        <f>IF(INTRO!$E$39&lt;&gt;"Non endémique", " ", IF(INTRO!$E$37="Non endémique"," ", IF(COUNTRY_INFO!B39=0," ",COUNTRY_INFO!B39)))</f>
        <v xml:space="preserve"> </v>
      </c>
      <c r="C39" s="12" t="str">
        <f>IF(INTRO!$E$39&lt;&gt;"Non endémique", " ", IF(INTRO!$E$37="Non endémique"," ", IF(COUNTRY_INFO!C39=0," ",COUNTRY_INFO!C39)))</f>
        <v xml:space="preserve"> </v>
      </c>
      <c r="D39" s="13">
        <f>IF(INTRO!$E$39&lt;&gt;"Non endémique", 0, IF(INTRO!$E$37="Non endémique",0,IF(COUNTRY_INFO!$H39=1,COUNTRY_INFO!E39,0)))</f>
        <v>0</v>
      </c>
      <c r="E39" s="13">
        <f>IF(INTRO!$E$39&lt;&gt;"Non endémique", 0, IF(INTRO!$E$37="Non endémique",0,IF(COUNTRY_INFO!$H39=1,COUNTRY_INFO!F39,0)))</f>
        <v>0</v>
      </c>
      <c r="F39" s="13">
        <f>IF(INTRO!$E$39&lt;&gt;"Non endémique", 0, IF(INTRO!$E$37="Non endémique",0,IF(COUNTRY_INFO!$H39=1,COUNTRY_INFO!G39,0)))</f>
        <v>0</v>
      </c>
      <c r="G39" s="13">
        <f t="shared" si="0"/>
        <v>0</v>
      </c>
      <c r="H39" s="14" t="str">
        <f>IF(INTRO!$E$39="Non endémique",IF(INTRO!$E$37="Non endémique","Non requis",COUNTRY_INFO!P39),"Traiter avec IVM")</f>
        <v>Traiter avec IVM</v>
      </c>
      <c r="I39" s="13">
        <f t="shared" si="1"/>
        <v>0</v>
      </c>
      <c r="J39" s="13">
        <f t="shared" si="2"/>
        <v>0</v>
      </c>
      <c r="K39" s="24"/>
      <c r="L39" s="15">
        <f t="shared" si="3"/>
        <v>0</v>
      </c>
      <c r="M39" s="15">
        <f t="shared" si="4"/>
        <v>0</v>
      </c>
    </row>
    <row r="40" spans="1:13" x14ac:dyDescent="0.4">
      <c r="A40" s="12" t="str">
        <f>IF(INTRO!$E$39&lt;&gt;"Non endémique", " ", IF(INTRO!$E$37="Non endémique"," ", IF(COUNTRY_INFO!A40=0," ",COUNTRY_INFO!A40)))</f>
        <v xml:space="preserve"> </v>
      </c>
      <c r="B40" s="12" t="str">
        <f>IF(INTRO!$E$39&lt;&gt;"Non endémique", " ", IF(INTRO!$E$37="Non endémique"," ", IF(COUNTRY_INFO!B40=0," ",COUNTRY_INFO!B40)))</f>
        <v xml:space="preserve"> </v>
      </c>
      <c r="C40" s="12" t="str">
        <f>IF(INTRO!$E$39&lt;&gt;"Non endémique", " ", IF(INTRO!$E$37="Non endémique"," ", IF(COUNTRY_INFO!C40=0," ",COUNTRY_INFO!C40)))</f>
        <v xml:space="preserve"> </v>
      </c>
      <c r="D40" s="13">
        <f>IF(INTRO!$E$39&lt;&gt;"Non endémique", 0, IF(INTRO!$E$37="Non endémique",0,IF(COUNTRY_INFO!$H40=1,COUNTRY_INFO!E40,0)))</f>
        <v>0</v>
      </c>
      <c r="E40" s="13">
        <f>IF(INTRO!$E$39&lt;&gt;"Non endémique", 0, IF(INTRO!$E$37="Non endémique",0,IF(COUNTRY_INFO!$H40=1,COUNTRY_INFO!F40,0)))</f>
        <v>0</v>
      </c>
      <c r="F40" s="13">
        <f>IF(INTRO!$E$39&lt;&gt;"Non endémique", 0, IF(INTRO!$E$37="Non endémique",0,IF(COUNTRY_INFO!$H40=1,COUNTRY_INFO!G40,0)))</f>
        <v>0</v>
      </c>
      <c r="G40" s="13">
        <f t="shared" si="0"/>
        <v>0</v>
      </c>
      <c r="H40" s="14" t="str">
        <f>IF(INTRO!$E$39="Non endémique",IF(INTRO!$E$37="Non endémique","Non requis",COUNTRY_INFO!P40),"Traiter avec IVM")</f>
        <v>Traiter avec IVM</v>
      </c>
      <c r="I40" s="13">
        <f t="shared" si="1"/>
        <v>0</v>
      </c>
      <c r="J40" s="13">
        <f t="shared" si="2"/>
        <v>0</v>
      </c>
      <c r="K40" s="24"/>
      <c r="L40" s="15">
        <f t="shared" si="3"/>
        <v>0</v>
      </c>
      <c r="M40" s="15">
        <f t="shared" si="4"/>
        <v>0</v>
      </c>
    </row>
    <row r="41" spans="1:13" x14ac:dyDescent="0.4">
      <c r="A41" s="12" t="str">
        <f>IF(INTRO!$E$39&lt;&gt;"Non endémique", " ", IF(INTRO!$E$37="Non endémique"," ", IF(COUNTRY_INFO!A41=0," ",COUNTRY_INFO!A41)))</f>
        <v xml:space="preserve"> </v>
      </c>
      <c r="B41" s="12" t="str">
        <f>IF(INTRO!$E$39&lt;&gt;"Non endémique", " ", IF(INTRO!$E$37="Non endémique"," ", IF(COUNTRY_INFO!B41=0," ",COUNTRY_INFO!B41)))</f>
        <v xml:space="preserve"> </v>
      </c>
      <c r="C41" s="12" t="str">
        <f>IF(INTRO!$E$39&lt;&gt;"Non endémique", " ", IF(INTRO!$E$37="Non endémique"," ", IF(COUNTRY_INFO!C41=0," ",COUNTRY_INFO!C41)))</f>
        <v xml:space="preserve"> </v>
      </c>
      <c r="D41" s="13">
        <f>IF(INTRO!$E$39&lt;&gt;"Non endémique", 0, IF(INTRO!$E$37="Non endémique",0,IF(COUNTRY_INFO!$H41=1,COUNTRY_INFO!E41,0)))</f>
        <v>0</v>
      </c>
      <c r="E41" s="13">
        <f>IF(INTRO!$E$39&lt;&gt;"Non endémique", 0, IF(INTRO!$E$37="Non endémique",0,IF(COUNTRY_INFO!$H41=1,COUNTRY_INFO!F41,0)))</f>
        <v>0</v>
      </c>
      <c r="F41" s="13">
        <f>IF(INTRO!$E$39&lt;&gt;"Non endémique", 0, IF(INTRO!$E$37="Non endémique",0,IF(COUNTRY_INFO!$H41=1,COUNTRY_INFO!G41,0)))</f>
        <v>0</v>
      </c>
      <c r="G41" s="13">
        <f t="shared" ref="G41:G72" si="5">SUM(D41:F41)</f>
        <v>0</v>
      </c>
      <c r="H41" s="14" t="str">
        <f>IF(INTRO!$E$39="Non endémique",IF(INTRO!$E$37="Non endémique","Non requis",COUNTRY_INFO!P41),"Traiter avec IVM")</f>
        <v>Traiter avec IVM</v>
      </c>
      <c r="I41" s="13">
        <f t="shared" ref="I41:I72" si="6">IF(H41=1,G41,0)</f>
        <v>0</v>
      </c>
      <c r="J41" s="13">
        <f t="shared" ref="J41:J72" si="7">IF(I41&gt;0,I41*2.5,0)</f>
        <v>0</v>
      </c>
      <c r="K41" s="24"/>
      <c r="L41" s="15">
        <f t="shared" ref="L41:L72" si="8">IF($J41&gt;$K41,$J41-$K41,0)</f>
        <v>0</v>
      </c>
      <c r="M41" s="15">
        <f t="shared" ref="M41:M72" si="9">ROUNDUP($J41/1000,0)</f>
        <v>0</v>
      </c>
    </row>
    <row r="42" spans="1:13" x14ac:dyDescent="0.4">
      <c r="A42" s="12" t="str">
        <f>IF(INTRO!$E$39&lt;&gt;"Non endémique", " ", IF(INTRO!$E$37="Non endémique"," ", IF(COUNTRY_INFO!A42=0," ",COUNTRY_INFO!A42)))</f>
        <v xml:space="preserve"> </v>
      </c>
      <c r="B42" s="12" t="str">
        <f>IF(INTRO!$E$39&lt;&gt;"Non endémique", " ", IF(INTRO!$E$37="Non endémique"," ", IF(COUNTRY_INFO!B42=0," ",COUNTRY_INFO!B42)))</f>
        <v xml:space="preserve"> </v>
      </c>
      <c r="C42" s="12" t="str">
        <f>IF(INTRO!$E$39&lt;&gt;"Non endémique", " ", IF(INTRO!$E$37="Non endémique"," ", IF(COUNTRY_INFO!C42=0," ",COUNTRY_INFO!C42)))</f>
        <v xml:space="preserve"> </v>
      </c>
      <c r="D42" s="13">
        <f>IF(INTRO!$E$39&lt;&gt;"Non endémique", 0, IF(INTRO!$E$37="Non endémique",0,IF(COUNTRY_INFO!$H42=1,COUNTRY_INFO!E42,0)))</f>
        <v>0</v>
      </c>
      <c r="E42" s="13">
        <f>IF(INTRO!$E$39&lt;&gt;"Non endémique", 0, IF(INTRO!$E$37="Non endémique",0,IF(COUNTRY_INFO!$H42=1,COUNTRY_INFO!F42,0)))</f>
        <v>0</v>
      </c>
      <c r="F42" s="13">
        <f>IF(INTRO!$E$39&lt;&gt;"Non endémique", 0, IF(INTRO!$E$37="Non endémique",0,IF(COUNTRY_INFO!$H42=1,COUNTRY_INFO!G42,0)))</f>
        <v>0</v>
      </c>
      <c r="G42" s="13">
        <f t="shared" si="5"/>
        <v>0</v>
      </c>
      <c r="H42" s="14" t="str">
        <f>IF(INTRO!$E$39="Non endémique",IF(INTRO!$E$37="Non endémique","Non requis",COUNTRY_INFO!P42),"Traiter avec IVM")</f>
        <v>Traiter avec IVM</v>
      </c>
      <c r="I42" s="13">
        <f t="shared" si="6"/>
        <v>0</v>
      </c>
      <c r="J42" s="13">
        <f t="shared" si="7"/>
        <v>0</v>
      </c>
      <c r="K42" s="24"/>
      <c r="L42" s="15">
        <f t="shared" si="8"/>
        <v>0</v>
      </c>
      <c r="M42" s="15">
        <f t="shared" si="9"/>
        <v>0</v>
      </c>
    </row>
    <row r="43" spans="1:13" x14ac:dyDescent="0.4">
      <c r="A43" s="12" t="str">
        <f>IF(INTRO!$E$39&lt;&gt;"Non endémique", " ", IF(INTRO!$E$37="Non endémique"," ", IF(COUNTRY_INFO!A43=0," ",COUNTRY_INFO!A43)))</f>
        <v xml:space="preserve"> </v>
      </c>
      <c r="B43" s="12" t="str">
        <f>IF(INTRO!$E$39&lt;&gt;"Non endémique", " ", IF(INTRO!$E$37="Non endémique"," ", IF(COUNTRY_INFO!B43=0," ",COUNTRY_INFO!B43)))</f>
        <v xml:space="preserve"> </v>
      </c>
      <c r="C43" s="12" t="str">
        <f>IF(INTRO!$E$39&lt;&gt;"Non endémique", " ", IF(INTRO!$E$37="Non endémique"," ", IF(COUNTRY_INFO!C43=0," ",COUNTRY_INFO!C43)))</f>
        <v xml:space="preserve"> </v>
      </c>
      <c r="D43" s="13">
        <f>IF(INTRO!$E$39&lt;&gt;"Non endémique", 0, IF(INTRO!$E$37="Non endémique",0,IF(COUNTRY_INFO!$H43=1,COUNTRY_INFO!E43,0)))</f>
        <v>0</v>
      </c>
      <c r="E43" s="13">
        <f>IF(INTRO!$E$39&lt;&gt;"Non endémique", 0, IF(INTRO!$E$37="Non endémique",0,IF(COUNTRY_INFO!$H43=1,COUNTRY_INFO!F43,0)))</f>
        <v>0</v>
      </c>
      <c r="F43" s="13">
        <f>IF(INTRO!$E$39&lt;&gt;"Non endémique", 0, IF(INTRO!$E$37="Non endémique",0,IF(COUNTRY_INFO!$H43=1,COUNTRY_INFO!G43,0)))</f>
        <v>0</v>
      </c>
      <c r="G43" s="13">
        <f t="shared" si="5"/>
        <v>0</v>
      </c>
      <c r="H43" s="14" t="str">
        <f>IF(INTRO!$E$39="Non endémique",IF(INTRO!$E$37="Non endémique","Non requis",COUNTRY_INFO!P43),"Traiter avec IVM")</f>
        <v>Traiter avec IVM</v>
      </c>
      <c r="I43" s="13">
        <f t="shared" si="6"/>
        <v>0</v>
      </c>
      <c r="J43" s="13">
        <f t="shared" si="7"/>
        <v>0</v>
      </c>
      <c r="K43" s="24"/>
      <c r="L43" s="15">
        <f t="shared" si="8"/>
        <v>0</v>
      </c>
      <c r="M43" s="15">
        <f t="shared" si="9"/>
        <v>0</v>
      </c>
    </row>
    <row r="44" spans="1:13" x14ac:dyDescent="0.4">
      <c r="A44" s="12" t="str">
        <f>IF(INTRO!$E$39&lt;&gt;"Non endémique", " ", IF(INTRO!$E$37="Non endémique"," ", IF(COUNTRY_INFO!A44=0," ",COUNTRY_INFO!A44)))</f>
        <v xml:space="preserve"> </v>
      </c>
      <c r="B44" s="12" t="str">
        <f>IF(INTRO!$E$39&lt;&gt;"Non endémique", " ", IF(INTRO!$E$37="Non endémique"," ", IF(COUNTRY_INFO!B44=0," ",COUNTRY_INFO!B44)))</f>
        <v xml:space="preserve"> </v>
      </c>
      <c r="C44" s="12" t="str">
        <f>IF(INTRO!$E$39&lt;&gt;"Non endémique", " ", IF(INTRO!$E$37="Non endémique"," ", IF(COUNTRY_INFO!C44=0," ",COUNTRY_INFO!C44)))</f>
        <v xml:space="preserve"> </v>
      </c>
      <c r="D44" s="13">
        <f>IF(INTRO!$E$39&lt;&gt;"Non endémique", 0, IF(INTRO!$E$37="Non endémique",0,IF(COUNTRY_INFO!$H44=1,COUNTRY_INFO!E44,0)))</f>
        <v>0</v>
      </c>
      <c r="E44" s="13">
        <f>IF(INTRO!$E$39&lt;&gt;"Non endémique", 0, IF(INTRO!$E$37="Non endémique",0,IF(COUNTRY_INFO!$H44=1,COUNTRY_INFO!F44,0)))</f>
        <v>0</v>
      </c>
      <c r="F44" s="13">
        <f>IF(INTRO!$E$39&lt;&gt;"Non endémique", 0, IF(INTRO!$E$37="Non endémique",0,IF(COUNTRY_INFO!$H44=1,COUNTRY_INFO!G44,0)))</f>
        <v>0</v>
      </c>
      <c r="G44" s="13">
        <f t="shared" si="5"/>
        <v>0</v>
      </c>
      <c r="H44" s="14" t="str">
        <f>IF(INTRO!$E$39="Non endémique",IF(INTRO!$E$37="Non endémique","Non requis",COUNTRY_INFO!P44),"Traiter avec IVM")</f>
        <v>Traiter avec IVM</v>
      </c>
      <c r="I44" s="13">
        <f t="shared" si="6"/>
        <v>0</v>
      </c>
      <c r="J44" s="13">
        <f t="shared" si="7"/>
        <v>0</v>
      </c>
      <c r="K44" s="24"/>
      <c r="L44" s="15">
        <f t="shared" si="8"/>
        <v>0</v>
      </c>
      <c r="M44" s="15">
        <f t="shared" si="9"/>
        <v>0</v>
      </c>
    </row>
    <row r="45" spans="1:13" x14ac:dyDescent="0.4">
      <c r="A45" s="12" t="str">
        <f>IF(INTRO!$E$39&lt;&gt;"Non endémique", " ", IF(INTRO!$E$37="Non endémique"," ", IF(COUNTRY_INFO!A45=0," ",COUNTRY_INFO!A45)))</f>
        <v xml:space="preserve"> </v>
      </c>
      <c r="B45" s="12" t="str">
        <f>IF(INTRO!$E$39&lt;&gt;"Non endémique", " ", IF(INTRO!$E$37="Non endémique"," ", IF(COUNTRY_INFO!B45=0," ",COUNTRY_INFO!B45)))</f>
        <v xml:space="preserve"> </v>
      </c>
      <c r="C45" s="12" t="str">
        <f>IF(INTRO!$E$39&lt;&gt;"Non endémique", " ", IF(INTRO!$E$37="Non endémique"," ", IF(COUNTRY_INFO!C45=0," ",COUNTRY_INFO!C45)))</f>
        <v xml:space="preserve"> </v>
      </c>
      <c r="D45" s="13">
        <f>IF(INTRO!$E$39&lt;&gt;"Non endémique", 0, IF(INTRO!$E$37="Non endémique",0,IF(COUNTRY_INFO!$H45=1,COUNTRY_INFO!E45,0)))</f>
        <v>0</v>
      </c>
      <c r="E45" s="13">
        <f>IF(INTRO!$E$39&lt;&gt;"Non endémique", 0, IF(INTRO!$E$37="Non endémique",0,IF(COUNTRY_INFO!$H45=1,COUNTRY_INFO!F45,0)))</f>
        <v>0</v>
      </c>
      <c r="F45" s="13">
        <f>IF(INTRO!$E$39&lt;&gt;"Non endémique", 0, IF(INTRO!$E$37="Non endémique",0,IF(COUNTRY_INFO!$H45=1,COUNTRY_INFO!G45,0)))</f>
        <v>0</v>
      </c>
      <c r="G45" s="13">
        <f t="shared" si="5"/>
        <v>0</v>
      </c>
      <c r="H45" s="14" t="str">
        <f>IF(INTRO!$E$39="Non endémique",IF(INTRO!$E$37="Non endémique","Non requis",COUNTRY_INFO!P45),"Traiter avec IVM")</f>
        <v>Traiter avec IVM</v>
      </c>
      <c r="I45" s="13">
        <f t="shared" si="6"/>
        <v>0</v>
      </c>
      <c r="J45" s="13">
        <f t="shared" si="7"/>
        <v>0</v>
      </c>
      <c r="K45" s="24"/>
      <c r="L45" s="15">
        <f t="shared" si="8"/>
        <v>0</v>
      </c>
      <c r="M45" s="15">
        <f t="shared" si="9"/>
        <v>0</v>
      </c>
    </row>
    <row r="46" spans="1:13" x14ac:dyDescent="0.4">
      <c r="A46" s="12" t="str">
        <f>IF(INTRO!$E$39&lt;&gt;"Non endémique", " ", IF(INTRO!$E$37="Non endémique"," ", IF(COUNTRY_INFO!A46=0," ",COUNTRY_INFO!A46)))</f>
        <v xml:space="preserve"> </v>
      </c>
      <c r="B46" s="12" t="str">
        <f>IF(INTRO!$E$39&lt;&gt;"Non endémique", " ", IF(INTRO!$E$37="Non endémique"," ", IF(COUNTRY_INFO!B46=0," ",COUNTRY_INFO!B46)))</f>
        <v xml:space="preserve"> </v>
      </c>
      <c r="C46" s="12" t="str">
        <f>IF(INTRO!$E$39&lt;&gt;"Non endémique", " ", IF(INTRO!$E$37="Non endémique"," ", IF(COUNTRY_INFO!C46=0," ",COUNTRY_INFO!C46)))</f>
        <v xml:space="preserve"> </v>
      </c>
      <c r="D46" s="13">
        <f>IF(INTRO!$E$39&lt;&gt;"Non endémique", 0, IF(INTRO!$E$37="Non endémique",0,IF(COUNTRY_INFO!$H46=1,COUNTRY_INFO!E46,0)))</f>
        <v>0</v>
      </c>
      <c r="E46" s="13">
        <f>IF(INTRO!$E$39&lt;&gt;"Non endémique", 0, IF(INTRO!$E$37="Non endémique",0,IF(COUNTRY_INFO!$H46=1,COUNTRY_INFO!F46,0)))</f>
        <v>0</v>
      </c>
      <c r="F46" s="13">
        <f>IF(INTRO!$E$39&lt;&gt;"Non endémique", 0, IF(INTRO!$E$37="Non endémique",0,IF(COUNTRY_INFO!$H46=1,COUNTRY_INFO!G46,0)))</f>
        <v>0</v>
      </c>
      <c r="G46" s="13">
        <f t="shared" si="5"/>
        <v>0</v>
      </c>
      <c r="H46" s="14" t="str">
        <f>IF(INTRO!$E$39="Non endémique",IF(INTRO!$E$37="Non endémique","Non requis",COUNTRY_INFO!P46),"Traiter avec IVM")</f>
        <v>Traiter avec IVM</v>
      </c>
      <c r="I46" s="13">
        <f t="shared" si="6"/>
        <v>0</v>
      </c>
      <c r="J46" s="13">
        <f t="shared" si="7"/>
        <v>0</v>
      </c>
      <c r="K46" s="24"/>
      <c r="L46" s="15">
        <f t="shared" si="8"/>
        <v>0</v>
      </c>
      <c r="M46" s="15">
        <f t="shared" si="9"/>
        <v>0</v>
      </c>
    </row>
    <row r="47" spans="1:13" x14ac:dyDescent="0.4">
      <c r="A47" s="12" t="str">
        <f>IF(INTRO!$E$39&lt;&gt;"Non endémique", " ", IF(INTRO!$E$37="Non endémique"," ", IF(COUNTRY_INFO!A47=0," ",COUNTRY_INFO!A47)))</f>
        <v xml:space="preserve"> </v>
      </c>
      <c r="B47" s="12" t="str">
        <f>IF(INTRO!$E$39&lt;&gt;"Non endémique", " ", IF(INTRO!$E$37="Non endémique"," ", IF(COUNTRY_INFO!B47=0," ",COUNTRY_INFO!B47)))</f>
        <v xml:space="preserve"> </v>
      </c>
      <c r="C47" s="12" t="str">
        <f>IF(INTRO!$E$39&lt;&gt;"Non endémique", " ", IF(INTRO!$E$37="Non endémique"," ", IF(COUNTRY_INFO!C47=0," ",COUNTRY_INFO!C47)))</f>
        <v xml:space="preserve"> </v>
      </c>
      <c r="D47" s="13">
        <f>IF(INTRO!$E$39&lt;&gt;"Non endémique", 0, IF(INTRO!$E$37="Non endémique",0,IF(COUNTRY_INFO!$H47=1,COUNTRY_INFO!E47,0)))</f>
        <v>0</v>
      </c>
      <c r="E47" s="13">
        <f>IF(INTRO!$E$39&lt;&gt;"Non endémique", 0, IF(INTRO!$E$37="Non endémique",0,IF(COUNTRY_INFO!$H47=1,COUNTRY_INFO!F47,0)))</f>
        <v>0</v>
      </c>
      <c r="F47" s="13">
        <f>IF(INTRO!$E$39&lt;&gt;"Non endémique", 0, IF(INTRO!$E$37="Non endémique",0,IF(COUNTRY_INFO!$H47=1,COUNTRY_INFO!G47,0)))</f>
        <v>0</v>
      </c>
      <c r="G47" s="13">
        <f t="shared" si="5"/>
        <v>0</v>
      </c>
      <c r="H47" s="14" t="str">
        <f>IF(INTRO!$E$39="Non endémique",IF(INTRO!$E$37="Non endémique","Non requis",COUNTRY_INFO!P47),"Traiter avec IVM")</f>
        <v>Traiter avec IVM</v>
      </c>
      <c r="I47" s="13">
        <f t="shared" si="6"/>
        <v>0</v>
      </c>
      <c r="J47" s="13">
        <f t="shared" si="7"/>
        <v>0</v>
      </c>
      <c r="K47" s="24"/>
      <c r="L47" s="15">
        <f t="shared" si="8"/>
        <v>0</v>
      </c>
      <c r="M47" s="15">
        <f t="shared" si="9"/>
        <v>0</v>
      </c>
    </row>
    <row r="48" spans="1:13" x14ac:dyDescent="0.4">
      <c r="A48" s="12" t="str">
        <f>IF(INTRO!$E$39&lt;&gt;"Non endémique", " ", IF(INTRO!$E$37="Non endémique"," ", IF(COUNTRY_INFO!A48=0," ",COUNTRY_INFO!A48)))</f>
        <v xml:space="preserve"> </v>
      </c>
      <c r="B48" s="12" t="str">
        <f>IF(INTRO!$E$39&lt;&gt;"Non endémique", " ", IF(INTRO!$E$37="Non endémique"," ", IF(COUNTRY_INFO!B48=0," ",COUNTRY_INFO!B48)))</f>
        <v xml:space="preserve"> </v>
      </c>
      <c r="C48" s="12" t="str">
        <f>IF(INTRO!$E$39&lt;&gt;"Non endémique", " ", IF(INTRO!$E$37="Non endémique"," ", IF(COUNTRY_INFO!C48=0," ",COUNTRY_INFO!C48)))</f>
        <v xml:space="preserve"> </v>
      </c>
      <c r="D48" s="13">
        <f>IF(INTRO!$E$39&lt;&gt;"Non endémique", 0, IF(INTRO!$E$37="Non endémique",0,IF(COUNTRY_INFO!$H48=1,COUNTRY_INFO!E48,0)))</f>
        <v>0</v>
      </c>
      <c r="E48" s="13">
        <f>IF(INTRO!$E$39&lt;&gt;"Non endémique", 0, IF(INTRO!$E$37="Non endémique",0,IF(COUNTRY_INFO!$H48=1,COUNTRY_INFO!F48,0)))</f>
        <v>0</v>
      </c>
      <c r="F48" s="13">
        <f>IF(INTRO!$E$39&lt;&gt;"Non endémique", 0, IF(INTRO!$E$37="Non endémique",0,IF(COUNTRY_INFO!$H48=1,COUNTRY_INFO!G48,0)))</f>
        <v>0</v>
      </c>
      <c r="G48" s="13">
        <f t="shared" si="5"/>
        <v>0</v>
      </c>
      <c r="H48" s="14" t="str">
        <f>IF(INTRO!$E$39="Non endémique",IF(INTRO!$E$37="Non endémique","Non requis",COUNTRY_INFO!P48),"Traiter avec IVM")</f>
        <v>Traiter avec IVM</v>
      </c>
      <c r="I48" s="13">
        <f t="shared" si="6"/>
        <v>0</v>
      </c>
      <c r="J48" s="13">
        <f t="shared" si="7"/>
        <v>0</v>
      </c>
      <c r="K48" s="24"/>
      <c r="L48" s="15">
        <f t="shared" si="8"/>
        <v>0</v>
      </c>
      <c r="M48" s="15">
        <f t="shared" si="9"/>
        <v>0</v>
      </c>
    </row>
    <row r="49" spans="1:13" x14ac:dyDescent="0.4">
      <c r="A49" s="12" t="str">
        <f>IF(INTRO!$E$39&lt;&gt;"Non endémique", " ", IF(INTRO!$E$37="Non endémique"," ", IF(COUNTRY_INFO!A49=0," ",COUNTRY_INFO!A49)))</f>
        <v xml:space="preserve"> </v>
      </c>
      <c r="B49" s="12" t="str">
        <f>IF(INTRO!$E$39&lt;&gt;"Non endémique", " ", IF(INTRO!$E$37="Non endémique"," ", IF(COUNTRY_INFO!B49=0," ",COUNTRY_INFO!B49)))</f>
        <v xml:space="preserve"> </v>
      </c>
      <c r="C49" s="12" t="str">
        <f>IF(INTRO!$E$39&lt;&gt;"Non endémique", " ", IF(INTRO!$E$37="Non endémique"," ", IF(COUNTRY_INFO!C49=0," ",COUNTRY_INFO!C49)))</f>
        <v xml:space="preserve"> </v>
      </c>
      <c r="D49" s="13">
        <f>IF(INTRO!$E$39&lt;&gt;"Non endémique", 0, IF(INTRO!$E$37="Non endémique",0,IF(COUNTRY_INFO!$H49=1,COUNTRY_INFO!E49,0)))</f>
        <v>0</v>
      </c>
      <c r="E49" s="13">
        <f>IF(INTRO!$E$39&lt;&gt;"Non endémique", 0, IF(INTRO!$E$37="Non endémique",0,IF(COUNTRY_INFO!$H49=1,COUNTRY_INFO!F49,0)))</f>
        <v>0</v>
      </c>
      <c r="F49" s="13">
        <f>IF(INTRO!$E$39&lt;&gt;"Non endémique", 0, IF(INTRO!$E$37="Non endémique",0,IF(COUNTRY_INFO!$H49=1,COUNTRY_INFO!G49,0)))</f>
        <v>0</v>
      </c>
      <c r="G49" s="13">
        <f t="shared" si="5"/>
        <v>0</v>
      </c>
      <c r="H49" s="14" t="str">
        <f>IF(INTRO!$E$39="Non endémique",IF(INTRO!$E$37="Non endémique","Non requis",COUNTRY_INFO!P49),"Traiter avec IVM")</f>
        <v>Traiter avec IVM</v>
      </c>
      <c r="I49" s="13">
        <f t="shared" si="6"/>
        <v>0</v>
      </c>
      <c r="J49" s="13">
        <f t="shared" si="7"/>
        <v>0</v>
      </c>
      <c r="K49" s="24"/>
      <c r="L49" s="15">
        <f t="shared" si="8"/>
        <v>0</v>
      </c>
      <c r="M49" s="15">
        <f t="shared" si="9"/>
        <v>0</v>
      </c>
    </row>
    <row r="50" spans="1:13" x14ac:dyDescent="0.4">
      <c r="A50" s="12" t="str">
        <f>IF(INTRO!$E$39&lt;&gt;"Non endémique", " ", IF(INTRO!$E$37="Non endémique"," ", IF(COUNTRY_INFO!A50=0," ",COUNTRY_INFO!A50)))</f>
        <v xml:space="preserve"> </v>
      </c>
      <c r="B50" s="12" t="str">
        <f>IF(INTRO!$E$39&lt;&gt;"Non endémique", " ", IF(INTRO!$E$37="Non endémique"," ", IF(COUNTRY_INFO!B50=0," ",COUNTRY_INFO!B50)))</f>
        <v xml:space="preserve"> </v>
      </c>
      <c r="C50" s="12" t="str">
        <f>IF(INTRO!$E$39&lt;&gt;"Non endémique", " ", IF(INTRO!$E$37="Non endémique"," ", IF(COUNTRY_INFO!C50=0," ",COUNTRY_INFO!C50)))</f>
        <v xml:space="preserve"> </v>
      </c>
      <c r="D50" s="13">
        <f>IF(INTRO!$E$39&lt;&gt;"Non endémique", 0, IF(INTRO!$E$37="Non endémique",0,IF(COUNTRY_INFO!$H50=1,COUNTRY_INFO!E50,0)))</f>
        <v>0</v>
      </c>
      <c r="E50" s="13">
        <f>IF(INTRO!$E$39&lt;&gt;"Non endémique", 0, IF(INTRO!$E$37="Non endémique",0,IF(COUNTRY_INFO!$H50=1,COUNTRY_INFO!F50,0)))</f>
        <v>0</v>
      </c>
      <c r="F50" s="13">
        <f>IF(INTRO!$E$39&lt;&gt;"Non endémique", 0, IF(INTRO!$E$37="Non endémique",0,IF(COUNTRY_INFO!$H50=1,COUNTRY_INFO!G50,0)))</f>
        <v>0</v>
      </c>
      <c r="G50" s="13">
        <f t="shared" si="5"/>
        <v>0</v>
      </c>
      <c r="H50" s="14" t="str">
        <f>IF(INTRO!$E$39="Non endémique",IF(INTRO!$E$37="Non endémique","Non requis",COUNTRY_INFO!P50),"Traiter avec IVM")</f>
        <v>Traiter avec IVM</v>
      </c>
      <c r="I50" s="13">
        <f t="shared" si="6"/>
        <v>0</v>
      </c>
      <c r="J50" s="13">
        <f t="shared" si="7"/>
        <v>0</v>
      </c>
      <c r="K50" s="24"/>
      <c r="L50" s="15">
        <f t="shared" si="8"/>
        <v>0</v>
      </c>
      <c r="M50" s="15">
        <f t="shared" si="9"/>
        <v>0</v>
      </c>
    </row>
    <row r="51" spans="1:13" x14ac:dyDescent="0.4">
      <c r="A51" s="12" t="str">
        <f>IF(INTRO!$E$39&lt;&gt;"Non endémique", " ", IF(INTRO!$E$37="Non endémique"," ", IF(COUNTRY_INFO!A51=0," ",COUNTRY_INFO!A51)))</f>
        <v xml:space="preserve"> </v>
      </c>
      <c r="B51" s="12" t="str">
        <f>IF(INTRO!$E$39&lt;&gt;"Non endémique", " ", IF(INTRO!$E$37="Non endémique"," ", IF(COUNTRY_INFO!B51=0," ",COUNTRY_INFO!B51)))</f>
        <v xml:space="preserve"> </v>
      </c>
      <c r="C51" s="12" t="str">
        <f>IF(INTRO!$E$39&lt;&gt;"Non endémique", " ", IF(INTRO!$E$37="Non endémique"," ", IF(COUNTRY_INFO!C51=0," ",COUNTRY_INFO!C51)))</f>
        <v xml:space="preserve"> </v>
      </c>
      <c r="D51" s="13">
        <f>IF(INTRO!$E$39&lt;&gt;"Non endémique", 0, IF(INTRO!$E$37="Non endémique",0,IF(COUNTRY_INFO!$H51=1,COUNTRY_INFO!E51,0)))</f>
        <v>0</v>
      </c>
      <c r="E51" s="13">
        <f>IF(INTRO!$E$39&lt;&gt;"Non endémique", 0, IF(INTRO!$E$37="Non endémique",0,IF(COUNTRY_INFO!$H51=1,COUNTRY_INFO!F51,0)))</f>
        <v>0</v>
      </c>
      <c r="F51" s="13">
        <f>IF(INTRO!$E$39&lt;&gt;"Non endémique", 0, IF(INTRO!$E$37="Non endémique",0,IF(COUNTRY_INFO!$H51=1,COUNTRY_INFO!G51,0)))</f>
        <v>0</v>
      </c>
      <c r="G51" s="13">
        <f t="shared" si="5"/>
        <v>0</v>
      </c>
      <c r="H51" s="14" t="str">
        <f>IF(INTRO!$E$39="Non endémique",IF(INTRO!$E$37="Non endémique","Non requis",COUNTRY_INFO!P51),"Traiter avec IVM")</f>
        <v>Traiter avec IVM</v>
      </c>
      <c r="I51" s="13">
        <f t="shared" si="6"/>
        <v>0</v>
      </c>
      <c r="J51" s="13">
        <f t="shared" si="7"/>
        <v>0</v>
      </c>
      <c r="K51" s="24"/>
      <c r="L51" s="15">
        <f t="shared" si="8"/>
        <v>0</v>
      </c>
      <c r="M51" s="15">
        <f t="shared" si="9"/>
        <v>0</v>
      </c>
    </row>
    <row r="52" spans="1:13" x14ac:dyDescent="0.4">
      <c r="A52" s="12" t="str">
        <f>IF(INTRO!$E$39&lt;&gt;"Non endémique", " ", IF(INTRO!$E$37="Non endémique"," ", IF(COUNTRY_INFO!A52=0," ",COUNTRY_INFO!A52)))</f>
        <v xml:space="preserve"> </v>
      </c>
      <c r="B52" s="12" t="str">
        <f>IF(INTRO!$E$39&lt;&gt;"Non endémique", " ", IF(INTRO!$E$37="Non endémique"," ", IF(COUNTRY_INFO!B52=0," ",COUNTRY_INFO!B52)))</f>
        <v xml:space="preserve"> </v>
      </c>
      <c r="C52" s="12" t="str">
        <f>IF(INTRO!$E$39&lt;&gt;"Non endémique", " ", IF(INTRO!$E$37="Non endémique"," ", IF(COUNTRY_INFO!C52=0," ",COUNTRY_INFO!C52)))</f>
        <v xml:space="preserve"> </v>
      </c>
      <c r="D52" s="13">
        <f>IF(INTRO!$E$39&lt;&gt;"Non endémique", 0, IF(INTRO!$E$37="Non endémique",0,IF(COUNTRY_INFO!$H52=1,COUNTRY_INFO!E52,0)))</f>
        <v>0</v>
      </c>
      <c r="E52" s="13">
        <f>IF(INTRO!$E$39&lt;&gt;"Non endémique", 0, IF(INTRO!$E$37="Non endémique",0,IF(COUNTRY_INFO!$H52=1,COUNTRY_INFO!F52,0)))</f>
        <v>0</v>
      </c>
      <c r="F52" s="13">
        <f>IF(INTRO!$E$39&lt;&gt;"Non endémique", 0, IF(INTRO!$E$37="Non endémique",0,IF(COUNTRY_INFO!$H52=1,COUNTRY_INFO!G52,0)))</f>
        <v>0</v>
      </c>
      <c r="G52" s="13">
        <f t="shared" si="5"/>
        <v>0</v>
      </c>
      <c r="H52" s="14" t="str">
        <f>IF(INTRO!$E$39="Non endémique",IF(INTRO!$E$37="Non endémique","Non requis",COUNTRY_INFO!P52),"Traiter avec IVM")</f>
        <v>Traiter avec IVM</v>
      </c>
      <c r="I52" s="13">
        <f t="shared" si="6"/>
        <v>0</v>
      </c>
      <c r="J52" s="13">
        <f t="shared" si="7"/>
        <v>0</v>
      </c>
      <c r="K52" s="24"/>
      <c r="L52" s="15">
        <f t="shared" si="8"/>
        <v>0</v>
      </c>
      <c r="M52" s="15">
        <f t="shared" si="9"/>
        <v>0</v>
      </c>
    </row>
    <row r="53" spans="1:13" x14ac:dyDescent="0.4">
      <c r="A53" s="12" t="str">
        <f>IF(INTRO!$E$39&lt;&gt;"Non endémique", " ", IF(INTRO!$E$37="Non endémique"," ", IF(COUNTRY_INFO!A53=0," ",COUNTRY_INFO!A53)))</f>
        <v xml:space="preserve"> </v>
      </c>
      <c r="B53" s="12" t="str">
        <f>IF(INTRO!$E$39&lt;&gt;"Non endémique", " ", IF(INTRO!$E$37="Non endémique"," ", IF(COUNTRY_INFO!B53=0," ",COUNTRY_INFO!B53)))</f>
        <v xml:space="preserve"> </v>
      </c>
      <c r="C53" s="12" t="str">
        <f>IF(INTRO!$E$39&lt;&gt;"Non endémique", " ", IF(INTRO!$E$37="Non endémique"," ", IF(COUNTRY_INFO!C53=0," ",COUNTRY_INFO!C53)))</f>
        <v xml:space="preserve"> </v>
      </c>
      <c r="D53" s="13">
        <f>IF(INTRO!$E$39&lt;&gt;"Non endémique", 0, IF(INTRO!$E$37="Non endémique",0,IF(COUNTRY_INFO!$H53=1,COUNTRY_INFO!E53,0)))</f>
        <v>0</v>
      </c>
      <c r="E53" s="13">
        <f>IF(INTRO!$E$39&lt;&gt;"Non endémique", 0, IF(INTRO!$E$37="Non endémique",0,IF(COUNTRY_INFO!$H53=1,COUNTRY_INFO!F53,0)))</f>
        <v>0</v>
      </c>
      <c r="F53" s="13">
        <f>IF(INTRO!$E$39&lt;&gt;"Non endémique", 0, IF(INTRO!$E$37="Non endémique",0,IF(COUNTRY_INFO!$H53=1,COUNTRY_INFO!G53,0)))</f>
        <v>0</v>
      </c>
      <c r="G53" s="13">
        <f t="shared" si="5"/>
        <v>0</v>
      </c>
      <c r="H53" s="14" t="str">
        <f>IF(INTRO!$E$39="Non endémique",IF(INTRO!$E$37="Non endémique","Non requis",COUNTRY_INFO!P53),"Traiter avec IVM")</f>
        <v>Traiter avec IVM</v>
      </c>
      <c r="I53" s="13">
        <f t="shared" si="6"/>
        <v>0</v>
      </c>
      <c r="J53" s="13">
        <f t="shared" si="7"/>
        <v>0</v>
      </c>
      <c r="K53" s="24"/>
      <c r="L53" s="15">
        <f t="shared" si="8"/>
        <v>0</v>
      </c>
      <c r="M53" s="15">
        <f t="shared" si="9"/>
        <v>0</v>
      </c>
    </row>
    <row r="54" spans="1:13" x14ac:dyDescent="0.4">
      <c r="A54" s="12" t="str">
        <f>IF(INTRO!$E$39&lt;&gt;"Non endémique", " ", IF(INTRO!$E$37="Non endémique"," ", IF(COUNTRY_INFO!A54=0," ",COUNTRY_INFO!A54)))</f>
        <v xml:space="preserve"> </v>
      </c>
      <c r="B54" s="12" t="str">
        <f>IF(INTRO!$E$39&lt;&gt;"Non endémique", " ", IF(INTRO!$E$37="Non endémique"," ", IF(COUNTRY_INFO!B54=0," ",COUNTRY_INFO!B54)))</f>
        <v xml:space="preserve"> </v>
      </c>
      <c r="C54" s="12" t="str">
        <f>IF(INTRO!$E$39&lt;&gt;"Non endémique", " ", IF(INTRO!$E$37="Non endémique"," ", IF(COUNTRY_INFO!C54=0," ",COUNTRY_INFO!C54)))</f>
        <v xml:space="preserve"> </v>
      </c>
      <c r="D54" s="13">
        <f>IF(INTRO!$E$39&lt;&gt;"Non endémique", 0, IF(INTRO!$E$37="Non endémique",0,IF(COUNTRY_INFO!$H54=1,COUNTRY_INFO!E54,0)))</f>
        <v>0</v>
      </c>
      <c r="E54" s="13">
        <f>IF(INTRO!$E$39&lt;&gt;"Non endémique", 0, IF(INTRO!$E$37="Non endémique",0,IF(COUNTRY_INFO!$H54=1,COUNTRY_INFO!F54,0)))</f>
        <v>0</v>
      </c>
      <c r="F54" s="13">
        <f>IF(INTRO!$E$39&lt;&gt;"Non endémique", 0, IF(INTRO!$E$37="Non endémique",0,IF(COUNTRY_INFO!$H54=1,COUNTRY_INFO!G54,0)))</f>
        <v>0</v>
      </c>
      <c r="G54" s="13">
        <f t="shared" si="5"/>
        <v>0</v>
      </c>
      <c r="H54" s="14" t="str">
        <f>IF(INTRO!$E$39="Non endémique",IF(INTRO!$E$37="Non endémique","Non requis",COUNTRY_INFO!P54),"Traiter avec IVM")</f>
        <v>Traiter avec IVM</v>
      </c>
      <c r="I54" s="13">
        <f t="shared" si="6"/>
        <v>0</v>
      </c>
      <c r="J54" s="13">
        <f t="shared" si="7"/>
        <v>0</v>
      </c>
      <c r="K54" s="24"/>
      <c r="L54" s="15">
        <f t="shared" si="8"/>
        <v>0</v>
      </c>
      <c r="M54" s="15">
        <f t="shared" si="9"/>
        <v>0</v>
      </c>
    </row>
    <row r="55" spans="1:13" x14ac:dyDescent="0.4">
      <c r="A55" s="12" t="str">
        <f>IF(INTRO!$E$39&lt;&gt;"Non endémique", " ", IF(INTRO!$E$37="Non endémique"," ", IF(COUNTRY_INFO!A55=0," ",COUNTRY_INFO!A55)))</f>
        <v xml:space="preserve"> </v>
      </c>
      <c r="B55" s="12" t="str">
        <f>IF(INTRO!$E$39&lt;&gt;"Non endémique", " ", IF(INTRO!$E$37="Non endémique"," ", IF(COUNTRY_INFO!B55=0," ",COUNTRY_INFO!B55)))</f>
        <v xml:space="preserve"> </v>
      </c>
      <c r="C55" s="12" t="str">
        <f>IF(INTRO!$E$39&lt;&gt;"Non endémique", " ", IF(INTRO!$E$37="Non endémique"," ", IF(COUNTRY_INFO!C55=0," ",COUNTRY_INFO!C55)))</f>
        <v xml:space="preserve"> </v>
      </c>
      <c r="D55" s="13">
        <f>IF(INTRO!$E$39&lt;&gt;"Non endémique", 0, IF(INTRO!$E$37="Non endémique",0,IF(COUNTRY_INFO!$H55=1,COUNTRY_INFO!E55,0)))</f>
        <v>0</v>
      </c>
      <c r="E55" s="13">
        <f>IF(INTRO!$E$39&lt;&gt;"Non endémique", 0, IF(INTRO!$E$37="Non endémique",0,IF(COUNTRY_INFO!$H55=1,COUNTRY_INFO!F55,0)))</f>
        <v>0</v>
      </c>
      <c r="F55" s="13">
        <f>IF(INTRO!$E$39&lt;&gt;"Non endémique", 0, IF(INTRO!$E$37="Non endémique",0,IF(COUNTRY_INFO!$H55=1,COUNTRY_INFO!G55,0)))</f>
        <v>0</v>
      </c>
      <c r="G55" s="13">
        <f t="shared" si="5"/>
        <v>0</v>
      </c>
      <c r="H55" s="14" t="str">
        <f>IF(INTRO!$E$39="Non endémique",IF(INTRO!$E$37="Non endémique","Non requis",COUNTRY_INFO!P55),"Traiter avec IVM")</f>
        <v>Traiter avec IVM</v>
      </c>
      <c r="I55" s="13">
        <f t="shared" si="6"/>
        <v>0</v>
      </c>
      <c r="J55" s="13">
        <f t="shared" si="7"/>
        <v>0</v>
      </c>
      <c r="K55" s="24"/>
      <c r="L55" s="15">
        <f t="shared" si="8"/>
        <v>0</v>
      </c>
      <c r="M55" s="15">
        <f t="shared" si="9"/>
        <v>0</v>
      </c>
    </row>
    <row r="56" spans="1:13" x14ac:dyDescent="0.4">
      <c r="A56" s="12" t="str">
        <f>IF(INTRO!$E$39&lt;&gt;"Non endémique", " ", IF(INTRO!$E$37="Non endémique"," ", IF(COUNTRY_INFO!A56=0," ",COUNTRY_INFO!A56)))</f>
        <v xml:space="preserve"> </v>
      </c>
      <c r="B56" s="12" t="str">
        <f>IF(INTRO!$E$39&lt;&gt;"Non endémique", " ", IF(INTRO!$E$37="Non endémique"," ", IF(COUNTRY_INFO!B56=0," ",COUNTRY_INFO!B56)))</f>
        <v xml:space="preserve"> </v>
      </c>
      <c r="C56" s="12" t="str">
        <f>IF(INTRO!$E$39&lt;&gt;"Non endémique", " ", IF(INTRO!$E$37="Non endémique"," ", IF(COUNTRY_INFO!C56=0," ",COUNTRY_INFO!C56)))</f>
        <v xml:space="preserve"> </v>
      </c>
      <c r="D56" s="13">
        <f>IF(INTRO!$E$39&lt;&gt;"Non endémique", 0, IF(INTRO!$E$37="Non endémique",0,IF(COUNTRY_INFO!$H56=1,COUNTRY_INFO!E56,0)))</f>
        <v>0</v>
      </c>
      <c r="E56" s="13">
        <f>IF(INTRO!$E$39&lt;&gt;"Non endémique", 0, IF(INTRO!$E$37="Non endémique",0,IF(COUNTRY_INFO!$H56=1,COUNTRY_INFO!F56,0)))</f>
        <v>0</v>
      </c>
      <c r="F56" s="13">
        <f>IF(INTRO!$E$39&lt;&gt;"Non endémique", 0, IF(INTRO!$E$37="Non endémique",0,IF(COUNTRY_INFO!$H56=1,COUNTRY_INFO!G56,0)))</f>
        <v>0</v>
      </c>
      <c r="G56" s="13">
        <f t="shared" si="5"/>
        <v>0</v>
      </c>
      <c r="H56" s="14" t="str">
        <f>IF(INTRO!$E$39="Non endémique",IF(INTRO!$E$37="Non endémique","Non requis",COUNTRY_INFO!P56),"Traiter avec IVM")</f>
        <v>Traiter avec IVM</v>
      </c>
      <c r="I56" s="13">
        <f t="shared" si="6"/>
        <v>0</v>
      </c>
      <c r="J56" s="13">
        <f t="shared" si="7"/>
        <v>0</v>
      </c>
      <c r="K56" s="24"/>
      <c r="L56" s="15">
        <f t="shared" si="8"/>
        <v>0</v>
      </c>
      <c r="M56" s="15">
        <f t="shared" si="9"/>
        <v>0</v>
      </c>
    </row>
    <row r="57" spans="1:13" x14ac:dyDescent="0.4">
      <c r="A57" s="12" t="str">
        <f>IF(INTRO!$E$39&lt;&gt;"Non endémique", " ", IF(INTRO!$E$37="Non endémique"," ", IF(COUNTRY_INFO!A57=0," ",COUNTRY_INFO!A57)))</f>
        <v xml:space="preserve"> </v>
      </c>
      <c r="B57" s="12" t="str">
        <f>IF(INTRO!$E$39&lt;&gt;"Non endémique", " ", IF(INTRO!$E$37="Non endémique"," ", IF(COUNTRY_INFO!B57=0," ",COUNTRY_INFO!B57)))</f>
        <v xml:space="preserve"> </v>
      </c>
      <c r="C57" s="12" t="str">
        <f>IF(INTRO!$E$39&lt;&gt;"Non endémique", " ", IF(INTRO!$E$37="Non endémique"," ", IF(COUNTRY_INFO!C57=0," ",COUNTRY_INFO!C57)))</f>
        <v xml:space="preserve"> </v>
      </c>
      <c r="D57" s="13">
        <f>IF(INTRO!$E$39&lt;&gt;"Non endémique", 0, IF(INTRO!$E$37="Non endémique",0,IF(COUNTRY_INFO!$H57=1,COUNTRY_INFO!E57,0)))</f>
        <v>0</v>
      </c>
      <c r="E57" s="13">
        <f>IF(INTRO!$E$39&lt;&gt;"Non endémique", 0, IF(INTRO!$E$37="Non endémique",0,IF(COUNTRY_INFO!$H57=1,COUNTRY_INFO!F57,0)))</f>
        <v>0</v>
      </c>
      <c r="F57" s="13">
        <f>IF(INTRO!$E$39&lt;&gt;"Non endémique", 0, IF(INTRO!$E$37="Non endémique",0,IF(COUNTRY_INFO!$H57=1,COUNTRY_INFO!G57,0)))</f>
        <v>0</v>
      </c>
      <c r="G57" s="13">
        <f t="shared" si="5"/>
        <v>0</v>
      </c>
      <c r="H57" s="14" t="str">
        <f>IF(INTRO!$E$39="Non endémique",IF(INTRO!$E$37="Non endémique","Non requis",COUNTRY_INFO!P57),"Traiter avec IVM")</f>
        <v>Traiter avec IVM</v>
      </c>
      <c r="I57" s="13">
        <f t="shared" si="6"/>
        <v>0</v>
      </c>
      <c r="J57" s="13">
        <f t="shared" si="7"/>
        <v>0</v>
      </c>
      <c r="K57" s="24"/>
      <c r="L57" s="15">
        <f t="shared" si="8"/>
        <v>0</v>
      </c>
      <c r="M57" s="15">
        <f t="shared" si="9"/>
        <v>0</v>
      </c>
    </row>
    <row r="58" spans="1:13" x14ac:dyDescent="0.4">
      <c r="A58" s="12" t="str">
        <f>IF(INTRO!$E$39&lt;&gt;"Non endémique", " ", IF(INTRO!$E$37="Non endémique"," ", IF(COUNTRY_INFO!A58=0," ",COUNTRY_INFO!A58)))</f>
        <v xml:space="preserve"> </v>
      </c>
      <c r="B58" s="12" t="str">
        <f>IF(INTRO!$E$39&lt;&gt;"Non endémique", " ", IF(INTRO!$E$37="Non endémique"," ", IF(COUNTRY_INFO!B58=0," ",COUNTRY_INFO!B58)))</f>
        <v xml:space="preserve"> </v>
      </c>
      <c r="C58" s="12" t="str">
        <f>IF(INTRO!$E$39&lt;&gt;"Non endémique", " ", IF(INTRO!$E$37="Non endémique"," ", IF(COUNTRY_INFO!C58=0," ",COUNTRY_INFO!C58)))</f>
        <v xml:space="preserve"> </v>
      </c>
      <c r="D58" s="13">
        <f>IF(INTRO!$E$39&lt;&gt;"Non endémique", 0, IF(INTRO!$E$37="Non endémique",0,IF(COUNTRY_INFO!$H58=1,COUNTRY_INFO!E58,0)))</f>
        <v>0</v>
      </c>
      <c r="E58" s="13">
        <f>IF(INTRO!$E$39&lt;&gt;"Non endémique", 0, IF(INTRO!$E$37="Non endémique",0,IF(COUNTRY_INFO!$H58=1,COUNTRY_INFO!F58,0)))</f>
        <v>0</v>
      </c>
      <c r="F58" s="13">
        <f>IF(INTRO!$E$39&lt;&gt;"Non endémique", 0, IF(INTRO!$E$37="Non endémique",0,IF(COUNTRY_INFO!$H58=1,COUNTRY_INFO!G58,0)))</f>
        <v>0</v>
      </c>
      <c r="G58" s="13">
        <f t="shared" si="5"/>
        <v>0</v>
      </c>
      <c r="H58" s="14" t="str">
        <f>IF(INTRO!$E$39="Non endémique",IF(INTRO!$E$37="Non endémique","Non requis",COUNTRY_INFO!P58),"Traiter avec IVM")</f>
        <v>Traiter avec IVM</v>
      </c>
      <c r="I58" s="13">
        <f t="shared" si="6"/>
        <v>0</v>
      </c>
      <c r="J58" s="13">
        <f t="shared" si="7"/>
        <v>0</v>
      </c>
      <c r="K58" s="24"/>
      <c r="L58" s="15">
        <f t="shared" si="8"/>
        <v>0</v>
      </c>
      <c r="M58" s="15">
        <f t="shared" si="9"/>
        <v>0</v>
      </c>
    </row>
    <row r="59" spans="1:13" x14ac:dyDescent="0.4">
      <c r="A59" s="12" t="str">
        <f>IF(INTRO!$E$39&lt;&gt;"Non endémique", " ", IF(INTRO!$E$37="Non endémique"," ", IF(COUNTRY_INFO!A59=0," ",COUNTRY_INFO!A59)))</f>
        <v xml:space="preserve"> </v>
      </c>
      <c r="B59" s="12" t="str">
        <f>IF(INTRO!$E$39&lt;&gt;"Non endémique", " ", IF(INTRO!$E$37="Non endémique"," ", IF(COUNTRY_INFO!B59=0," ",COUNTRY_INFO!B59)))</f>
        <v xml:space="preserve"> </v>
      </c>
      <c r="C59" s="12" t="str">
        <f>IF(INTRO!$E$39&lt;&gt;"Non endémique", " ", IF(INTRO!$E$37="Non endémique"," ", IF(COUNTRY_INFO!C59=0," ",COUNTRY_INFO!C59)))</f>
        <v xml:space="preserve"> </v>
      </c>
      <c r="D59" s="13">
        <f>IF(INTRO!$E$39&lt;&gt;"Non endémique", 0, IF(INTRO!$E$37="Non endémique",0,IF(COUNTRY_INFO!$H59=1,COUNTRY_INFO!E59,0)))</f>
        <v>0</v>
      </c>
      <c r="E59" s="13">
        <f>IF(INTRO!$E$39&lt;&gt;"Non endémique", 0, IF(INTRO!$E$37="Non endémique",0,IF(COUNTRY_INFO!$H59=1,COUNTRY_INFO!F59,0)))</f>
        <v>0</v>
      </c>
      <c r="F59" s="13">
        <f>IF(INTRO!$E$39&lt;&gt;"Non endémique", 0, IF(INTRO!$E$37="Non endémique",0,IF(COUNTRY_INFO!$H59=1,COUNTRY_INFO!G59,0)))</f>
        <v>0</v>
      </c>
      <c r="G59" s="13">
        <f t="shared" si="5"/>
        <v>0</v>
      </c>
      <c r="H59" s="14" t="str">
        <f>IF(INTRO!$E$39="Non endémique",IF(INTRO!$E$37="Non endémique","Non requis",COUNTRY_INFO!P59),"Traiter avec IVM")</f>
        <v>Traiter avec IVM</v>
      </c>
      <c r="I59" s="13">
        <f t="shared" si="6"/>
        <v>0</v>
      </c>
      <c r="J59" s="13">
        <f t="shared" si="7"/>
        <v>0</v>
      </c>
      <c r="K59" s="24"/>
      <c r="L59" s="15">
        <f t="shared" si="8"/>
        <v>0</v>
      </c>
      <c r="M59" s="15">
        <f t="shared" si="9"/>
        <v>0</v>
      </c>
    </row>
    <row r="60" spans="1:13" x14ac:dyDescent="0.4">
      <c r="A60" s="12" t="str">
        <f>IF(INTRO!$E$39&lt;&gt;"Non endémique", " ", IF(INTRO!$E$37="Non endémique"," ", IF(COUNTRY_INFO!A60=0," ",COUNTRY_INFO!A60)))</f>
        <v xml:space="preserve"> </v>
      </c>
      <c r="B60" s="12" t="str">
        <f>IF(INTRO!$E$39&lt;&gt;"Non endémique", " ", IF(INTRO!$E$37="Non endémique"," ", IF(COUNTRY_INFO!B60=0," ",COUNTRY_INFO!B60)))</f>
        <v xml:space="preserve"> </v>
      </c>
      <c r="C60" s="12" t="str">
        <f>IF(INTRO!$E$39&lt;&gt;"Non endémique", " ", IF(INTRO!$E$37="Non endémique"," ", IF(COUNTRY_INFO!C60=0," ",COUNTRY_INFO!C60)))</f>
        <v xml:space="preserve"> </v>
      </c>
      <c r="D60" s="13">
        <f>IF(INTRO!$E$39&lt;&gt;"Non endémique", 0, IF(INTRO!$E$37="Non endémique",0,IF(COUNTRY_INFO!$H60=1,COUNTRY_INFO!E60,0)))</f>
        <v>0</v>
      </c>
      <c r="E60" s="13">
        <f>IF(INTRO!$E$39&lt;&gt;"Non endémique", 0, IF(INTRO!$E$37="Non endémique",0,IF(COUNTRY_INFO!$H60=1,COUNTRY_INFO!F60,0)))</f>
        <v>0</v>
      </c>
      <c r="F60" s="13">
        <f>IF(INTRO!$E$39&lt;&gt;"Non endémique", 0, IF(INTRO!$E$37="Non endémique",0,IF(COUNTRY_INFO!$H60=1,COUNTRY_INFO!G60,0)))</f>
        <v>0</v>
      </c>
      <c r="G60" s="13">
        <f t="shared" si="5"/>
        <v>0</v>
      </c>
      <c r="H60" s="14" t="str">
        <f>IF(INTRO!$E$39="Non endémique",IF(INTRO!$E$37="Non endémique","Non requis",COUNTRY_INFO!P60),"Traiter avec IVM")</f>
        <v>Traiter avec IVM</v>
      </c>
      <c r="I60" s="13">
        <f t="shared" si="6"/>
        <v>0</v>
      </c>
      <c r="J60" s="13">
        <f t="shared" si="7"/>
        <v>0</v>
      </c>
      <c r="K60" s="24"/>
      <c r="L60" s="15">
        <f t="shared" si="8"/>
        <v>0</v>
      </c>
      <c r="M60" s="15">
        <f t="shared" si="9"/>
        <v>0</v>
      </c>
    </row>
    <row r="61" spans="1:13" x14ac:dyDescent="0.4">
      <c r="A61" s="12" t="str">
        <f>IF(INTRO!$E$39&lt;&gt;"Non endémique", " ", IF(INTRO!$E$37="Non endémique"," ", IF(COUNTRY_INFO!A61=0," ",COUNTRY_INFO!A61)))</f>
        <v xml:space="preserve"> </v>
      </c>
      <c r="B61" s="12" t="str">
        <f>IF(INTRO!$E$39&lt;&gt;"Non endémique", " ", IF(INTRO!$E$37="Non endémique"," ", IF(COUNTRY_INFO!B61=0," ",COUNTRY_INFO!B61)))</f>
        <v xml:space="preserve"> </v>
      </c>
      <c r="C61" s="12" t="str">
        <f>IF(INTRO!$E$39&lt;&gt;"Non endémique", " ", IF(INTRO!$E$37="Non endémique"," ", IF(COUNTRY_INFO!C61=0," ",COUNTRY_INFO!C61)))</f>
        <v xml:space="preserve"> </v>
      </c>
      <c r="D61" s="13">
        <f>IF(INTRO!$E$39&lt;&gt;"Non endémique", 0, IF(INTRO!$E$37="Non endémique",0,IF(COUNTRY_INFO!$H61=1,COUNTRY_INFO!E61,0)))</f>
        <v>0</v>
      </c>
      <c r="E61" s="13">
        <f>IF(INTRO!$E$39&lt;&gt;"Non endémique", 0, IF(INTRO!$E$37="Non endémique",0,IF(COUNTRY_INFO!$H61=1,COUNTRY_INFO!F61,0)))</f>
        <v>0</v>
      </c>
      <c r="F61" s="13">
        <f>IF(INTRO!$E$39&lt;&gt;"Non endémique", 0, IF(INTRO!$E$37="Non endémique",0,IF(COUNTRY_INFO!$H61=1,COUNTRY_INFO!G61,0)))</f>
        <v>0</v>
      </c>
      <c r="G61" s="13">
        <f t="shared" si="5"/>
        <v>0</v>
      </c>
      <c r="H61" s="14" t="str">
        <f>IF(INTRO!$E$39="Non endémique",IF(INTRO!$E$37="Non endémique","Non requis",COUNTRY_INFO!P61),"Traiter avec IVM")</f>
        <v>Traiter avec IVM</v>
      </c>
      <c r="I61" s="13">
        <f t="shared" si="6"/>
        <v>0</v>
      </c>
      <c r="J61" s="13">
        <f t="shared" si="7"/>
        <v>0</v>
      </c>
      <c r="K61" s="24"/>
      <c r="L61" s="15">
        <f t="shared" si="8"/>
        <v>0</v>
      </c>
      <c r="M61" s="15">
        <f t="shared" si="9"/>
        <v>0</v>
      </c>
    </row>
    <row r="62" spans="1:13" x14ac:dyDescent="0.4">
      <c r="A62" s="12" t="str">
        <f>IF(INTRO!$E$39&lt;&gt;"Non endémique", " ", IF(INTRO!$E$37="Non endémique"," ", IF(COUNTRY_INFO!A62=0," ",COUNTRY_INFO!A62)))</f>
        <v xml:space="preserve"> </v>
      </c>
      <c r="B62" s="12" t="str">
        <f>IF(INTRO!$E$39&lt;&gt;"Non endémique", " ", IF(INTRO!$E$37="Non endémique"," ", IF(COUNTRY_INFO!B62=0," ",COUNTRY_INFO!B62)))</f>
        <v xml:space="preserve"> </v>
      </c>
      <c r="C62" s="12" t="str">
        <f>IF(INTRO!$E$39&lt;&gt;"Non endémique", " ", IF(INTRO!$E$37="Non endémique"," ", IF(COUNTRY_INFO!C62=0," ",COUNTRY_INFO!C62)))</f>
        <v xml:space="preserve"> </v>
      </c>
      <c r="D62" s="13">
        <f>IF(INTRO!$E$39&lt;&gt;"Non endémique", 0, IF(INTRO!$E$37="Non endémique",0,IF(COUNTRY_INFO!$H62=1,COUNTRY_INFO!E62,0)))</f>
        <v>0</v>
      </c>
      <c r="E62" s="13">
        <f>IF(INTRO!$E$39&lt;&gt;"Non endémique", 0, IF(INTRO!$E$37="Non endémique",0,IF(COUNTRY_INFO!$H62=1,COUNTRY_INFO!F62,0)))</f>
        <v>0</v>
      </c>
      <c r="F62" s="13">
        <f>IF(INTRO!$E$39&lt;&gt;"Non endémique", 0, IF(INTRO!$E$37="Non endémique",0,IF(COUNTRY_INFO!$H62=1,COUNTRY_INFO!G62,0)))</f>
        <v>0</v>
      </c>
      <c r="G62" s="13">
        <f t="shared" si="5"/>
        <v>0</v>
      </c>
      <c r="H62" s="14" t="str">
        <f>IF(INTRO!$E$39="Non endémique",IF(INTRO!$E$37="Non endémique","Non requis",COUNTRY_INFO!P62),"Traiter avec IVM")</f>
        <v>Traiter avec IVM</v>
      </c>
      <c r="I62" s="13">
        <f t="shared" si="6"/>
        <v>0</v>
      </c>
      <c r="J62" s="13">
        <f t="shared" si="7"/>
        <v>0</v>
      </c>
      <c r="K62" s="24"/>
      <c r="L62" s="15">
        <f t="shared" si="8"/>
        <v>0</v>
      </c>
      <c r="M62" s="15">
        <f t="shared" si="9"/>
        <v>0</v>
      </c>
    </row>
    <row r="63" spans="1:13" x14ac:dyDescent="0.4">
      <c r="A63" s="12" t="str">
        <f>IF(INTRO!$E$39&lt;&gt;"Non endémique", " ", IF(INTRO!$E$37="Non endémique"," ", IF(COUNTRY_INFO!A63=0," ",COUNTRY_INFO!A63)))</f>
        <v xml:space="preserve"> </v>
      </c>
      <c r="B63" s="12" t="str">
        <f>IF(INTRO!$E$39&lt;&gt;"Non endémique", " ", IF(INTRO!$E$37="Non endémique"," ", IF(COUNTRY_INFO!B63=0," ",COUNTRY_INFO!B63)))</f>
        <v xml:space="preserve"> </v>
      </c>
      <c r="C63" s="12" t="str">
        <f>IF(INTRO!$E$39&lt;&gt;"Non endémique", " ", IF(INTRO!$E$37="Non endémique"," ", IF(COUNTRY_INFO!C63=0," ",COUNTRY_INFO!C63)))</f>
        <v xml:space="preserve"> </v>
      </c>
      <c r="D63" s="13">
        <f>IF(INTRO!$E$39&lt;&gt;"Non endémique", 0, IF(INTRO!$E$37="Non endémique",0,IF(COUNTRY_INFO!$H63=1,COUNTRY_INFO!E63,0)))</f>
        <v>0</v>
      </c>
      <c r="E63" s="13">
        <f>IF(INTRO!$E$39&lt;&gt;"Non endémique", 0, IF(INTRO!$E$37="Non endémique",0,IF(COUNTRY_INFO!$H63=1,COUNTRY_INFO!F63,0)))</f>
        <v>0</v>
      </c>
      <c r="F63" s="13">
        <f>IF(INTRO!$E$39&lt;&gt;"Non endémique", 0, IF(INTRO!$E$37="Non endémique",0,IF(COUNTRY_INFO!$H63=1,COUNTRY_INFO!G63,0)))</f>
        <v>0</v>
      </c>
      <c r="G63" s="13">
        <f t="shared" si="5"/>
        <v>0</v>
      </c>
      <c r="H63" s="14" t="str">
        <f>IF(INTRO!$E$39="Non endémique",IF(INTRO!$E$37="Non endémique","Non requis",COUNTRY_INFO!P63),"Traiter avec IVM")</f>
        <v>Traiter avec IVM</v>
      </c>
      <c r="I63" s="13">
        <f t="shared" si="6"/>
        <v>0</v>
      </c>
      <c r="J63" s="13">
        <f t="shared" si="7"/>
        <v>0</v>
      </c>
      <c r="K63" s="24"/>
      <c r="L63" s="15">
        <f t="shared" si="8"/>
        <v>0</v>
      </c>
      <c r="M63" s="15">
        <f t="shared" si="9"/>
        <v>0</v>
      </c>
    </row>
    <row r="64" spans="1:13" x14ac:dyDescent="0.4">
      <c r="A64" s="12" t="str">
        <f>IF(INTRO!$E$39&lt;&gt;"Non endémique", " ", IF(INTRO!$E$37="Non endémique"," ", IF(COUNTRY_INFO!A64=0," ",COUNTRY_INFO!A64)))</f>
        <v xml:space="preserve"> </v>
      </c>
      <c r="B64" s="12" t="str">
        <f>IF(INTRO!$E$39&lt;&gt;"Non endémique", " ", IF(INTRO!$E$37="Non endémique"," ", IF(COUNTRY_INFO!B64=0," ",COUNTRY_INFO!B64)))</f>
        <v xml:space="preserve"> </v>
      </c>
      <c r="C64" s="12" t="str">
        <f>IF(INTRO!$E$39&lt;&gt;"Non endémique", " ", IF(INTRO!$E$37="Non endémique"," ", IF(COUNTRY_INFO!C64=0," ",COUNTRY_INFO!C64)))</f>
        <v xml:space="preserve"> </v>
      </c>
      <c r="D64" s="13">
        <f>IF(INTRO!$E$39&lt;&gt;"Non endémique", 0, IF(INTRO!$E$37="Non endémique",0,IF(COUNTRY_INFO!$H64=1,COUNTRY_INFO!E64,0)))</f>
        <v>0</v>
      </c>
      <c r="E64" s="13">
        <f>IF(INTRO!$E$39&lt;&gt;"Non endémique", 0, IF(INTRO!$E$37="Non endémique",0,IF(COUNTRY_INFO!$H64=1,COUNTRY_INFO!F64,0)))</f>
        <v>0</v>
      </c>
      <c r="F64" s="13">
        <f>IF(INTRO!$E$39&lt;&gt;"Non endémique", 0, IF(INTRO!$E$37="Non endémique",0,IF(COUNTRY_INFO!$H64=1,COUNTRY_INFO!G64,0)))</f>
        <v>0</v>
      </c>
      <c r="G64" s="13">
        <f t="shared" si="5"/>
        <v>0</v>
      </c>
      <c r="H64" s="14" t="str">
        <f>IF(INTRO!$E$39="Non endémique",IF(INTRO!$E$37="Non endémique","Non requis",COUNTRY_INFO!P64),"Traiter avec IVM")</f>
        <v>Traiter avec IVM</v>
      </c>
      <c r="I64" s="13">
        <f t="shared" si="6"/>
        <v>0</v>
      </c>
      <c r="J64" s="13">
        <f t="shared" si="7"/>
        <v>0</v>
      </c>
      <c r="K64" s="24"/>
      <c r="L64" s="15">
        <f t="shared" si="8"/>
        <v>0</v>
      </c>
      <c r="M64" s="15">
        <f t="shared" si="9"/>
        <v>0</v>
      </c>
    </row>
    <row r="65" spans="1:13" x14ac:dyDescent="0.4">
      <c r="A65" s="12" t="str">
        <f>IF(INTRO!$E$39&lt;&gt;"Non endémique", " ", IF(INTRO!$E$37="Non endémique"," ", IF(COUNTRY_INFO!A65=0," ",COUNTRY_INFO!A65)))</f>
        <v xml:space="preserve"> </v>
      </c>
      <c r="B65" s="12" t="str">
        <f>IF(INTRO!$E$39&lt;&gt;"Non endémique", " ", IF(INTRO!$E$37="Non endémique"," ", IF(COUNTRY_INFO!B65=0," ",COUNTRY_INFO!B65)))</f>
        <v xml:space="preserve"> </v>
      </c>
      <c r="C65" s="12" t="str">
        <f>IF(INTRO!$E$39&lt;&gt;"Non endémique", " ", IF(INTRO!$E$37="Non endémique"," ", IF(COUNTRY_INFO!C65=0," ",COUNTRY_INFO!C65)))</f>
        <v xml:space="preserve"> </v>
      </c>
      <c r="D65" s="13">
        <f>IF(INTRO!$E$39&lt;&gt;"Non endémique", 0, IF(INTRO!$E$37="Non endémique",0,IF(COUNTRY_INFO!$H65=1,COUNTRY_INFO!E65,0)))</f>
        <v>0</v>
      </c>
      <c r="E65" s="13">
        <f>IF(INTRO!$E$39&lt;&gt;"Non endémique", 0, IF(INTRO!$E$37="Non endémique",0,IF(COUNTRY_INFO!$H65=1,COUNTRY_INFO!F65,0)))</f>
        <v>0</v>
      </c>
      <c r="F65" s="13">
        <f>IF(INTRO!$E$39&lt;&gt;"Non endémique", 0, IF(INTRO!$E$37="Non endémique",0,IF(COUNTRY_INFO!$H65=1,COUNTRY_INFO!G65,0)))</f>
        <v>0</v>
      </c>
      <c r="G65" s="13">
        <f t="shared" si="5"/>
        <v>0</v>
      </c>
      <c r="H65" s="14" t="str">
        <f>IF(INTRO!$E$39="Non endémique",IF(INTRO!$E$37="Non endémique","Non requis",COUNTRY_INFO!P65),"Traiter avec IVM")</f>
        <v>Traiter avec IVM</v>
      </c>
      <c r="I65" s="13">
        <f t="shared" si="6"/>
        <v>0</v>
      </c>
      <c r="J65" s="13">
        <f t="shared" si="7"/>
        <v>0</v>
      </c>
      <c r="K65" s="24"/>
      <c r="L65" s="15">
        <f t="shared" si="8"/>
        <v>0</v>
      </c>
      <c r="M65" s="15">
        <f t="shared" si="9"/>
        <v>0</v>
      </c>
    </row>
    <row r="66" spans="1:13" x14ac:dyDescent="0.4">
      <c r="A66" s="12" t="str">
        <f>IF(INTRO!$E$39&lt;&gt;"Non endémique", " ", IF(INTRO!$E$37="Non endémique"," ", IF(COUNTRY_INFO!A66=0," ",COUNTRY_INFO!A66)))</f>
        <v xml:space="preserve"> </v>
      </c>
      <c r="B66" s="12" t="str">
        <f>IF(INTRO!$E$39&lt;&gt;"Non endémique", " ", IF(INTRO!$E$37="Non endémique"," ", IF(COUNTRY_INFO!B66=0," ",COUNTRY_INFO!B66)))</f>
        <v xml:space="preserve"> </v>
      </c>
      <c r="C66" s="12" t="str">
        <f>IF(INTRO!$E$39&lt;&gt;"Non endémique", " ", IF(INTRO!$E$37="Non endémique"," ", IF(COUNTRY_INFO!C66=0," ",COUNTRY_INFO!C66)))</f>
        <v xml:space="preserve"> </v>
      </c>
      <c r="D66" s="13">
        <f>IF(INTRO!$E$39&lt;&gt;"Non endémique", 0, IF(INTRO!$E$37="Non endémique",0,IF(COUNTRY_INFO!$H66=1,COUNTRY_INFO!E66,0)))</f>
        <v>0</v>
      </c>
      <c r="E66" s="13">
        <f>IF(INTRO!$E$39&lt;&gt;"Non endémique", 0, IF(INTRO!$E$37="Non endémique",0,IF(COUNTRY_INFO!$H66=1,COUNTRY_INFO!F66,0)))</f>
        <v>0</v>
      </c>
      <c r="F66" s="13">
        <f>IF(INTRO!$E$39&lt;&gt;"Non endémique", 0, IF(INTRO!$E$37="Non endémique",0,IF(COUNTRY_INFO!$H66=1,COUNTRY_INFO!G66,0)))</f>
        <v>0</v>
      </c>
      <c r="G66" s="13">
        <f t="shared" si="5"/>
        <v>0</v>
      </c>
      <c r="H66" s="14" t="str">
        <f>IF(INTRO!$E$39="Non endémique",IF(INTRO!$E$37="Non endémique","Non requis",COUNTRY_INFO!P66),"Traiter avec IVM")</f>
        <v>Traiter avec IVM</v>
      </c>
      <c r="I66" s="13">
        <f t="shared" si="6"/>
        <v>0</v>
      </c>
      <c r="J66" s="13">
        <f t="shared" si="7"/>
        <v>0</v>
      </c>
      <c r="K66" s="24"/>
      <c r="L66" s="15">
        <f t="shared" si="8"/>
        <v>0</v>
      </c>
      <c r="M66" s="15">
        <f t="shared" si="9"/>
        <v>0</v>
      </c>
    </row>
    <row r="67" spans="1:13" x14ac:dyDescent="0.4">
      <c r="A67" s="12" t="str">
        <f>IF(INTRO!$E$39&lt;&gt;"Non endémique", " ", IF(INTRO!$E$37="Non endémique"," ", IF(COUNTRY_INFO!A67=0," ",COUNTRY_INFO!A67)))</f>
        <v xml:space="preserve"> </v>
      </c>
      <c r="B67" s="12" t="str">
        <f>IF(INTRO!$E$39&lt;&gt;"Non endémique", " ", IF(INTRO!$E$37="Non endémique"," ", IF(COUNTRY_INFO!B67=0," ",COUNTRY_INFO!B67)))</f>
        <v xml:space="preserve"> </v>
      </c>
      <c r="C67" s="12" t="str">
        <f>IF(INTRO!$E$39&lt;&gt;"Non endémique", " ", IF(INTRO!$E$37="Non endémique"," ", IF(COUNTRY_INFO!C67=0," ",COUNTRY_INFO!C67)))</f>
        <v xml:space="preserve"> </v>
      </c>
      <c r="D67" s="13">
        <f>IF(INTRO!$E$39&lt;&gt;"Non endémique", 0, IF(INTRO!$E$37="Non endémique",0,IF(COUNTRY_INFO!$H67=1,COUNTRY_INFO!E67,0)))</f>
        <v>0</v>
      </c>
      <c r="E67" s="13">
        <f>IF(INTRO!$E$39&lt;&gt;"Non endémique", 0, IF(INTRO!$E$37="Non endémique",0,IF(COUNTRY_INFO!$H67=1,COUNTRY_INFO!F67,0)))</f>
        <v>0</v>
      </c>
      <c r="F67" s="13">
        <f>IF(INTRO!$E$39&lt;&gt;"Non endémique", 0, IF(INTRO!$E$37="Non endémique",0,IF(COUNTRY_INFO!$H67=1,COUNTRY_INFO!G67,0)))</f>
        <v>0</v>
      </c>
      <c r="G67" s="13">
        <f t="shared" si="5"/>
        <v>0</v>
      </c>
      <c r="H67" s="14" t="str">
        <f>IF(INTRO!$E$39="Non endémique",IF(INTRO!$E$37="Non endémique","Non requis",COUNTRY_INFO!P67),"Traiter avec IVM")</f>
        <v>Traiter avec IVM</v>
      </c>
      <c r="I67" s="13">
        <f t="shared" si="6"/>
        <v>0</v>
      </c>
      <c r="J67" s="13">
        <f t="shared" si="7"/>
        <v>0</v>
      </c>
      <c r="K67" s="24"/>
      <c r="L67" s="15">
        <f t="shared" si="8"/>
        <v>0</v>
      </c>
      <c r="M67" s="15">
        <f t="shared" si="9"/>
        <v>0</v>
      </c>
    </row>
    <row r="68" spans="1:13" x14ac:dyDescent="0.4">
      <c r="A68" s="12" t="str">
        <f>IF(INTRO!$E$39&lt;&gt;"Non endémique", " ", IF(INTRO!$E$37="Non endémique"," ", IF(COUNTRY_INFO!A68=0," ",COUNTRY_INFO!A68)))</f>
        <v xml:space="preserve"> </v>
      </c>
      <c r="B68" s="12" t="str">
        <f>IF(INTRO!$E$39&lt;&gt;"Non endémique", " ", IF(INTRO!$E$37="Non endémique"," ", IF(COUNTRY_INFO!B68=0," ",COUNTRY_INFO!B68)))</f>
        <v xml:space="preserve"> </v>
      </c>
      <c r="C68" s="12" t="str">
        <f>IF(INTRO!$E$39&lt;&gt;"Non endémique", " ", IF(INTRO!$E$37="Non endémique"," ", IF(COUNTRY_INFO!C68=0," ",COUNTRY_INFO!C68)))</f>
        <v xml:space="preserve"> </v>
      </c>
      <c r="D68" s="13">
        <f>IF(INTRO!$E$39&lt;&gt;"Non endémique", 0, IF(INTRO!$E$37="Non endémique",0,IF(COUNTRY_INFO!$H68=1,COUNTRY_INFO!E68,0)))</f>
        <v>0</v>
      </c>
      <c r="E68" s="13">
        <f>IF(INTRO!$E$39&lt;&gt;"Non endémique", 0, IF(INTRO!$E$37="Non endémique",0,IF(COUNTRY_INFO!$H68=1,COUNTRY_INFO!F68,0)))</f>
        <v>0</v>
      </c>
      <c r="F68" s="13">
        <f>IF(INTRO!$E$39&lt;&gt;"Non endémique", 0, IF(INTRO!$E$37="Non endémique",0,IF(COUNTRY_INFO!$H68=1,COUNTRY_INFO!G68,0)))</f>
        <v>0</v>
      </c>
      <c r="G68" s="13">
        <f t="shared" si="5"/>
        <v>0</v>
      </c>
      <c r="H68" s="14" t="str">
        <f>IF(INTRO!$E$39="Non endémique",IF(INTRO!$E$37="Non endémique","Non requis",COUNTRY_INFO!P68),"Traiter avec IVM")</f>
        <v>Traiter avec IVM</v>
      </c>
      <c r="I68" s="13">
        <f t="shared" si="6"/>
        <v>0</v>
      </c>
      <c r="J68" s="13">
        <f t="shared" si="7"/>
        <v>0</v>
      </c>
      <c r="K68" s="24"/>
      <c r="L68" s="15">
        <f t="shared" si="8"/>
        <v>0</v>
      </c>
      <c r="M68" s="15">
        <f t="shared" si="9"/>
        <v>0</v>
      </c>
    </row>
    <row r="69" spans="1:13" x14ac:dyDescent="0.4">
      <c r="A69" s="12" t="str">
        <f>IF(INTRO!$E$39&lt;&gt;"Non endémique", " ", IF(INTRO!$E$37="Non endémique"," ", IF(COUNTRY_INFO!A69=0," ",COUNTRY_INFO!A69)))</f>
        <v xml:space="preserve"> </v>
      </c>
      <c r="B69" s="12" t="str">
        <f>IF(INTRO!$E$39&lt;&gt;"Non endémique", " ", IF(INTRO!$E$37="Non endémique"," ", IF(COUNTRY_INFO!B69=0," ",COUNTRY_INFO!B69)))</f>
        <v xml:space="preserve"> </v>
      </c>
      <c r="C69" s="12" t="str">
        <f>IF(INTRO!$E$39&lt;&gt;"Non endémique", " ", IF(INTRO!$E$37="Non endémique"," ", IF(COUNTRY_INFO!C69=0," ",COUNTRY_INFO!C69)))</f>
        <v xml:space="preserve"> </v>
      </c>
      <c r="D69" s="13">
        <f>IF(INTRO!$E$39&lt;&gt;"Non endémique", 0, IF(INTRO!$E$37="Non endémique",0,IF(COUNTRY_INFO!$H69=1,COUNTRY_INFO!E69,0)))</f>
        <v>0</v>
      </c>
      <c r="E69" s="13">
        <f>IF(INTRO!$E$39&lt;&gt;"Non endémique", 0, IF(INTRO!$E$37="Non endémique",0,IF(COUNTRY_INFO!$H69=1,COUNTRY_INFO!F69,0)))</f>
        <v>0</v>
      </c>
      <c r="F69" s="13">
        <f>IF(INTRO!$E$39&lt;&gt;"Non endémique", 0, IF(INTRO!$E$37="Non endémique",0,IF(COUNTRY_INFO!$H69=1,COUNTRY_INFO!G69,0)))</f>
        <v>0</v>
      </c>
      <c r="G69" s="13">
        <f t="shared" si="5"/>
        <v>0</v>
      </c>
      <c r="H69" s="14" t="str">
        <f>IF(INTRO!$E$39="Non endémique",IF(INTRO!$E$37="Non endémique","Non requis",COUNTRY_INFO!P69),"Traiter avec IVM")</f>
        <v>Traiter avec IVM</v>
      </c>
      <c r="I69" s="13">
        <f t="shared" si="6"/>
        <v>0</v>
      </c>
      <c r="J69" s="13">
        <f t="shared" si="7"/>
        <v>0</v>
      </c>
      <c r="K69" s="24"/>
      <c r="L69" s="15">
        <f t="shared" si="8"/>
        <v>0</v>
      </c>
      <c r="M69" s="15">
        <f t="shared" si="9"/>
        <v>0</v>
      </c>
    </row>
    <row r="70" spans="1:13" x14ac:dyDescent="0.4">
      <c r="A70" s="12" t="str">
        <f>IF(INTRO!$E$39&lt;&gt;"Non endémique", " ", IF(INTRO!$E$37="Non endémique"," ", IF(COUNTRY_INFO!A70=0," ",COUNTRY_INFO!A70)))</f>
        <v xml:space="preserve"> </v>
      </c>
      <c r="B70" s="12" t="str">
        <f>IF(INTRO!$E$39&lt;&gt;"Non endémique", " ", IF(INTRO!$E$37="Non endémique"," ", IF(COUNTRY_INFO!B70=0," ",COUNTRY_INFO!B70)))</f>
        <v xml:space="preserve"> </v>
      </c>
      <c r="C70" s="12" t="str">
        <f>IF(INTRO!$E$39&lt;&gt;"Non endémique", " ", IF(INTRO!$E$37="Non endémique"," ", IF(COUNTRY_INFO!C70=0," ",COUNTRY_INFO!C70)))</f>
        <v xml:space="preserve"> </v>
      </c>
      <c r="D70" s="13">
        <f>IF(INTRO!$E$39&lt;&gt;"Non endémique", 0, IF(INTRO!$E$37="Non endémique",0,IF(COUNTRY_INFO!$H70=1,COUNTRY_INFO!E70,0)))</f>
        <v>0</v>
      </c>
      <c r="E70" s="13">
        <f>IF(INTRO!$E$39&lt;&gt;"Non endémique", 0, IF(INTRO!$E$37="Non endémique",0,IF(COUNTRY_INFO!$H70=1,COUNTRY_INFO!F70,0)))</f>
        <v>0</v>
      </c>
      <c r="F70" s="13">
        <f>IF(INTRO!$E$39&lt;&gt;"Non endémique", 0, IF(INTRO!$E$37="Non endémique",0,IF(COUNTRY_INFO!$H70=1,COUNTRY_INFO!G70,0)))</f>
        <v>0</v>
      </c>
      <c r="G70" s="13">
        <f t="shared" si="5"/>
        <v>0</v>
      </c>
      <c r="H70" s="14" t="str">
        <f>IF(INTRO!$E$39="Non endémique",IF(INTRO!$E$37="Non endémique","Non requis",COUNTRY_INFO!P70),"Traiter avec IVM")</f>
        <v>Traiter avec IVM</v>
      </c>
      <c r="I70" s="13">
        <f t="shared" si="6"/>
        <v>0</v>
      </c>
      <c r="J70" s="13">
        <f t="shared" si="7"/>
        <v>0</v>
      </c>
      <c r="K70" s="24"/>
      <c r="L70" s="15">
        <f t="shared" si="8"/>
        <v>0</v>
      </c>
      <c r="M70" s="15">
        <f t="shared" si="9"/>
        <v>0</v>
      </c>
    </row>
    <row r="71" spans="1:13" x14ac:dyDescent="0.4">
      <c r="A71" s="12" t="str">
        <f>IF(INTRO!$E$39&lt;&gt;"Non endémique", " ", IF(INTRO!$E$37="Non endémique"," ", IF(COUNTRY_INFO!A71=0," ",COUNTRY_INFO!A71)))</f>
        <v xml:space="preserve"> </v>
      </c>
      <c r="B71" s="12" t="str">
        <f>IF(INTRO!$E$39&lt;&gt;"Non endémique", " ", IF(INTRO!$E$37="Non endémique"," ", IF(COUNTRY_INFO!B71=0," ",COUNTRY_INFO!B71)))</f>
        <v xml:space="preserve"> </v>
      </c>
      <c r="C71" s="12" t="str">
        <f>IF(INTRO!$E$39&lt;&gt;"Non endémique", " ", IF(INTRO!$E$37="Non endémique"," ", IF(COUNTRY_INFO!C71=0," ",COUNTRY_INFO!C71)))</f>
        <v xml:space="preserve"> </v>
      </c>
      <c r="D71" s="13">
        <f>IF(INTRO!$E$39&lt;&gt;"Non endémique", 0, IF(INTRO!$E$37="Non endémique",0,IF(COUNTRY_INFO!$H71=1,COUNTRY_INFO!E71,0)))</f>
        <v>0</v>
      </c>
      <c r="E71" s="13">
        <f>IF(INTRO!$E$39&lt;&gt;"Non endémique", 0, IF(INTRO!$E$37="Non endémique",0,IF(COUNTRY_INFO!$H71=1,COUNTRY_INFO!F71,0)))</f>
        <v>0</v>
      </c>
      <c r="F71" s="13">
        <f>IF(INTRO!$E$39&lt;&gt;"Non endémique", 0, IF(INTRO!$E$37="Non endémique",0,IF(COUNTRY_INFO!$H71=1,COUNTRY_INFO!G71,0)))</f>
        <v>0</v>
      </c>
      <c r="G71" s="13">
        <f t="shared" si="5"/>
        <v>0</v>
      </c>
      <c r="H71" s="14" t="str">
        <f>IF(INTRO!$E$39="Non endémique",IF(INTRO!$E$37="Non endémique","Non requis",COUNTRY_INFO!P71),"Traiter avec IVM")</f>
        <v>Traiter avec IVM</v>
      </c>
      <c r="I71" s="13">
        <f t="shared" si="6"/>
        <v>0</v>
      </c>
      <c r="J71" s="13">
        <f t="shared" si="7"/>
        <v>0</v>
      </c>
      <c r="K71" s="24"/>
      <c r="L71" s="15">
        <f t="shared" si="8"/>
        <v>0</v>
      </c>
      <c r="M71" s="15">
        <f t="shared" si="9"/>
        <v>0</v>
      </c>
    </row>
    <row r="72" spans="1:13" x14ac:dyDescent="0.4">
      <c r="A72" s="12" t="str">
        <f>IF(INTRO!$E$39&lt;&gt;"Non endémique", " ", IF(INTRO!$E$37="Non endémique"," ", IF(COUNTRY_INFO!A72=0," ",COUNTRY_INFO!A72)))</f>
        <v xml:space="preserve"> </v>
      </c>
      <c r="B72" s="12" t="str">
        <f>IF(INTRO!$E$39&lt;&gt;"Non endémique", " ", IF(INTRO!$E$37="Non endémique"," ", IF(COUNTRY_INFO!B72=0," ",COUNTRY_INFO!B72)))</f>
        <v xml:space="preserve"> </v>
      </c>
      <c r="C72" s="12" t="str">
        <f>IF(INTRO!$E$39&lt;&gt;"Non endémique", " ", IF(INTRO!$E$37="Non endémique"," ", IF(COUNTRY_INFO!C72=0," ",COUNTRY_INFO!C72)))</f>
        <v xml:space="preserve"> </v>
      </c>
      <c r="D72" s="13">
        <f>IF(INTRO!$E$39&lt;&gt;"Non endémique", 0, IF(INTRO!$E$37="Non endémique",0,IF(COUNTRY_INFO!$H72=1,COUNTRY_INFO!E72,0)))</f>
        <v>0</v>
      </c>
      <c r="E72" s="13">
        <f>IF(INTRO!$E$39&lt;&gt;"Non endémique", 0, IF(INTRO!$E$37="Non endémique",0,IF(COUNTRY_INFO!$H72=1,COUNTRY_INFO!F72,0)))</f>
        <v>0</v>
      </c>
      <c r="F72" s="13">
        <f>IF(INTRO!$E$39&lt;&gt;"Non endémique", 0, IF(INTRO!$E$37="Non endémique",0,IF(COUNTRY_INFO!$H72=1,COUNTRY_INFO!G72,0)))</f>
        <v>0</v>
      </c>
      <c r="G72" s="13">
        <f t="shared" si="5"/>
        <v>0</v>
      </c>
      <c r="H72" s="14" t="str">
        <f>IF(INTRO!$E$39="Non endémique",IF(INTRO!$E$37="Non endémique","Non requis",COUNTRY_INFO!P72),"Traiter avec IVM")</f>
        <v>Traiter avec IVM</v>
      </c>
      <c r="I72" s="13">
        <f t="shared" si="6"/>
        <v>0</v>
      </c>
      <c r="J72" s="13">
        <f t="shared" si="7"/>
        <v>0</v>
      </c>
      <c r="K72" s="24"/>
      <c r="L72" s="15">
        <f t="shared" si="8"/>
        <v>0</v>
      </c>
      <c r="M72" s="15">
        <f t="shared" si="9"/>
        <v>0</v>
      </c>
    </row>
    <row r="73" spans="1:13" x14ac:dyDescent="0.4">
      <c r="A73" s="12" t="str">
        <f>IF(INTRO!$E$39&lt;&gt;"Non endémique", " ", IF(INTRO!$E$37="Non endémique"," ", IF(COUNTRY_INFO!A73=0," ",COUNTRY_INFO!A73)))</f>
        <v xml:space="preserve"> </v>
      </c>
      <c r="B73" s="12" t="str">
        <f>IF(INTRO!$E$39&lt;&gt;"Non endémique", " ", IF(INTRO!$E$37="Non endémique"," ", IF(COUNTRY_INFO!B73=0," ",COUNTRY_INFO!B73)))</f>
        <v xml:space="preserve"> </v>
      </c>
      <c r="C73" s="12" t="str">
        <f>IF(INTRO!$E$39&lt;&gt;"Non endémique", " ", IF(INTRO!$E$37="Non endémique"," ", IF(COUNTRY_INFO!C73=0," ",COUNTRY_INFO!C73)))</f>
        <v xml:space="preserve"> </v>
      </c>
      <c r="D73" s="13">
        <f>IF(INTRO!$E$39&lt;&gt;"Non endémique", 0, IF(INTRO!$E$37="Non endémique",0,IF(COUNTRY_INFO!$H73=1,COUNTRY_INFO!E73,0)))</f>
        <v>0</v>
      </c>
      <c r="E73" s="13">
        <f>IF(INTRO!$E$39&lt;&gt;"Non endémique", 0, IF(INTRO!$E$37="Non endémique",0,IF(COUNTRY_INFO!$H73=1,COUNTRY_INFO!F73,0)))</f>
        <v>0</v>
      </c>
      <c r="F73" s="13">
        <f>IF(INTRO!$E$39&lt;&gt;"Non endémique", 0, IF(INTRO!$E$37="Non endémique",0,IF(COUNTRY_INFO!$H73=1,COUNTRY_INFO!G73,0)))</f>
        <v>0</v>
      </c>
      <c r="G73" s="13">
        <f t="shared" ref="G73:G83" si="10">SUM(D73:F73)</f>
        <v>0</v>
      </c>
      <c r="H73" s="14" t="str">
        <f>IF(INTRO!$E$39="Non endémique",IF(INTRO!$E$37="Non endémique","Non requis",COUNTRY_INFO!P73),"Traiter avec IVM")</f>
        <v>Traiter avec IVM</v>
      </c>
      <c r="I73" s="13">
        <f t="shared" ref="I73:I83" si="11">IF(H73=1,G73,0)</f>
        <v>0</v>
      </c>
      <c r="J73" s="13">
        <f t="shared" ref="J73:J83" si="12">IF(I73&gt;0,I73*2.5,0)</f>
        <v>0</v>
      </c>
      <c r="K73" s="24"/>
      <c r="L73" s="15">
        <f t="shared" ref="L73:L83" si="13">IF($J73&gt;$K73,$J73-$K73,0)</f>
        <v>0</v>
      </c>
      <c r="M73" s="15">
        <f t="shared" ref="M73:M83" si="14">ROUNDUP($J73/1000,0)</f>
        <v>0</v>
      </c>
    </row>
    <row r="74" spans="1:13" x14ac:dyDescent="0.4">
      <c r="A74" s="12" t="str">
        <f>IF(INTRO!$E$39&lt;&gt;"Non endémique", " ", IF(INTRO!$E$37="Non endémique"," ", IF(COUNTRY_INFO!A74=0," ",COUNTRY_INFO!A74)))</f>
        <v xml:space="preserve"> </v>
      </c>
      <c r="B74" s="12" t="str">
        <f>IF(INTRO!$E$39&lt;&gt;"Non endémique", " ", IF(INTRO!$E$37="Non endémique"," ", IF(COUNTRY_INFO!B74=0," ",COUNTRY_INFO!B74)))</f>
        <v xml:space="preserve"> </v>
      </c>
      <c r="C74" s="12" t="str">
        <f>IF(INTRO!$E$39&lt;&gt;"Non endémique", " ", IF(INTRO!$E$37="Non endémique"," ", IF(COUNTRY_INFO!C74=0," ",COUNTRY_INFO!C74)))</f>
        <v xml:space="preserve"> </v>
      </c>
      <c r="D74" s="13">
        <f>IF(INTRO!$E$39&lt;&gt;"Non endémique", 0, IF(INTRO!$E$37="Non endémique",0,IF(COUNTRY_INFO!$H74=1,COUNTRY_INFO!E74,0)))</f>
        <v>0</v>
      </c>
      <c r="E74" s="13">
        <f>IF(INTRO!$E$39&lt;&gt;"Non endémique", 0, IF(INTRO!$E$37="Non endémique",0,IF(COUNTRY_INFO!$H74=1,COUNTRY_INFO!F74,0)))</f>
        <v>0</v>
      </c>
      <c r="F74" s="13">
        <f>IF(INTRO!$E$39&lt;&gt;"Non endémique", 0, IF(INTRO!$E$37="Non endémique",0,IF(COUNTRY_INFO!$H74=1,COUNTRY_INFO!G74,0)))</f>
        <v>0</v>
      </c>
      <c r="G74" s="13">
        <f t="shared" si="10"/>
        <v>0</v>
      </c>
      <c r="H74" s="14" t="str">
        <f>IF(INTRO!$E$39="Non endémique",IF(INTRO!$E$37="Non endémique","Non requis",COUNTRY_INFO!P74),"Traiter avec IVM")</f>
        <v>Traiter avec IVM</v>
      </c>
      <c r="I74" s="13">
        <f t="shared" si="11"/>
        <v>0</v>
      </c>
      <c r="J74" s="13">
        <f t="shared" si="12"/>
        <v>0</v>
      </c>
      <c r="K74" s="24"/>
      <c r="L74" s="15">
        <f t="shared" si="13"/>
        <v>0</v>
      </c>
      <c r="M74" s="15">
        <f t="shared" si="14"/>
        <v>0</v>
      </c>
    </row>
    <row r="75" spans="1:13" x14ac:dyDescent="0.4">
      <c r="A75" s="12" t="str">
        <f>IF(INTRO!$E$39&lt;&gt;"Non endémique", " ", IF(INTRO!$E$37="Non endémique"," ", IF(COUNTRY_INFO!A75=0," ",COUNTRY_INFO!A75)))</f>
        <v xml:space="preserve"> </v>
      </c>
      <c r="B75" s="12" t="str">
        <f>IF(INTRO!$E$39&lt;&gt;"Non endémique", " ", IF(INTRO!$E$37="Non endémique"," ", IF(COUNTRY_INFO!B75=0," ",COUNTRY_INFO!B75)))</f>
        <v xml:space="preserve"> </v>
      </c>
      <c r="C75" s="12" t="str">
        <f>IF(INTRO!$E$39&lt;&gt;"Non endémique", " ", IF(INTRO!$E$37="Non endémique"," ", IF(COUNTRY_INFO!C75=0," ",COUNTRY_INFO!C75)))</f>
        <v xml:space="preserve"> </v>
      </c>
      <c r="D75" s="13">
        <f>IF(INTRO!$E$39&lt;&gt;"Non endémique", 0, IF(INTRO!$E$37="Non endémique",0,IF(COUNTRY_INFO!$H75=1,COUNTRY_INFO!E75,0)))</f>
        <v>0</v>
      </c>
      <c r="E75" s="13">
        <f>IF(INTRO!$E$39&lt;&gt;"Non endémique", 0, IF(INTRO!$E$37="Non endémique",0,IF(COUNTRY_INFO!$H75=1,COUNTRY_INFO!F75,0)))</f>
        <v>0</v>
      </c>
      <c r="F75" s="13">
        <f>IF(INTRO!$E$39&lt;&gt;"Non endémique", 0, IF(INTRO!$E$37="Non endémique",0,IF(COUNTRY_INFO!$H75=1,COUNTRY_INFO!G75,0)))</f>
        <v>0</v>
      </c>
      <c r="G75" s="13">
        <f t="shared" si="10"/>
        <v>0</v>
      </c>
      <c r="H75" s="14" t="str">
        <f>IF(INTRO!$E$39="Non endémique",IF(INTRO!$E$37="Non endémique","Non requis",COUNTRY_INFO!P75),"Traiter avec IVM")</f>
        <v>Traiter avec IVM</v>
      </c>
      <c r="I75" s="13">
        <f t="shared" si="11"/>
        <v>0</v>
      </c>
      <c r="J75" s="13">
        <f t="shared" si="12"/>
        <v>0</v>
      </c>
      <c r="K75" s="24"/>
      <c r="L75" s="15">
        <f t="shared" si="13"/>
        <v>0</v>
      </c>
      <c r="M75" s="15">
        <f t="shared" si="14"/>
        <v>0</v>
      </c>
    </row>
    <row r="76" spans="1:13" x14ac:dyDescent="0.4">
      <c r="A76" s="12" t="str">
        <f>IF(INTRO!$E$39&lt;&gt;"Non endémique", " ", IF(INTRO!$E$37="Non endémique"," ", IF(COUNTRY_INFO!A76=0," ",COUNTRY_INFO!A76)))</f>
        <v xml:space="preserve"> </v>
      </c>
      <c r="B76" s="12" t="str">
        <f>IF(INTRO!$E$39&lt;&gt;"Non endémique", " ", IF(INTRO!$E$37="Non endémique"," ", IF(COUNTRY_INFO!B76=0," ",COUNTRY_INFO!B76)))</f>
        <v xml:space="preserve"> </v>
      </c>
      <c r="C76" s="12" t="str">
        <f>IF(INTRO!$E$39&lt;&gt;"Non endémique", " ", IF(INTRO!$E$37="Non endémique"," ", IF(COUNTRY_INFO!C76=0," ",COUNTRY_INFO!C76)))</f>
        <v xml:space="preserve"> </v>
      </c>
      <c r="D76" s="13">
        <f>IF(INTRO!$E$39&lt;&gt;"Non endémique", 0, IF(INTRO!$E$37="Non endémique",0,IF(COUNTRY_INFO!$H76=1,COUNTRY_INFO!E76,0)))</f>
        <v>0</v>
      </c>
      <c r="E76" s="13">
        <f>IF(INTRO!$E$39&lt;&gt;"Non endémique", 0, IF(INTRO!$E$37="Non endémique",0,IF(COUNTRY_INFO!$H76=1,COUNTRY_INFO!F76,0)))</f>
        <v>0</v>
      </c>
      <c r="F76" s="13">
        <f>IF(INTRO!$E$39&lt;&gt;"Non endémique", 0, IF(INTRO!$E$37="Non endémique",0,IF(COUNTRY_INFO!$H76=1,COUNTRY_INFO!G76,0)))</f>
        <v>0</v>
      </c>
      <c r="G76" s="13">
        <f t="shared" si="10"/>
        <v>0</v>
      </c>
      <c r="H76" s="14" t="str">
        <f>IF(INTRO!$E$39="Non endémique",IF(INTRO!$E$37="Non endémique","Non requis",COUNTRY_INFO!P76),"Traiter avec IVM")</f>
        <v>Traiter avec IVM</v>
      </c>
      <c r="I76" s="13">
        <f t="shared" si="11"/>
        <v>0</v>
      </c>
      <c r="J76" s="13">
        <f t="shared" si="12"/>
        <v>0</v>
      </c>
      <c r="K76" s="24"/>
      <c r="L76" s="15">
        <f t="shared" si="13"/>
        <v>0</v>
      </c>
      <c r="M76" s="15">
        <f t="shared" si="14"/>
        <v>0</v>
      </c>
    </row>
    <row r="77" spans="1:13" x14ac:dyDescent="0.4">
      <c r="A77" s="12" t="str">
        <f>IF(INTRO!$E$39&lt;&gt;"Non endémique", " ", IF(INTRO!$E$37="Non endémique"," ", IF(COUNTRY_INFO!A77=0," ",COUNTRY_INFO!A77)))</f>
        <v xml:space="preserve"> </v>
      </c>
      <c r="B77" s="12" t="str">
        <f>IF(INTRO!$E$39&lt;&gt;"Non endémique", " ", IF(INTRO!$E$37="Non endémique"," ", IF(COUNTRY_INFO!B77=0," ",COUNTRY_INFO!B77)))</f>
        <v xml:space="preserve"> </v>
      </c>
      <c r="C77" s="12" t="str">
        <f>IF(INTRO!$E$39&lt;&gt;"Non endémique", " ", IF(INTRO!$E$37="Non endémique"," ", IF(COUNTRY_INFO!C77=0," ",COUNTRY_INFO!C77)))</f>
        <v xml:space="preserve"> </v>
      </c>
      <c r="D77" s="13">
        <f>IF(INTRO!$E$39&lt;&gt;"Non endémique", 0, IF(INTRO!$E$37="Non endémique",0,IF(COUNTRY_INFO!$H77=1,COUNTRY_INFO!E77,0)))</f>
        <v>0</v>
      </c>
      <c r="E77" s="13">
        <f>IF(INTRO!$E$39&lt;&gt;"Non endémique", 0, IF(INTRO!$E$37="Non endémique",0,IF(COUNTRY_INFO!$H77=1,COUNTRY_INFO!F77,0)))</f>
        <v>0</v>
      </c>
      <c r="F77" s="13">
        <f>IF(INTRO!$E$39&lt;&gt;"Non endémique", 0, IF(INTRO!$E$37="Non endémique",0,IF(COUNTRY_INFO!$H77=1,COUNTRY_INFO!G77,0)))</f>
        <v>0</v>
      </c>
      <c r="G77" s="13">
        <f t="shared" si="10"/>
        <v>0</v>
      </c>
      <c r="H77" s="14" t="str">
        <f>IF(INTRO!$E$39="Non endémique",IF(INTRO!$E$37="Non endémique","Non requis",COUNTRY_INFO!P77),"Traiter avec IVM")</f>
        <v>Traiter avec IVM</v>
      </c>
      <c r="I77" s="13">
        <f t="shared" si="11"/>
        <v>0</v>
      </c>
      <c r="J77" s="13">
        <f t="shared" si="12"/>
        <v>0</v>
      </c>
      <c r="K77" s="24"/>
      <c r="L77" s="15">
        <f t="shared" si="13"/>
        <v>0</v>
      </c>
      <c r="M77" s="15">
        <f t="shared" si="14"/>
        <v>0</v>
      </c>
    </row>
    <row r="78" spans="1:13" x14ac:dyDescent="0.4">
      <c r="A78" s="12" t="str">
        <f>IF(INTRO!$E$39&lt;&gt;"Non endémique", " ", IF(INTRO!$E$37="Non endémique"," ", IF(COUNTRY_INFO!A78=0," ",COUNTRY_INFO!A78)))</f>
        <v xml:space="preserve"> </v>
      </c>
      <c r="B78" s="12" t="str">
        <f>IF(INTRO!$E$39&lt;&gt;"Non endémique", " ", IF(INTRO!$E$37="Non endémique"," ", IF(COUNTRY_INFO!B78=0," ",COUNTRY_INFO!B78)))</f>
        <v xml:space="preserve"> </v>
      </c>
      <c r="C78" s="12" t="str">
        <f>IF(INTRO!$E$39&lt;&gt;"Non endémique", " ", IF(INTRO!$E$37="Non endémique"," ", IF(COUNTRY_INFO!C78=0," ",COUNTRY_INFO!C78)))</f>
        <v xml:space="preserve"> </v>
      </c>
      <c r="D78" s="13">
        <f>IF(INTRO!$E$39&lt;&gt;"Non endémique", 0, IF(INTRO!$E$37="Non endémique",0,IF(COUNTRY_INFO!$H78=1,COUNTRY_INFO!E78,0)))</f>
        <v>0</v>
      </c>
      <c r="E78" s="13">
        <f>IF(INTRO!$E$39&lt;&gt;"Non endémique", 0, IF(INTRO!$E$37="Non endémique",0,IF(COUNTRY_INFO!$H78=1,COUNTRY_INFO!F78,0)))</f>
        <v>0</v>
      </c>
      <c r="F78" s="13">
        <f>IF(INTRO!$E$39&lt;&gt;"Non endémique", 0, IF(INTRO!$E$37="Non endémique",0,IF(COUNTRY_INFO!$H78=1,COUNTRY_INFO!G78,0)))</f>
        <v>0</v>
      </c>
      <c r="G78" s="13">
        <f t="shared" si="10"/>
        <v>0</v>
      </c>
      <c r="H78" s="14" t="str">
        <f>IF(INTRO!$E$39="Non endémique",IF(INTRO!$E$37="Non endémique","Non requis",COUNTRY_INFO!P78),"Traiter avec IVM")</f>
        <v>Traiter avec IVM</v>
      </c>
      <c r="I78" s="13">
        <f t="shared" si="11"/>
        <v>0</v>
      </c>
      <c r="J78" s="13">
        <f t="shared" si="12"/>
        <v>0</v>
      </c>
      <c r="K78" s="24"/>
      <c r="L78" s="15">
        <f t="shared" si="13"/>
        <v>0</v>
      </c>
      <c r="M78" s="15">
        <f t="shared" si="14"/>
        <v>0</v>
      </c>
    </row>
    <row r="79" spans="1:13" x14ac:dyDescent="0.4">
      <c r="A79" s="12" t="str">
        <f>IF(INTRO!$E$39&lt;&gt;"Non endémique", " ", IF(INTRO!$E$37="Non endémique"," ", IF(COUNTRY_INFO!A79=0," ",COUNTRY_INFO!A79)))</f>
        <v xml:space="preserve"> </v>
      </c>
      <c r="B79" s="12" t="str">
        <f>IF(INTRO!$E$39&lt;&gt;"Non endémique", " ", IF(INTRO!$E$37="Non endémique"," ", IF(COUNTRY_INFO!B79=0," ",COUNTRY_INFO!B79)))</f>
        <v xml:space="preserve"> </v>
      </c>
      <c r="C79" s="12" t="str">
        <f>IF(INTRO!$E$39&lt;&gt;"Non endémique", " ", IF(INTRO!$E$37="Non endémique"," ", IF(COUNTRY_INFO!C79=0," ",COUNTRY_INFO!C79)))</f>
        <v xml:space="preserve"> </v>
      </c>
      <c r="D79" s="13">
        <f>IF(INTRO!$E$39&lt;&gt;"Non endémique", 0, IF(INTRO!$E$37="Non endémique",0,IF(COUNTRY_INFO!$H79=1,COUNTRY_INFO!E79,0)))</f>
        <v>0</v>
      </c>
      <c r="E79" s="13">
        <f>IF(INTRO!$E$39&lt;&gt;"Non endémique", 0, IF(INTRO!$E$37="Non endémique",0,IF(COUNTRY_INFO!$H79=1,COUNTRY_INFO!F79,0)))</f>
        <v>0</v>
      </c>
      <c r="F79" s="13">
        <f>IF(INTRO!$E$39&lt;&gt;"Non endémique", 0, IF(INTRO!$E$37="Non endémique",0,IF(COUNTRY_INFO!$H79=1,COUNTRY_INFO!G79,0)))</f>
        <v>0</v>
      </c>
      <c r="G79" s="13">
        <f t="shared" si="10"/>
        <v>0</v>
      </c>
      <c r="H79" s="14" t="str">
        <f>IF(INTRO!$E$39="Non endémique",IF(INTRO!$E$37="Non endémique","Non requis",COUNTRY_INFO!P79),"Traiter avec IVM")</f>
        <v>Traiter avec IVM</v>
      </c>
      <c r="I79" s="13">
        <f t="shared" si="11"/>
        <v>0</v>
      </c>
      <c r="J79" s="13">
        <f t="shared" si="12"/>
        <v>0</v>
      </c>
      <c r="K79" s="24"/>
      <c r="L79" s="15">
        <f t="shared" si="13"/>
        <v>0</v>
      </c>
      <c r="M79" s="15">
        <f t="shared" si="14"/>
        <v>0</v>
      </c>
    </row>
    <row r="80" spans="1:13" x14ac:dyDescent="0.4">
      <c r="A80" s="12" t="str">
        <f>IF(INTRO!$E$39&lt;&gt;"Non endémique", " ", IF(INTRO!$E$37="Non endémique"," ", IF(COUNTRY_INFO!A80=0," ",COUNTRY_INFO!A80)))</f>
        <v xml:space="preserve"> </v>
      </c>
      <c r="B80" s="12" t="str">
        <f>IF(INTRO!$E$39&lt;&gt;"Non endémique", " ", IF(INTRO!$E$37="Non endémique"," ", IF(COUNTRY_INFO!B80=0," ",COUNTRY_INFO!B80)))</f>
        <v xml:space="preserve"> </v>
      </c>
      <c r="C80" s="12" t="str">
        <f>IF(INTRO!$E$39&lt;&gt;"Non endémique", " ", IF(INTRO!$E$37="Non endémique"," ", IF(COUNTRY_INFO!C80=0," ",COUNTRY_INFO!C80)))</f>
        <v xml:space="preserve"> </v>
      </c>
      <c r="D80" s="13">
        <f>IF(INTRO!$E$39&lt;&gt;"Non endémique", 0, IF(INTRO!$E$37="Non endémique",0,IF(COUNTRY_INFO!$H80=1,COUNTRY_INFO!E80,0)))</f>
        <v>0</v>
      </c>
      <c r="E80" s="13">
        <f>IF(INTRO!$E$39&lt;&gt;"Non endémique", 0, IF(INTRO!$E$37="Non endémique",0,IF(COUNTRY_INFO!$H80=1,COUNTRY_INFO!F80,0)))</f>
        <v>0</v>
      </c>
      <c r="F80" s="13">
        <f>IF(INTRO!$E$39&lt;&gt;"Non endémique", 0, IF(INTRO!$E$37="Non endémique",0,IF(COUNTRY_INFO!$H80=1,COUNTRY_INFO!G80,0)))</f>
        <v>0</v>
      </c>
      <c r="G80" s="13">
        <f t="shared" si="10"/>
        <v>0</v>
      </c>
      <c r="H80" s="14" t="str">
        <f>IF(INTRO!$E$39="Non endémique",IF(INTRO!$E$37="Non endémique","Non requis",COUNTRY_INFO!P80),"Traiter avec IVM")</f>
        <v>Traiter avec IVM</v>
      </c>
      <c r="I80" s="13">
        <f t="shared" si="11"/>
        <v>0</v>
      </c>
      <c r="J80" s="13">
        <f t="shared" si="12"/>
        <v>0</v>
      </c>
      <c r="K80" s="24"/>
      <c r="L80" s="15">
        <f t="shared" si="13"/>
        <v>0</v>
      </c>
      <c r="M80" s="15">
        <f t="shared" si="14"/>
        <v>0</v>
      </c>
    </row>
    <row r="81" spans="1:13" x14ac:dyDescent="0.4">
      <c r="A81" s="12" t="str">
        <f>IF(INTRO!$E$39&lt;&gt;"Non endémique", " ", IF(INTRO!$E$37="Non endémique"," ", IF(COUNTRY_INFO!A81=0," ",COUNTRY_INFO!A81)))</f>
        <v xml:space="preserve"> </v>
      </c>
      <c r="B81" s="12" t="str">
        <f>IF(INTRO!$E$39&lt;&gt;"Non endémique", " ", IF(INTRO!$E$37="Non endémique"," ", IF(COUNTRY_INFO!B81=0," ",COUNTRY_INFO!B81)))</f>
        <v xml:space="preserve"> </v>
      </c>
      <c r="C81" s="12" t="str">
        <f>IF(INTRO!$E$39&lt;&gt;"Non endémique", " ", IF(INTRO!$E$37="Non endémique"," ", IF(COUNTRY_INFO!C81=0," ",COUNTRY_INFO!C81)))</f>
        <v xml:space="preserve"> </v>
      </c>
      <c r="D81" s="13">
        <f>IF(INTRO!$E$39&lt;&gt;"Non endémique", 0, IF(INTRO!$E$37="Non endémique",0,IF(COUNTRY_INFO!$H81=1,COUNTRY_INFO!E81,0)))</f>
        <v>0</v>
      </c>
      <c r="E81" s="13">
        <f>IF(INTRO!$E$39&lt;&gt;"Non endémique", 0, IF(INTRO!$E$37="Non endémique",0,IF(COUNTRY_INFO!$H81=1,COUNTRY_INFO!F81,0)))</f>
        <v>0</v>
      </c>
      <c r="F81" s="13">
        <f>IF(INTRO!$E$39&lt;&gt;"Non endémique", 0, IF(INTRO!$E$37="Non endémique",0,IF(COUNTRY_INFO!$H81=1,COUNTRY_INFO!G81,0)))</f>
        <v>0</v>
      </c>
      <c r="G81" s="13">
        <f t="shared" si="10"/>
        <v>0</v>
      </c>
      <c r="H81" s="14" t="str">
        <f>IF(INTRO!$E$39="Non endémique",IF(INTRO!$E$37="Non endémique","Non requis",COUNTRY_INFO!P81),"Traiter avec IVM")</f>
        <v>Traiter avec IVM</v>
      </c>
      <c r="I81" s="13">
        <f t="shared" si="11"/>
        <v>0</v>
      </c>
      <c r="J81" s="13">
        <f t="shared" si="12"/>
        <v>0</v>
      </c>
      <c r="K81" s="24"/>
      <c r="L81" s="15">
        <f t="shared" si="13"/>
        <v>0</v>
      </c>
      <c r="M81" s="15">
        <f t="shared" si="14"/>
        <v>0</v>
      </c>
    </row>
    <row r="82" spans="1:13" x14ac:dyDescent="0.4">
      <c r="A82" s="12" t="str">
        <f>IF(INTRO!$E$39&lt;&gt;"Non endémique", " ", IF(INTRO!$E$37="Non endémique"," ", IF(COUNTRY_INFO!A82=0," ",COUNTRY_INFO!A82)))</f>
        <v xml:space="preserve"> </v>
      </c>
      <c r="B82" s="12" t="str">
        <f>IF(INTRO!$E$39&lt;&gt;"Non endémique", " ", IF(INTRO!$E$37="Non endémique"," ", IF(COUNTRY_INFO!B82=0," ",COUNTRY_INFO!B82)))</f>
        <v xml:space="preserve"> </v>
      </c>
      <c r="C82" s="12" t="str">
        <f>IF(INTRO!$E$39&lt;&gt;"Non endémique", " ", IF(INTRO!$E$37="Non endémique"," ", IF(COUNTRY_INFO!C82=0," ",COUNTRY_INFO!C82)))</f>
        <v xml:space="preserve"> </v>
      </c>
      <c r="D82" s="13">
        <f>IF(INTRO!$E$39&lt;&gt;"Non endémique", 0, IF(INTRO!$E$37="Non endémique",0,IF(COUNTRY_INFO!$H82=1,COUNTRY_INFO!E82,0)))</f>
        <v>0</v>
      </c>
      <c r="E82" s="13">
        <f>IF(INTRO!$E$39&lt;&gt;"Non endémique", 0, IF(INTRO!$E$37="Non endémique",0,IF(COUNTRY_INFO!$H82=1,COUNTRY_INFO!F82,0)))</f>
        <v>0</v>
      </c>
      <c r="F82" s="13">
        <f>IF(INTRO!$E$39&lt;&gt;"Non endémique", 0, IF(INTRO!$E$37="Non endémique",0,IF(COUNTRY_INFO!$H82=1,COUNTRY_INFO!G82,0)))</f>
        <v>0</v>
      </c>
      <c r="G82" s="13">
        <f t="shared" si="10"/>
        <v>0</v>
      </c>
      <c r="H82" s="14" t="str">
        <f>IF(INTRO!$E$39="Non endémique",IF(INTRO!$E$37="Non endémique","Non requis",COUNTRY_INFO!P82),"Traiter avec IVM")</f>
        <v>Traiter avec IVM</v>
      </c>
      <c r="I82" s="13">
        <f t="shared" si="11"/>
        <v>0</v>
      </c>
      <c r="J82" s="13">
        <f t="shared" si="12"/>
        <v>0</v>
      </c>
      <c r="K82" s="24"/>
      <c r="L82" s="15">
        <f t="shared" si="13"/>
        <v>0</v>
      </c>
      <c r="M82" s="15">
        <f t="shared" si="14"/>
        <v>0</v>
      </c>
    </row>
    <row r="83" spans="1:13" x14ac:dyDescent="0.4">
      <c r="A83" s="12" t="str">
        <f>IF(INTRO!$E$39&lt;&gt;"Non endémique", " ", IF(INTRO!$E$37="Non endémique"," ", IF(COUNTRY_INFO!A83=0," ",COUNTRY_INFO!A83)))</f>
        <v xml:space="preserve"> </v>
      </c>
      <c r="B83" s="12" t="str">
        <f>IF(INTRO!$E$39&lt;&gt;"Non endémique", " ", IF(INTRO!$E$37="Non endémique"," ", IF(COUNTRY_INFO!B83=0," ",COUNTRY_INFO!B83)))</f>
        <v xml:space="preserve"> </v>
      </c>
      <c r="C83" s="12" t="str">
        <f>IF(INTRO!$E$39&lt;&gt;"Non endémique", " ", IF(INTRO!$E$37="Non endémique"," ", IF(COUNTRY_INFO!C83=0," ",COUNTRY_INFO!C83)))</f>
        <v xml:space="preserve"> </v>
      </c>
      <c r="D83" s="13">
        <f>IF(INTRO!$E$39&lt;&gt;"Non endémique", 0, IF(INTRO!$E$37="Non endémique",0,IF(COUNTRY_INFO!$H83=1,COUNTRY_INFO!E83,0)))</f>
        <v>0</v>
      </c>
      <c r="E83" s="13">
        <f>IF(INTRO!$E$39&lt;&gt;"Non endémique", 0, IF(INTRO!$E$37="Non endémique",0,IF(COUNTRY_INFO!$H83=1,COUNTRY_INFO!F83,0)))</f>
        <v>0</v>
      </c>
      <c r="F83" s="13">
        <f>IF(INTRO!$E$39&lt;&gt;"Non endémique", 0, IF(INTRO!$E$37="Non endémique",0,IF(COUNTRY_INFO!$H83=1,COUNTRY_INFO!G83,0)))</f>
        <v>0</v>
      </c>
      <c r="G83" s="13">
        <f t="shared" si="10"/>
        <v>0</v>
      </c>
      <c r="H83" s="14" t="str">
        <f>IF(INTRO!$E$39="Non endémique",IF(INTRO!$E$37="Non endémique","Non requis",COUNTRY_INFO!P83),"Traiter avec IVM")</f>
        <v>Traiter avec IVM</v>
      </c>
      <c r="I83" s="13">
        <f t="shared" si="11"/>
        <v>0</v>
      </c>
      <c r="J83" s="13">
        <f t="shared" si="12"/>
        <v>0</v>
      </c>
      <c r="K83" s="24"/>
      <c r="L83" s="15">
        <f t="shared" si="13"/>
        <v>0</v>
      </c>
      <c r="M83" s="15">
        <f t="shared" si="14"/>
        <v>0</v>
      </c>
    </row>
    <row r="84" spans="1:13" x14ac:dyDescent="0.4">
      <c r="A84"/>
      <c r="B84"/>
      <c r="C84"/>
      <c r="D84"/>
      <c r="E84"/>
      <c r="F84"/>
      <c r="G84"/>
      <c r="H84"/>
      <c r="I84"/>
      <c r="J84"/>
      <c r="K84"/>
      <c r="L84"/>
      <c r="M84"/>
    </row>
    <row r="85" spans="1:13" x14ac:dyDescent="0.4">
      <c r="A85"/>
      <c r="B85"/>
      <c r="C85"/>
      <c r="D85"/>
      <c r="E85"/>
      <c r="F85"/>
      <c r="G85"/>
      <c r="H85"/>
      <c r="I85"/>
      <c r="J85"/>
      <c r="K85"/>
      <c r="L85"/>
      <c r="M85"/>
    </row>
    <row r="86" spans="1:13" x14ac:dyDescent="0.4">
      <c r="A86"/>
      <c r="B86"/>
      <c r="C86"/>
      <c r="D86"/>
      <c r="E86"/>
      <c r="F86"/>
      <c r="G86"/>
      <c r="H86"/>
      <c r="I86"/>
      <c r="J86"/>
      <c r="K86"/>
      <c r="L86"/>
      <c r="M86"/>
    </row>
    <row r="87" spans="1:13" x14ac:dyDescent="0.4">
      <c r="A87"/>
      <c r="B87"/>
      <c r="C87"/>
      <c r="D87"/>
      <c r="E87"/>
      <c r="F87"/>
      <c r="G87"/>
      <c r="H87"/>
      <c r="I87"/>
      <c r="J87"/>
      <c r="K87"/>
      <c r="L87"/>
      <c r="M87"/>
    </row>
    <row r="88" spans="1:13" x14ac:dyDescent="0.4">
      <c r="A88"/>
      <c r="B88"/>
      <c r="C88"/>
      <c r="D88"/>
      <c r="E88"/>
      <c r="F88"/>
      <c r="G88"/>
      <c r="H88"/>
      <c r="I88"/>
      <c r="J88"/>
      <c r="K88"/>
      <c r="L88"/>
      <c r="M88"/>
    </row>
    <row r="89" spans="1:13" x14ac:dyDescent="0.4">
      <c r="A89"/>
      <c r="B89"/>
      <c r="C89"/>
      <c r="D89"/>
      <c r="E89"/>
      <c r="F89"/>
      <c r="G89"/>
      <c r="H89"/>
      <c r="I89"/>
      <c r="J89"/>
      <c r="K89"/>
      <c r="L89"/>
      <c r="M89"/>
    </row>
    <row r="90" spans="1:13" x14ac:dyDescent="0.4">
      <c r="A90"/>
      <c r="B90"/>
      <c r="C90"/>
      <c r="D90"/>
      <c r="E90"/>
      <c r="F90"/>
      <c r="G90"/>
      <c r="H90"/>
      <c r="I90"/>
      <c r="J90"/>
      <c r="K90"/>
      <c r="L90"/>
      <c r="M90"/>
    </row>
    <row r="91" spans="1:13" x14ac:dyDescent="0.4">
      <c r="A91"/>
      <c r="B91"/>
      <c r="C91"/>
      <c r="D91"/>
      <c r="E91"/>
      <c r="F91"/>
      <c r="G91"/>
      <c r="H91"/>
      <c r="I91"/>
      <c r="J91"/>
      <c r="K91"/>
      <c r="L91"/>
      <c r="M91"/>
    </row>
    <row r="92" spans="1:13" x14ac:dyDescent="0.4">
      <c r="A92"/>
      <c r="B92"/>
      <c r="C92"/>
      <c r="D92"/>
      <c r="E92"/>
      <c r="F92"/>
      <c r="G92"/>
      <c r="H92"/>
      <c r="I92"/>
      <c r="J92"/>
      <c r="K92"/>
      <c r="L92"/>
      <c r="M92"/>
    </row>
    <row r="93" spans="1:13" x14ac:dyDescent="0.4">
      <c r="A93"/>
      <c r="B93"/>
      <c r="C93"/>
      <c r="D93"/>
      <c r="E93"/>
      <c r="F93"/>
      <c r="G93"/>
      <c r="H93"/>
      <c r="I93"/>
      <c r="J93"/>
      <c r="K93"/>
      <c r="L93"/>
      <c r="M93"/>
    </row>
    <row r="94" spans="1:13" x14ac:dyDescent="0.4">
      <c r="A94"/>
      <c r="B94"/>
      <c r="C94"/>
      <c r="D94"/>
      <c r="E94"/>
      <c r="F94"/>
      <c r="G94"/>
      <c r="H94"/>
      <c r="I94"/>
      <c r="J94"/>
      <c r="K94"/>
      <c r="L94"/>
      <c r="M94"/>
    </row>
    <row r="95" spans="1:13" x14ac:dyDescent="0.4">
      <c r="A95"/>
      <c r="B95"/>
      <c r="C95"/>
      <c r="D95"/>
      <c r="E95"/>
      <c r="F95"/>
      <c r="G95"/>
      <c r="H95"/>
      <c r="I95"/>
      <c r="J95"/>
      <c r="K95"/>
      <c r="L95"/>
      <c r="M95"/>
    </row>
    <row r="96" spans="1:13" x14ac:dyDescent="0.4">
      <c r="A96"/>
      <c r="B96"/>
      <c r="C96"/>
      <c r="D96"/>
      <c r="E96"/>
      <c r="F96"/>
      <c r="G96"/>
      <c r="H96"/>
      <c r="I96"/>
      <c r="J96"/>
      <c r="K96"/>
      <c r="L96"/>
      <c r="M96"/>
    </row>
    <row r="97" spans="1:13" x14ac:dyDescent="0.4">
      <c r="A97"/>
      <c r="B97"/>
      <c r="C97"/>
      <c r="D97"/>
      <c r="E97"/>
      <c r="F97"/>
      <c r="G97"/>
      <c r="H97"/>
      <c r="I97"/>
      <c r="J97"/>
      <c r="K97"/>
      <c r="L97"/>
      <c r="M97"/>
    </row>
    <row r="98" spans="1:13" x14ac:dyDescent="0.4">
      <c r="A98"/>
      <c r="B98"/>
      <c r="C98"/>
      <c r="D98"/>
      <c r="E98"/>
      <c r="F98"/>
      <c r="G98"/>
      <c r="H98"/>
      <c r="I98"/>
      <c r="J98"/>
      <c r="K98"/>
      <c r="L98"/>
      <c r="M98"/>
    </row>
    <row r="99" spans="1:13" x14ac:dyDescent="0.4">
      <c r="A99"/>
      <c r="B99"/>
      <c r="C99"/>
      <c r="D99"/>
      <c r="E99"/>
      <c r="F99"/>
      <c r="G99"/>
      <c r="H99"/>
      <c r="I99"/>
      <c r="J99"/>
      <c r="K99"/>
      <c r="L99"/>
      <c r="M99"/>
    </row>
    <row r="100" spans="1:13" x14ac:dyDescent="0.4">
      <c r="A100"/>
      <c r="B100"/>
      <c r="C100"/>
      <c r="D100"/>
      <c r="E100"/>
      <c r="F100"/>
      <c r="G100"/>
      <c r="H100"/>
      <c r="I100"/>
      <c r="J100"/>
      <c r="K100"/>
      <c r="L100"/>
      <c r="M100"/>
    </row>
    <row r="101" spans="1:13" x14ac:dyDescent="0.4">
      <c r="A101"/>
      <c r="B101"/>
      <c r="C101"/>
      <c r="D101"/>
      <c r="E101"/>
      <c r="F101"/>
      <c r="G101"/>
      <c r="H101"/>
      <c r="I101"/>
      <c r="J101"/>
      <c r="K101"/>
      <c r="L101"/>
      <c r="M101"/>
    </row>
    <row r="102" spans="1:13" x14ac:dyDescent="0.4">
      <c r="A102"/>
      <c r="B102"/>
      <c r="C102"/>
      <c r="D102"/>
      <c r="E102"/>
      <c r="F102"/>
      <c r="G102"/>
      <c r="H102"/>
      <c r="I102"/>
      <c r="J102"/>
      <c r="K102"/>
      <c r="L102"/>
      <c r="M102"/>
    </row>
    <row r="103" spans="1:13" x14ac:dyDescent="0.4">
      <c r="A103"/>
      <c r="B103"/>
      <c r="C103"/>
      <c r="D103"/>
      <c r="E103"/>
      <c r="F103"/>
      <c r="G103"/>
      <c r="H103"/>
      <c r="I103"/>
      <c r="J103"/>
      <c r="K103"/>
      <c r="L103"/>
      <c r="M103"/>
    </row>
    <row r="104" spans="1:13" x14ac:dyDescent="0.4">
      <c r="A104"/>
      <c r="B104"/>
      <c r="C104"/>
      <c r="D104"/>
      <c r="E104"/>
      <c r="F104"/>
      <c r="G104"/>
      <c r="H104"/>
      <c r="I104"/>
      <c r="J104"/>
      <c r="K104"/>
      <c r="L104"/>
      <c r="M104"/>
    </row>
    <row r="105" spans="1:13" x14ac:dyDescent="0.4">
      <c r="A105"/>
      <c r="B105"/>
      <c r="C105"/>
      <c r="D105"/>
      <c r="E105"/>
      <c r="F105"/>
      <c r="G105"/>
      <c r="H105"/>
      <c r="I105"/>
      <c r="J105"/>
      <c r="K105"/>
      <c r="L105"/>
      <c r="M105"/>
    </row>
    <row r="106" spans="1:13" x14ac:dyDescent="0.4">
      <c r="A106"/>
      <c r="B106"/>
      <c r="C106"/>
      <c r="D106"/>
      <c r="E106"/>
      <c r="F106"/>
      <c r="G106"/>
      <c r="H106"/>
      <c r="I106"/>
      <c r="J106"/>
      <c r="K106"/>
      <c r="L106"/>
      <c r="M106"/>
    </row>
    <row r="107" spans="1:13" x14ac:dyDescent="0.4">
      <c r="A107"/>
      <c r="B107"/>
      <c r="C107"/>
      <c r="D107"/>
      <c r="E107"/>
      <c r="F107"/>
      <c r="G107"/>
      <c r="H107"/>
      <c r="I107"/>
      <c r="J107"/>
      <c r="K107"/>
      <c r="L107"/>
      <c r="M107"/>
    </row>
    <row r="108" spans="1:13" x14ac:dyDescent="0.4">
      <c r="A108"/>
      <c r="B108"/>
      <c r="C108"/>
      <c r="D108"/>
      <c r="E108"/>
      <c r="F108"/>
      <c r="G108"/>
      <c r="H108"/>
      <c r="I108"/>
      <c r="J108"/>
      <c r="K108"/>
      <c r="L108"/>
      <c r="M108"/>
    </row>
    <row r="109" spans="1:13" x14ac:dyDescent="0.4">
      <c r="A109"/>
      <c r="B109"/>
      <c r="C109"/>
      <c r="D109"/>
      <c r="E109"/>
      <c r="F109"/>
      <c r="G109"/>
      <c r="H109"/>
      <c r="I109"/>
      <c r="J109"/>
      <c r="K109"/>
      <c r="L109"/>
      <c r="M109"/>
    </row>
    <row r="110" spans="1:13" x14ac:dyDescent="0.4">
      <c r="A110"/>
      <c r="B110"/>
      <c r="C110"/>
      <c r="D110"/>
      <c r="E110"/>
      <c r="F110"/>
      <c r="G110"/>
      <c r="H110"/>
      <c r="I110"/>
      <c r="J110"/>
      <c r="K110"/>
      <c r="L110"/>
      <c r="M110"/>
    </row>
    <row r="111" spans="1:13" x14ac:dyDescent="0.4">
      <c r="A111"/>
      <c r="B111"/>
      <c r="C111"/>
      <c r="D111"/>
      <c r="E111"/>
      <c r="F111"/>
      <c r="G111"/>
      <c r="H111"/>
      <c r="I111"/>
      <c r="J111"/>
      <c r="K111"/>
      <c r="L111"/>
      <c r="M111"/>
    </row>
    <row r="112" spans="1:13" x14ac:dyDescent="0.4">
      <c r="A112"/>
      <c r="B112"/>
      <c r="C112"/>
      <c r="D112"/>
      <c r="E112"/>
      <c r="F112"/>
      <c r="G112"/>
      <c r="H112"/>
      <c r="I112"/>
      <c r="J112"/>
      <c r="K112"/>
      <c r="L112"/>
      <c r="M112"/>
    </row>
    <row r="113" spans="1:13" x14ac:dyDescent="0.4">
      <c r="A113"/>
      <c r="B113"/>
      <c r="C113"/>
      <c r="D113"/>
      <c r="E113"/>
      <c r="F113"/>
      <c r="G113"/>
      <c r="H113"/>
      <c r="I113"/>
      <c r="J113"/>
      <c r="K113"/>
      <c r="L113"/>
      <c r="M113"/>
    </row>
    <row r="114" spans="1:13" x14ac:dyDescent="0.4">
      <c r="A114"/>
      <c r="B114"/>
      <c r="C114"/>
      <c r="D114"/>
      <c r="E114"/>
      <c r="F114"/>
      <c r="G114"/>
      <c r="H114"/>
      <c r="I114"/>
      <c r="J114"/>
      <c r="K114"/>
      <c r="L114"/>
      <c r="M114"/>
    </row>
    <row r="115" spans="1:13" x14ac:dyDescent="0.4">
      <c r="A115"/>
      <c r="B115"/>
      <c r="C115"/>
      <c r="D115"/>
      <c r="E115"/>
      <c r="F115"/>
      <c r="G115"/>
      <c r="H115"/>
      <c r="I115"/>
      <c r="J115"/>
      <c r="K115"/>
      <c r="L115"/>
      <c r="M115"/>
    </row>
    <row r="116" spans="1:13" x14ac:dyDescent="0.4">
      <c r="A116"/>
      <c r="B116"/>
      <c r="C116"/>
      <c r="D116"/>
      <c r="E116"/>
      <c r="F116"/>
      <c r="G116"/>
      <c r="H116"/>
      <c r="I116"/>
      <c r="J116"/>
      <c r="K116"/>
      <c r="L116"/>
      <c r="M116"/>
    </row>
    <row r="117" spans="1:13" x14ac:dyDescent="0.4">
      <c r="A117"/>
      <c r="B117"/>
      <c r="C117"/>
      <c r="D117"/>
      <c r="E117"/>
      <c r="F117"/>
      <c r="G117"/>
      <c r="H117"/>
      <c r="I117"/>
      <c r="J117"/>
      <c r="K117"/>
      <c r="L117"/>
      <c r="M117"/>
    </row>
    <row r="118" spans="1:13" x14ac:dyDescent="0.4">
      <c r="A118"/>
      <c r="B118"/>
      <c r="C118"/>
      <c r="D118"/>
      <c r="E118"/>
      <c r="F118"/>
      <c r="G118"/>
      <c r="H118"/>
      <c r="I118"/>
      <c r="J118"/>
      <c r="K118"/>
      <c r="L118"/>
      <c r="M118"/>
    </row>
    <row r="119" spans="1:13" x14ac:dyDescent="0.4">
      <c r="A119"/>
      <c r="B119"/>
      <c r="C119"/>
      <c r="D119"/>
      <c r="E119"/>
      <c r="F119"/>
      <c r="G119"/>
      <c r="H119"/>
      <c r="I119"/>
      <c r="J119"/>
      <c r="K119"/>
      <c r="L119"/>
      <c r="M119"/>
    </row>
    <row r="120" spans="1:13" x14ac:dyDescent="0.4">
      <c r="A120"/>
      <c r="B120"/>
      <c r="C120"/>
      <c r="D120"/>
      <c r="E120"/>
      <c r="F120"/>
      <c r="G120"/>
      <c r="H120"/>
      <c r="I120"/>
      <c r="J120"/>
      <c r="K120"/>
      <c r="L120"/>
      <c r="M120"/>
    </row>
    <row r="121" spans="1:13" x14ac:dyDescent="0.4">
      <c r="A121"/>
      <c r="B121"/>
      <c r="C121"/>
      <c r="D121"/>
      <c r="E121"/>
      <c r="F121"/>
      <c r="G121"/>
      <c r="H121"/>
      <c r="I121"/>
      <c r="J121"/>
      <c r="K121"/>
      <c r="L121"/>
      <c r="M121"/>
    </row>
    <row r="122" spans="1:13" x14ac:dyDescent="0.4">
      <c r="A122"/>
      <c r="B122"/>
      <c r="C122"/>
      <c r="D122"/>
      <c r="E122"/>
      <c r="F122"/>
      <c r="G122"/>
      <c r="H122"/>
      <c r="I122"/>
      <c r="J122"/>
      <c r="K122"/>
      <c r="L122"/>
      <c r="M122"/>
    </row>
    <row r="123" spans="1:13" x14ac:dyDescent="0.4">
      <c r="A123"/>
      <c r="B123"/>
      <c r="C123"/>
      <c r="D123"/>
      <c r="E123"/>
      <c r="F123"/>
      <c r="G123"/>
      <c r="H123"/>
      <c r="I123"/>
      <c r="J123"/>
      <c r="K123"/>
      <c r="L123"/>
      <c r="M123"/>
    </row>
    <row r="124" spans="1:13" x14ac:dyDescent="0.4">
      <c r="A124"/>
      <c r="B124"/>
      <c r="C124"/>
      <c r="D124"/>
      <c r="E124"/>
      <c r="F124"/>
      <c r="G124"/>
      <c r="H124"/>
      <c r="I124"/>
      <c r="J124"/>
      <c r="K124"/>
      <c r="L124"/>
      <c r="M124"/>
    </row>
    <row r="125" spans="1:13" x14ac:dyDescent="0.4">
      <c r="A125"/>
      <c r="B125"/>
      <c r="C125"/>
      <c r="D125"/>
      <c r="E125"/>
      <c r="F125"/>
      <c r="G125"/>
      <c r="H125"/>
      <c r="I125"/>
      <c r="J125"/>
      <c r="K125"/>
      <c r="L125"/>
      <c r="M125"/>
    </row>
    <row r="126" spans="1:13" x14ac:dyDescent="0.4">
      <c r="A126"/>
      <c r="B126"/>
      <c r="C126"/>
      <c r="D126"/>
      <c r="E126"/>
      <c r="F126"/>
      <c r="G126"/>
      <c r="H126"/>
      <c r="I126"/>
      <c r="J126"/>
      <c r="K126"/>
      <c r="L126"/>
      <c r="M126"/>
    </row>
    <row r="127" spans="1:13" x14ac:dyDescent="0.4">
      <c r="A127"/>
      <c r="B127"/>
      <c r="C127"/>
      <c r="D127"/>
      <c r="E127"/>
      <c r="F127"/>
      <c r="G127"/>
      <c r="H127"/>
      <c r="I127"/>
      <c r="J127"/>
      <c r="K127"/>
      <c r="L127"/>
      <c r="M127"/>
    </row>
    <row r="128" spans="1:13" x14ac:dyDescent="0.4">
      <c r="A128"/>
      <c r="B128"/>
      <c r="C128"/>
      <c r="D128"/>
      <c r="E128"/>
      <c r="F128"/>
      <c r="G128"/>
      <c r="H128"/>
      <c r="I128"/>
      <c r="J128"/>
      <c r="K128"/>
      <c r="L128"/>
      <c r="M128"/>
    </row>
    <row r="129" spans="1:13" x14ac:dyDescent="0.4">
      <c r="A129"/>
      <c r="B129"/>
      <c r="C129"/>
      <c r="D129"/>
      <c r="E129"/>
      <c r="F129"/>
      <c r="G129"/>
      <c r="H129"/>
      <c r="I129"/>
      <c r="J129"/>
      <c r="K129"/>
      <c r="L129"/>
      <c r="M129"/>
    </row>
    <row r="130" spans="1:13" x14ac:dyDescent="0.4">
      <c r="A130"/>
      <c r="B130"/>
      <c r="C130"/>
      <c r="D130"/>
      <c r="E130"/>
      <c r="F130"/>
      <c r="G130"/>
      <c r="H130"/>
      <c r="I130"/>
      <c r="J130"/>
      <c r="K130"/>
      <c r="L130"/>
      <c r="M130"/>
    </row>
    <row r="131" spans="1:13" x14ac:dyDescent="0.4">
      <c r="A131"/>
      <c r="B131"/>
      <c r="C131"/>
      <c r="D131"/>
      <c r="E131"/>
      <c r="F131"/>
      <c r="G131"/>
      <c r="H131"/>
      <c r="I131"/>
      <c r="J131"/>
      <c r="K131"/>
      <c r="L131"/>
      <c r="M131"/>
    </row>
    <row r="132" spans="1:13" x14ac:dyDescent="0.4">
      <c r="A132"/>
      <c r="B132"/>
      <c r="C132"/>
      <c r="D132"/>
      <c r="E132"/>
      <c r="F132"/>
      <c r="G132"/>
      <c r="H132"/>
      <c r="I132"/>
      <c r="J132"/>
      <c r="K132"/>
      <c r="L132"/>
      <c r="M132"/>
    </row>
    <row r="133" spans="1:13" x14ac:dyDescent="0.4">
      <c r="A133"/>
      <c r="B133"/>
      <c r="C133"/>
      <c r="D133"/>
      <c r="E133"/>
      <c r="F133"/>
      <c r="G133"/>
      <c r="H133"/>
      <c r="I133"/>
      <c r="J133"/>
      <c r="K133"/>
      <c r="L133"/>
      <c r="M133"/>
    </row>
    <row r="134" spans="1:13" x14ac:dyDescent="0.4">
      <c r="A134"/>
      <c r="B134"/>
      <c r="C134"/>
      <c r="D134"/>
      <c r="E134"/>
      <c r="F134"/>
      <c r="G134"/>
      <c r="H134"/>
      <c r="I134"/>
      <c r="J134"/>
      <c r="K134"/>
      <c r="L134"/>
      <c r="M134"/>
    </row>
    <row r="135" spans="1:13" x14ac:dyDescent="0.4">
      <c r="A135"/>
      <c r="B135"/>
      <c r="C135"/>
      <c r="D135"/>
      <c r="E135"/>
      <c r="F135"/>
      <c r="G135"/>
      <c r="H135"/>
      <c r="I135"/>
      <c r="J135"/>
      <c r="K135"/>
      <c r="L135"/>
      <c r="M135"/>
    </row>
    <row r="136" spans="1:13" x14ac:dyDescent="0.4">
      <c r="A136"/>
      <c r="B136"/>
      <c r="C136"/>
      <c r="D136"/>
      <c r="E136"/>
      <c r="F136"/>
      <c r="G136"/>
      <c r="H136"/>
      <c r="I136"/>
      <c r="J136"/>
      <c r="K136"/>
      <c r="L136"/>
      <c r="M136"/>
    </row>
    <row r="137" spans="1:13" x14ac:dyDescent="0.4">
      <c r="A137"/>
      <c r="B137"/>
      <c r="C137"/>
      <c r="D137"/>
      <c r="E137"/>
      <c r="F137"/>
      <c r="G137"/>
      <c r="H137"/>
      <c r="I137"/>
      <c r="J137"/>
      <c r="K137"/>
      <c r="L137"/>
      <c r="M137"/>
    </row>
    <row r="138" spans="1:13" x14ac:dyDescent="0.4">
      <c r="A138"/>
      <c r="B138"/>
      <c r="C138"/>
      <c r="D138"/>
      <c r="E138"/>
      <c r="F138"/>
      <c r="G138"/>
      <c r="H138"/>
      <c r="I138"/>
      <c r="J138"/>
      <c r="K138"/>
      <c r="L138"/>
      <c r="M138"/>
    </row>
    <row r="139" spans="1:13" x14ac:dyDescent="0.4">
      <c r="A139"/>
      <c r="B139"/>
      <c r="C139"/>
      <c r="D139"/>
      <c r="E139"/>
      <c r="F139"/>
      <c r="G139"/>
      <c r="H139"/>
      <c r="I139"/>
      <c r="J139"/>
      <c r="K139"/>
      <c r="L139"/>
      <c r="M139"/>
    </row>
    <row r="140" spans="1:13" x14ac:dyDescent="0.4">
      <c r="A140"/>
      <c r="B140"/>
      <c r="C140"/>
      <c r="D140"/>
      <c r="E140"/>
      <c r="F140"/>
      <c r="G140"/>
      <c r="H140"/>
      <c r="I140"/>
      <c r="J140"/>
      <c r="K140"/>
      <c r="L140"/>
      <c r="M140"/>
    </row>
    <row r="141" spans="1:13" x14ac:dyDescent="0.4">
      <c r="A141"/>
      <c r="B141"/>
      <c r="C141"/>
      <c r="D141"/>
      <c r="E141"/>
      <c r="F141"/>
      <c r="G141"/>
      <c r="H141"/>
      <c r="I141"/>
      <c r="J141"/>
      <c r="K141"/>
      <c r="L141"/>
      <c r="M141"/>
    </row>
    <row r="142" spans="1:13" x14ac:dyDescent="0.4">
      <c r="A142"/>
      <c r="B142"/>
      <c r="C142"/>
      <c r="D142"/>
      <c r="E142"/>
      <c r="F142"/>
      <c r="G142"/>
      <c r="H142"/>
      <c r="I142"/>
      <c r="J142"/>
      <c r="K142"/>
      <c r="L142"/>
      <c r="M142"/>
    </row>
    <row r="143" spans="1:13" x14ac:dyDescent="0.4">
      <c r="A143"/>
      <c r="B143"/>
      <c r="C143"/>
      <c r="D143"/>
      <c r="E143"/>
      <c r="F143"/>
      <c r="G143"/>
      <c r="H143"/>
      <c r="I143"/>
      <c r="J143"/>
      <c r="K143"/>
      <c r="L143"/>
      <c r="M143"/>
    </row>
    <row r="144" spans="1:13" x14ac:dyDescent="0.4">
      <c r="A144"/>
      <c r="B144"/>
      <c r="C144"/>
      <c r="D144"/>
      <c r="E144"/>
      <c r="F144"/>
      <c r="G144"/>
      <c r="H144"/>
      <c r="I144"/>
      <c r="J144"/>
      <c r="K144"/>
      <c r="L144"/>
      <c r="M144"/>
    </row>
    <row r="145" spans="1:13" x14ac:dyDescent="0.4">
      <c r="A145"/>
      <c r="B145"/>
      <c r="C145"/>
      <c r="D145"/>
      <c r="E145"/>
      <c r="F145"/>
      <c r="G145"/>
      <c r="H145"/>
      <c r="I145"/>
      <c r="J145"/>
      <c r="K145"/>
      <c r="L145"/>
      <c r="M145"/>
    </row>
    <row r="146" spans="1:13" x14ac:dyDescent="0.4">
      <c r="A146"/>
      <c r="B146"/>
      <c r="C146"/>
      <c r="D146"/>
      <c r="E146"/>
      <c r="F146"/>
      <c r="G146"/>
      <c r="H146"/>
      <c r="I146"/>
      <c r="J146"/>
      <c r="K146"/>
      <c r="L146"/>
      <c r="M146"/>
    </row>
    <row r="147" spans="1:13" x14ac:dyDescent="0.4">
      <c r="A147"/>
      <c r="B147"/>
      <c r="C147"/>
      <c r="D147"/>
      <c r="E147"/>
      <c r="F147"/>
      <c r="G147"/>
      <c r="H147"/>
      <c r="I147"/>
      <c r="J147"/>
      <c r="K147"/>
      <c r="L147"/>
      <c r="M147"/>
    </row>
    <row r="148" spans="1:13" x14ac:dyDescent="0.4">
      <c r="A148"/>
      <c r="B148"/>
      <c r="C148"/>
      <c r="D148"/>
      <c r="E148"/>
      <c r="F148"/>
      <c r="G148"/>
      <c r="H148"/>
      <c r="I148"/>
      <c r="J148"/>
      <c r="K148"/>
      <c r="L148"/>
      <c r="M148"/>
    </row>
    <row r="149" spans="1:13" x14ac:dyDescent="0.4">
      <c r="A149"/>
      <c r="B149"/>
      <c r="C149"/>
      <c r="D149"/>
      <c r="E149"/>
      <c r="F149"/>
      <c r="G149"/>
      <c r="H149"/>
      <c r="I149"/>
      <c r="J149"/>
      <c r="K149"/>
      <c r="L149"/>
      <c r="M149"/>
    </row>
    <row r="150" spans="1:13" x14ac:dyDescent="0.4">
      <c r="A150"/>
      <c r="B150"/>
      <c r="C150"/>
      <c r="D150"/>
      <c r="E150"/>
      <c r="F150"/>
      <c r="G150"/>
      <c r="H150"/>
      <c r="I150"/>
      <c r="J150"/>
      <c r="K150"/>
      <c r="L150"/>
      <c r="M150"/>
    </row>
    <row r="151" spans="1:13" x14ac:dyDescent="0.4">
      <c r="A151"/>
      <c r="B151"/>
      <c r="C151"/>
      <c r="D151"/>
      <c r="E151"/>
      <c r="F151"/>
      <c r="G151"/>
      <c r="H151"/>
      <c r="I151"/>
      <c r="J151"/>
      <c r="K151"/>
      <c r="L151"/>
      <c r="M151"/>
    </row>
    <row r="152" spans="1:13" x14ac:dyDescent="0.4">
      <c r="A152"/>
      <c r="B152"/>
      <c r="C152"/>
      <c r="D152"/>
      <c r="E152"/>
      <c r="F152"/>
      <c r="G152"/>
      <c r="H152"/>
      <c r="I152"/>
      <c r="J152"/>
      <c r="K152"/>
      <c r="L152"/>
      <c r="M152"/>
    </row>
    <row r="153" spans="1:13" x14ac:dyDescent="0.4">
      <c r="A153"/>
      <c r="B153"/>
      <c r="C153"/>
      <c r="D153"/>
      <c r="E153"/>
      <c r="F153"/>
      <c r="G153"/>
      <c r="H153"/>
      <c r="I153"/>
      <c r="J153"/>
      <c r="K153"/>
      <c r="L153"/>
      <c r="M153"/>
    </row>
    <row r="154" spans="1:13" x14ac:dyDescent="0.4">
      <c r="A154"/>
      <c r="B154"/>
      <c r="C154"/>
      <c r="D154"/>
      <c r="E154"/>
      <c r="F154"/>
      <c r="G154"/>
      <c r="H154"/>
      <c r="I154"/>
      <c r="J154"/>
      <c r="K154"/>
      <c r="L154"/>
      <c r="M154"/>
    </row>
    <row r="155" spans="1:13" x14ac:dyDescent="0.4">
      <c r="A155"/>
      <c r="B155"/>
      <c r="C155"/>
      <c r="D155"/>
      <c r="E155"/>
      <c r="F155"/>
      <c r="G155"/>
      <c r="H155"/>
      <c r="I155"/>
      <c r="J155"/>
      <c r="K155"/>
      <c r="L155"/>
      <c r="M155"/>
    </row>
    <row r="156" spans="1:13" x14ac:dyDescent="0.4">
      <c r="A156"/>
      <c r="B156"/>
      <c r="C156"/>
      <c r="D156"/>
      <c r="E156"/>
      <c r="F156"/>
      <c r="G156"/>
      <c r="H156"/>
      <c r="I156"/>
      <c r="J156"/>
      <c r="K156"/>
      <c r="L156"/>
      <c r="M156"/>
    </row>
    <row r="157" spans="1:13" x14ac:dyDescent="0.4">
      <c r="A157"/>
      <c r="B157"/>
      <c r="C157"/>
      <c r="D157"/>
      <c r="E157"/>
      <c r="F157"/>
      <c r="G157"/>
      <c r="H157"/>
      <c r="I157"/>
      <c r="J157"/>
      <c r="K157"/>
      <c r="L157"/>
      <c r="M157"/>
    </row>
    <row r="158" spans="1:13" x14ac:dyDescent="0.4">
      <c r="A158"/>
      <c r="B158"/>
      <c r="C158"/>
      <c r="D158"/>
      <c r="E158"/>
      <c r="F158"/>
      <c r="G158"/>
      <c r="H158"/>
      <c r="I158"/>
      <c r="J158"/>
      <c r="K158"/>
      <c r="L158"/>
      <c r="M158"/>
    </row>
    <row r="159" spans="1:13" x14ac:dyDescent="0.4">
      <c r="A159"/>
      <c r="B159"/>
      <c r="C159"/>
      <c r="D159"/>
      <c r="E159"/>
      <c r="F159"/>
      <c r="G159"/>
      <c r="H159"/>
      <c r="I159"/>
      <c r="J159"/>
      <c r="K159"/>
      <c r="L159"/>
      <c r="M159"/>
    </row>
    <row r="160" spans="1:13" x14ac:dyDescent="0.4">
      <c r="A160"/>
      <c r="B160"/>
      <c r="C160"/>
      <c r="D160"/>
      <c r="E160"/>
      <c r="F160"/>
      <c r="G160"/>
      <c r="H160"/>
      <c r="I160"/>
      <c r="J160"/>
      <c r="K160"/>
      <c r="L160"/>
      <c r="M160"/>
    </row>
    <row r="161" spans="1:13" x14ac:dyDescent="0.4">
      <c r="A161"/>
      <c r="B161"/>
      <c r="C161"/>
      <c r="D161"/>
      <c r="E161"/>
      <c r="F161"/>
      <c r="G161"/>
      <c r="H161"/>
      <c r="I161"/>
      <c r="J161"/>
      <c r="K161"/>
      <c r="L161"/>
      <c r="M161"/>
    </row>
    <row r="162" spans="1:13" x14ac:dyDescent="0.4">
      <c r="A162"/>
      <c r="B162"/>
      <c r="C162"/>
      <c r="D162"/>
      <c r="E162"/>
      <c r="F162"/>
      <c r="G162"/>
      <c r="H162"/>
      <c r="I162"/>
      <c r="J162"/>
      <c r="K162"/>
      <c r="L162"/>
      <c r="M162"/>
    </row>
    <row r="163" spans="1:13" x14ac:dyDescent="0.4">
      <c r="A163"/>
      <c r="B163"/>
      <c r="C163"/>
      <c r="D163"/>
      <c r="E163"/>
      <c r="F163"/>
      <c r="G163"/>
      <c r="H163"/>
      <c r="I163"/>
      <c r="J163"/>
      <c r="K163"/>
      <c r="L163"/>
      <c r="M163"/>
    </row>
    <row r="164" spans="1:13" x14ac:dyDescent="0.4">
      <c r="A164"/>
      <c r="B164"/>
      <c r="C164"/>
      <c r="D164"/>
      <c r="E164"/>
      <c r="F164"/>
      <c r="G164"/>
      <c r="H164"/>
      <c r="I164"/>
      <c r="J164"/>
      <c r="K164"/>
      <c r="L164"/>
      <c r="M164"/>
    </row>
    <row r="165" spans="1:13" x14ac:dyDescent="0.4">
      <c r="A165"/>
      <c r="B165"/>
      <c r="C165"/>
      <c r="D165"/>
      <c r="E165"/>
      <c r="F165"/>
      <c r="G165"/>
      <c r="H165"/>
      <c r="I165"/>
      <c r="J165"/>
      <c r="K165"/>
      <c r="L165"/>
      <c r="M165"/>
    </row>
    <row r="166" spans="1:13" x14ac:dyDescent="0.4">
      <c r="A166"/>
      <c r="B166"/>
      <c r="C166"/>
      <c r="D166"/>
      <c r="E166"/>
      <c r="F166"/>
      <c r="G166"/>
      <c r="H166"/>
      <c r="I166"/>
      <c r="J166"/>
      <c r="K166"/>
      <c r="L166"/>
      <c r="M166"/>
    </row>
    <row r="167" spans="1:13" x14ac:dyDescent="0.4">
      <c r="A167"/>
      <c r="B167"/>
      <c r="C167"/>
      <c r="D167"/>
      <c r="E167"/>
      <c r="F167"/>
      <c r="G167"/>
      <c r="H167"/>
      <c r="I167"/>
      <c r="J167"/>
      <c r="K167"/>
      <c r="L167"/>
      <c r="M167"/>
    </row>
    <row r="168" spans="1:13" x14ac:dyDescent="0.4">
      <c r="A168"/>
      <c r="B168"/>
      <c r="C168"/>
      <c r="D168"/>
      <c r="E168"/>
      <c r="F168"/>
      <c r="G168"/>
      <c r="H168"/>
      <c r="I168"/>
      <c r="J168"/>
      <c r="K168"/>
      <c r="L168"/>
      <c r="M168"/>
    </row>
    <row r="169" spans="1:13" x14ac:dyDescent="0.4">
      <c r="A169"/>
      <c r="B169"/>
      <c r="C169"/>
      <c r="D169"/>
      <c r="E169"/>
      <c r="F169"/>
      <c r="G169"/>
      <c r="H169"/>
      <c r="I169"/>
      <c r="J169"/>
      <c r="K169"/>
      <c r="L169"/>
      <c r="M169"/>
    </row>
    <row r="170" spans="1:13" x14ac:dyDescent="0.4">
      <c r="A170"/>
      <c r="B170"/>
      <c r="C170"/>
      <c r="D170"/>
      <c r="E170"/>
      <c r="F170"/>
      <c r="G170"/>
      <c r="H170"/>
      <c r="I170"/>
      <c r="J170"/>
      <c r="K170"/>
      <c r="L170"/>
      <c r="M170"/>
    </row>
    <row r="171" spans="1:13" x14ac:dyDescent="0.4">
      <c r="A171"/>
      <c r="B171"/>
      <c r="C171"/>
      <c r="D171"/>
      <c r="E171"/>
      <c r="F171"/>
      <c r="G171"/>
      <c r="H171"/>
      <c r="I171"/>
      <c r="J171"/>
      <c r="K171"/>
      <c r="L171"/>
      <c r="M171"/>
    </row>
    <row r="172" spans="1:13" x14ac:dyDescent="0.4">
      <c r="A172"/>
      <c r="B172"/>
      <c r="C172"/>
      <c r="D172"/>
      <c r="E172"/>
      <c r="F172"/>
      <c r="G172"/>
      <c r="H172"/>
      <c r="I172"/>
      <c r="J172"/>
      <c r="K172"/>
      <c r="L172"/>
      <c r="M172"/>
    </row>
    <row r="173" spans="1:13" x14ac:dyDescent="0.4">
      <c r="A173"/>
      <c r="B173"/>
      <c r="C173"/>
      <c r="D173"/>
      <c r="E173"/>
      <c r="F173"/>
      <c r="G173"/>
      <c r="H173"/>
      <c r="I173"/>
      <c r="J173"/>
      <c r="K173"/>
      <c r="L173"/>
      <c r="M173"/>
    </row>
    <row r="174" spans="1:13" x14ac:dyDescent="0.4">
      <c r="A174"/>
      <c r="B174"/>
      <c r="C174"/>
      <c r="D174"/>
      <c r="E174"/>
      <c r="F174"/>
      <c r="G174"/>
      <c r="H174"/>
      <c r="I174"/>
      <c r="J174"/>
      <c r="K174"/>
      <c r="L174"/>
      <c r="M174"/>
    </row>
    <row r="175" spans="1:13" x14ac:dyDescent="0.4">
      <c r="A175"/>
      <c r="B175"/>
      <c r="C175"/>
      <c r="D175"/>
      <c r="E175"/>
      <c r="F175"/>
      <c r="G175"/>
      <c r="H175"/>
      <c r="I175"/>
      <c r="J175"/>
      <c r="K175"/>
      <c r="L175"/>
      <c r="M175"/>
    </row>
    <row r="176" spans="1:13" x14ac:dyDescent="0.4">
      <c r="A176"/>
      <c r="B176"/>
      <c r="C176"/>
      <c r="D176"/>
      <c r="E176"/>
      <c r="F176"/>
      <c r="G176"/>
      <c r="H176"/>
      <c r="I176"/>
      <c r="J176"/>
      <c r="K176"/>
      <c r="L176"/>
      <c r="M176"/>
    </row>
    <row r="177" spans="1:13" x14ac:dyDescent="0.4">
      <c r="A177"/>
      <c r="B177"/>
      <c r="C177"/>
      <c r="D177"/>
      <c r="E177"/>
      <c r="F177"/>
      <c r="G177"/>
      <c r="H177"/>
      <c r="I177"/>
      <c r="J177"/>
      <c r="K177"/>
      <c r="L177"/>
      <c r="M177"/>
    </row>
    <row r="178" spans="1:13" x14ac:dyDescent="0.4">
      <c r="A178"/>
      <c r="B178"/>
      <c r="C178"/>
      <c r="D178"/>
      <c r="E178"/>
      <c r="F178"/>
      <c r="G178"/>
      <c r="H178"/>
      <c r="I178"/>
      <c r="J178"/>
      <c r="K178"/>
      <c r="L178"/>
      <c r="M178"/>
    </row>
    <row r="179" spans="1:13" x14ac:dyDescent="0.4">
      <c r="A179"/>
      <c r="B179"/>
      <c r="C179"/>
      <c r="D179"/>
      <c r="E179"/>
      <c r="F179"/>
      <c r="G179"/>
      <c r="H179"/>
      <c r="I179"/>
      <c r="J179"/>
      <c r="K179"/>
      <c r="L179"/>
      <c r="M179"/>
    </row>
    <row r="180" spans="1:13" x14ac:dyDescent="0.4">
      <c r="A180"/>
      <c r="B180"/>
      <c r="C180"/>
      <c r="D180"/>
      <c r="E180"/>
      <c r="F180"/>
      <c r="G180"/>
      <c r="H180"/>
      <c r="I180"/>
      <c r="J180"/>
      <c r="K180"/>
      <c r="L180"/>
      <c r="M180"/>
    </row>
    <row r="181" spans="1:13" x14ac:dyDescent="0.4">
      <c r="A181"/>
      <c r="B181"/>
      <c r="C181"/>
      <c r="D181"/>
      <c r="E181"/>
      <c r="F181"/>
      <c r="G181"/>
      <c r="H181"/>
      <c r="I181"/>
      <c r="J181"/>
      <c r="K181"/>
      <c r="L181"/>
      <c r="M181"/>
    </row>
    <row r="182" spans="1:13" x14ac:dyDescent="0.4">
      <c r="A182"/>
      <c r="B182"/>
      <c r="C182"/>
      <c r="D182"/>
      <c r="E182"/>
      <c r="F182"/>
      <c r="G182"/>
      <c r="H182"/>
      <c r="I182"/>
      <c r="J182"/>
      <c r="K182"/>
      <c r="L182"/>
      <c r="M182"/>
    </row>
    <row r="183" spans="1:13" x14ac:dyDescent="0.4">
      <c r="A183"/>
      <c r="B183"/>
      <c r="C183"/>
      <c r="D183"/>
      <c r="E183"/>
      <c r="F183"/>
      <c r="G183"/>
      <c r="H183"/>
      <c r="I183"/>
      <c r="J183"/>
      <c r="K183"/>
      <c r="L183"/>
      <c r="M183"/>
    </row>
    <row r="184" spans="1:13" x14ac:dyDescent="0.4">
      <c r="A184"/>
      <c r="B184"/>
      <c r="C184"/>
      <c r="D184"/>
      <c r="E184"/>
      <c r="F184"/>
      <c r="G184"/>
      <c r="H184"/>
      <c r="I184"/>
      <c r="J184"/>
      <c r="K184"/>
      <c r="L184"/>
      <c r="M184"/>
    </row>
    <row r="185" spans="1:13" x14ac:dyDescent="0.4">
      <c r="A185"/>
      <c r="B185"/>
      <c r="C185"/>
      <c r="D185"/>
      <c r="E185"/>
      <c r="F185"/>
      <c r="G185"/>
      <c r="H185"/>
      <c r="I185"/>
      <c r="J185"/>
      <c r="K185"/>
      <c r="L185"/>
      <c r="M185"/>
    </row>
    <row r="186" spans="1:13" x14ac:dyDescent="0.4">
      <c r="A186"/>
      <c r="B186"/>
      <c r="C186"/>
      <c r="D186"/>
      <c r="E186"/>
      <c r="F186"/>
      <c r="G186"/>
      <c r="H186"/>
      <c r="I186"/>
      <c r="J186"/>
      <c r="K186"/>
      <c r="L186"/>
      <c r="M186"/>
    </row>
    <row r="187" spans="1:13" x14ac:dyDescent="0.4">
      <c r="A187"/>
      <c r="B187"/>
      <c r="C187"/>
      <c r="D187"/>
      <c r="E187"/>
      <c r="F187"/>
      <c r="G187"/>
      <c r="H187"/>
      <c r="I187"/>
      <c r="J187"/>
      <c r="K187"/>
      <c r="L187"/>
      <c r="M187"/>
    </row>
    <row r="188" spans="1:13" x14ac:dyDescent="0.4">
      <c r="A188"/>
      <c r="B188"/>
      <c r="C188"/>
      <c r="D188"/>
      <c r="E188"/>
      <c r="F188"/>
      <c r="G188"/>
      <c r="H188"/>
      <c r="I188"/>
      <c r="J188"/>
      <c r="K188"/>
      <c r="L188"/>
      <c r="M188"/>
    </row>
    <row r="189" spans="1:13" x14ac:dyDescent="0.4">
      <c r="A189"/>
      <c r="B189"/>
      <c r="C189"/>
      <c r="D189"/>
      <c r="E189"/>
      <c r="F189"/>
      <c r="G189"/>
      <c r="H189"/>
      <c r="I189"/>
      <c r="J189"/>
      <c r="K189"/>
      <c r="L189"/>
      <c r="M189"/>
    </row>
    <row r="190" spans="1:13" x14ac:dyDescent="0.4">
      <c r="A190"/>
      <c r="B190"/>
      <c r="C190"/>
      <c r="D190"/>
      <c r="E190"/>
      <c r="F190"/>
      <c r="G190"/>
      <c r="H190"/>
      <c r="I190"/>
      <c r="J190"/>
      <c r="K190"/>
      <c r="L190"/>
      <c r="M190"/>
    </row>
    <row r="191" spans="1:13" x14ac:dyDescent="0.4">
      <c r="A191"/>
      <c r="B191"/>
      <c r="C191"/>
      <c r="D191"/>
      <c r="E191"/>
      <c r="F191"/>
      <c r="G191"/>
      <c r="H191"/>
      <c r="I191"/>
      <c r="J191"/>
      <c r="K191"/>
      <c r="L191"/>
      <c r="M191"/>
    </row>
    <row r="192" spans="1:13" x14ac:dyDescent="0.4">
      <c r="A192"/>
      <c r="B192"/>
      <c r="C192"/>
      <c r="D192"/>
      <c r="E192"/>
      <c r="F192"/>
      <c r="G192"/>
      <c r="H192"/>
      <c r="I192"/>
      <c r="J192"/>
      <c r="K192"/>
      <c r="L192"/>
      <c r="M192"/>
    </row>
    <row r="193" spans="1:13" x14ac:dyDescent="0.4">
      <c r="A193"/>
      <c r="B193"/>
      <c r="C193"/>
      <c r="D193"/>
      <c r="E193"/>
      <c r="F193"/>
      <c r="G193"/>
      <c r="H193"/>
      <c r="I193"/>
      <c r="J193"/>
      <c r="K193"/>
      <c r="L193"/>
      <c r="M193"/>
    </row>
    <row r="194" spans="1:13" x14ac:dyDescent="0.4">
      <c r="A194"/>
      <c r="B194"/>
      <c r="C194"/>
      <c r="D194"/>
      <c r="E194"/>
      <c r="F194"/>
      <c r="G194"/>
      <c r="H194"/>
      <c r="I194"/>
      <c r="J194"/>
      <c r="K194"/>
      <c r="L194"/>
      <c r="M194"/>
    </row>
    <row r="195" spans="1:13" x14ac:dyDescent="0.4">
      <c r="A195"/>
      <c r="B195"/>
      <c r="C195"/>
      <c r="D195"/>
      <c r="E195"/>
      <c r="F195"/>
      <c r="G195"/>
      <c r="H195"/>
      <c r="I195"/>
      <c r="J195"/>
      <c r="K195"/>
      <c r="L195"/>
      <c r="M195"/>
    </row>
    <row r="196" spans="1:13" x14ac:dyDescent="0.4">
      <c r="A196"/>
      <c r="B196"/>
      <c r="C196"/>
      <c r="D196"/>
      <c r="E196"/>
      <c r="F196"/>
      <c r="G196"/>
      <c r="H196"/>
      <c r="I196"/>
      <c r="J196"/>
      <c r="K196"/>
      <c r="L196"/>
      <c r="M196"/>
    </row>
    <row r="197" spans="1:13" x14ac:dyDescent="0.4">
      <c r="A197"/>
      <c r="B197"/>
      <c r="C197"/>
      <c r="D197"/>
      <c r="E197"/>
      <c r="F197"/>
      <c r="G197"/>
      <c r="H197"/>
      <c r="I197"/>
      <c r="J197"/>
      <c r="K197"/>
      <c r="L197"/>
      <c r="M197"/>
    </row>
    <row r="198" spans="1:13" x14ac:dyDescent="0.4">
      <c r="A198"/>
      <c r="B198"/>
      <c r="C198"/>
      <c r="D198"/>
      <c r="E198"/>
      <c r="F198"/>
      <c r="G198"/>
      <c r="H198"/>
      <c r="I198"/>
      <c r="J198"/>
      <c r="K198"/>
      <c r="L198"/>
      <c r="M198"/>
    </row>
    <row r="199" spans="1:13" x14ac:dyDescent="0.4">
      <c r="A199"/>
      <c r="B199"/>
      <c r="C199"/>
      <c r="D199"/>
      <c r="E199"/>
      <c r="F199"/>
      <c r="G199"/>
      <c r="H199"/>
      <c r="I199"/>
      <c r="J199"/>
      <c r="K199"/>
      <c r="L199"/>
      <c r="M199"/>
    </row>
    <row r="200" spans="1:13" x14ac:dyDescent="0.4">
      <c r="A200"/>
      <c r="B200"/>
      <c r="C200"/>
      <c r="D200"/>
      <c r="E200"/>
      <c r="F200"/>
      <c r="G200"/>
      <c r="H200"/>
      <c r="I200"/>
      <c r="J200"/>
      <c r="K200"/>
      <c r="L200"/>
      <c r="M200"/>
    </row>
    <row r="201" spans="1:13" x14ac:dyDescent="0.4">
      <c r="A201"/>
      <c r="B201"/>
      <c r="C201"/>
      <c r="D201"/>
      <c r="E201"/>
      <c r="F201"/>
      <c r="G201"/>
      <c r="H201"/>
      <c r="I201"/>
      <c r="J201"/>
      <c r="K201"/>
      <c r="L201"/>
      <c r="M201"/>
    </row>
    <row r="202" spans="1:13" x14ac:dyDescent="0.4">
      <c r="A202"/>
      <c r="B202"/>
      <c r="C202"/>
      <c r="D202"/>
      <c r="E202"/>
      <c r="F202"/>
      <c r="G202"/>
      <c r="H202"/>
      <c r="I202"/>
      <c r="J202"/>
      <c r="K202"/>
      <c r="L202"/>
      <c r="M202"/>
    </row>
    <row r="203" spans="1:13" x14ac:dyDescent="0.4">
      <c r="A203"/>
      <c r="B203"/>
      <c r="C203"/>
      <c r="D203"/>
      <c r="E203"/>
      <c r="F203"/>
      <c r="G203"/>
      <c r="H203"/>
      <c r="I203"/>
      <c r="J203"/>
      <c r="K203"/>
      <c r="L203"/>
      <c r="M203"/>
    </row>
    <row r="204" spans="1:13" x14ac:dyDescent="0.4">
      <c r="A204"/>
      <c r="B204"/>
      <c r="C204"/>
      <c r="D204"/>
      <c r="E204"/>
      <c r="F204"/>
      <c r="G204"/>
      <c r="H204"/>
      <c r="I204"/>
      <c r="J204"/>
      <c r="K204"/>
      <c r="L204"/>
      <c r="M204"/>
    </row>
    <row r="205" spans="1:13" x14ac:dyDescent="0.4">
      <c r="A205"/>
      <c r="B205"/>
      <c r="C205"/>
      <c r="D205"/>
      <c r="E205"/>
      <c r="F205"/>
      <c r="G205"/>
      <c r="H205"/>
      <c r="I205"/>
      <c r="J205"/>
      <c r="K205"/>
      <c r="L205"/>
      <c r="M205"/>
    </row>
    <row r="206" spans="1:13" x14ac:dyDescent="0.4">
      <c r="A206"/>
      <c r="B206"/>
      <c r="C206"/>
      <c r="D206"/>
      <c r="E206"/>
      <c r="F206"/>
      <c r="G206"/>
      <c r="H206"/>
      <c r="I206"/>
      <c r="J206"/>
      <c r="K206"/>
      <c r="L206"/>
      <c r="M206"/>
    </row>
    <row r="207" spans="1:13" x14ac:dyDescent="0.4">
      <c r="A207"/>
      <c r="B207"/>
      <c r="C207"/>
      <c r="D207"/>
      <c r="E207"/>
      <c r="F207"/>
      <c r="G207"/>
      <c r="H207"/>
      <c r="I207"/>
      <c r="J207"/>
      <c r="K207"/>
      <c r="L207"/>
      <c r="M207"/>
    </row>
    <row r="208" spans="1:13" x14ac:dyDescent="0.4">
      <c r="A208"/>
      <c r="B208"/>
      <c r="C208"/>
      <c r="D208"/>
      <c r="E208"/>
      <c r="F208"/>
      <c r="G208"/>
      <c r="H208"/>
      <c r="I208"/>
      <c r="J208"/>
      <c r="K208"/>
      <c r="L208"/>
      <c r="M208"/>
    </row>
    <row r="209" spans="1:13" x14ac:dyDescent="0.4">
      <c r="A209"/>
      <c r="B209"/>
      <c r="C209"/>
      <c r="D209"/>
      <c r="E209"/>
      <c r="F209"/>
      <c r="G209"/>
      <c r="H209"/>
      <c r="I209"/>
      <c r="J209"/>
      <c r="K209"/>
      <c r="L209"/>
      <c r="M209"/>
    </row>
    <row r="210" spans="1:13" x14ac:dyDescent="0.4">
      <c r="A210"/>
      <c r="B210"/>
      <c r="C210"/>
      <c r="D210"/>
      <c r="E210"/>
      <c r="F210"/>
      <c r="G210"/>
      <c r="H210"/>
      <c r="I210"/>
      <c r="J210"/>
      <c r="K210"/>
      <c r="L210"/>
      <c r="M210"/>
    </row>
    <row r="211" spans="1:13" x14ac:dyDescent="0.4">
      <c r="A211"/>
      <c r="B211"/>
      <c r="C211"/>
      <c r="D211"/>
      <c r="E211"/>
      <c r="F211"/>
      <c r="G211"/>
      <c r="H211"/>
      <c r="I211"/>
      <c r="J211"/>
      <c r="K211"/>
      <c r="L211"/>
      <c r="M211"/>
    </row>
    <row r="212" spans="1:13" x14ac:dyDescent="0.4">
      <c r="A212"/>
      <c r="B212"/>
      <c r="C212"/>
      <c r="D212"/>
      <c r="E212"/>
      <c r="F212"/>
      <c r="G212"/>
      <c r="H212"/>
      <c r="I212"/>
      <c r="J212"/>
      <c r="K212"/>
      <c r="L212"/>
      <c r="M212"/>
    </row>
    <row r="213" spans="1:13" x14ac:dyDescent="0.4">
      <c r="A213"/>
      <c r="B213"/>
      <c r="C213"/>
      <c r="D213"/>
      <c r="E213"/>
      <c r="F213"/>
      <c r="G213"/>
      <c r="H213"/>
      <c r="I213"/>
      <c r="J213"/>
      <c r="K213"/>
      <c r="L213"/>
      <c r="M213"/>
    </row>
    <row r="214" spans="1:13" x14ac:dyDescent="0.4">
      <c r="A214"/>
      <c r="B214"/>
      <c r="C214"/>
      <c r="D214"/>
      <c r="E214"/>
      <c r="F214"/>
      <c r="G214"/>
      <c r="H214"/>
      <c r="I214"/>
      <c r="J214"/>
      <c r="K214"/>
      <c r="L214"/>
      <c r="M214"/>
    </row>
    <row r="215" spans="1:13" x14ac:dyDescent="0.4">
      <c r="A215"/>
      <c r="B215"/>
      <c r="C215"/>
      <c r="D215"/>
      <c r="E215"/>
      <c r="F215"/>
      <c r="G215"/>
      <c r="H215"/>
      <c r="I215"/>
      <c r="J215"/>
      <c r="K215"/>
      <c r="L215"/>
      <c r="M215"/>
    </row>
    <row r="216" spans="1:13" x14ac:dyDescent="0.4">
      <c r="A216"/>
      <c r="B216"/>
      <c r="C216"/>
      <c r="D216"/>
      <c r="E216"/>
      <c r="F216"/>
      <c r="G216"/>
      <c r="H216"/>
      <c r="I216"/>
      <c r="J216"/>
      <c r="K216"/>
      <c r="L216"/>
      <c r="M216"/>
    </row>
    <row r="217" spans="1:13" x14ac:dyDescent="0.4">
      <c r="A217"/>
      <c r="B217"/>
      <c r="C217"/>
      <c r="D217"/>
      <c r="E217"/>
      <c r="F217"/>
      <c r="G217"/>
      <c r="H217"/>
      <c r="I217"/>
      <c r="J217"/>
      <c r="K217"/>
      <c r="L217"/>
      <c r="M217"/>
    </row>
    <row r="218" spans="1:13" x14ac:dyDescent="0.4">
      <c r="A218"/>
      <c r="B218"/>
      <c r="C218"/>
      <c r="D218"/>
      <c r="E218"/>
      <c r="F218"/>
      <c r="G218"/>
      <c r="H218"/>
      <c r="I218"/>
      <c r="J218"/>
      <c r="K218"/>
      <c r="L218"/>
      <c r="M218"/>
    </row>
    <row r="219" spans="1:13" x14ac:dyDescent="0.4">
      <c r="A219"/>
      <c r="B219"/>
      <c r="C219"/>
      <c r="D219"/>
      <c r="E219"/>
      <c r="F219"/>
      <c r="G219"/>
      <c r="H219"/>
      <c r="I219"/>
      <c r="J219"/>
      <c r="K219"/>
      <c r="L219"/>
      <c r="M219"/>
    </row>
    <row r="220" spans="1:13" x14ac:dyDescent="0.4">
      <c r="A220"/>
      <c r="B220"/>
      <c r="C220"/>
      <c r="D220"/>
      <c r="E220"/>
      <c r="F220"/>
      <c r="G220"/>
      <c r="H220"/>
      <c r="I220"/>
      <c r="J220"/>
      <c r="K220"/>
      <c r="L220"/>
      <c r="M220"/>
    </row>
    <row r="221" spans="1:13" x14ac:dyDescent="0.4">
      <c r="A221"/>
      <c r="B221"/>
      <c r="C221"/>
      <c r="D221"/>
      <c r="E221"/>
      <c r="F221"/>
      <c r="G221"/>
      <c r="H221"/>
      <c r="I221"/>
      <c r="J221"/>
      <c r="K221"/>
      <c r="L221"/>
      <c r="M221"/>
    </row>
    <row r="222" spans="1:13" x14ac:dyDescent="0.4">
      <c r="A222"/>
      <c r="B222"/>
      <c r="C222"/>
      <c r="D222"/>
      <c r="E222"/>
      <c r="F222"/>
      <c r="G222"/>
      <c r="H222"/>
      <c r="I222"/>
      <c r="J222"/>
      <c r="K222"/>
      <c r="L222"/>
      <c r="M222"/>
    </row>
    <row r="223" spans="1:13" x14ac:dyDescent="0.4">
      <c r="A223"/>
      <c r="B223"/>
      <c r="C223"/>
      <c r="D223"/>
      <c r="E223"/>
      <c r="F223"/>
      <c r="G223"/>
      <c r="H223"/>
      <c r="I223"/>
      <c r="J223"/>
      <c r="K223"/>
      <c r="L223"/>
      <c r="M223"/>
    </row>
    <row r="224" spans="1:13" x14ac:dyDescent="0.4">
      <c r="A224"/>
      <c r="B224"/>
      <c r="C224"/>
      <c r="D224"/>
      <c r="E224"/>
      <c r="F224"/>
      <c r="G224"/>
      <c r="H224"/>
      <c r="I224"/>
      <c r="J224"/>
      <c r="K224"/>
      <c r="L224"/>
      <c r="M224"/>
    </row>
    <row r="225" spans="1:13" x14ac:dyDescent="0.4">
      <c r="A225"/>
      <c r="B225"/>
      <c r="C225"/>
      <c r="D225"/>
      <c r="E225"/>
      <c r="F225"/>
      <c r="G225"/>
      <c r="H225"/>
      <c r="I225"/>
      <c r="J225"/>
      <c r="K225"/>
      <c r="L225"/>
      <c r="M225"/>
    </row>
    <row r="226" spans="1:13" x14ac:dyDescent="0.4">
      <c r="A226"/>
      <c r="B226"/>
      <c r="C226"/>
      <c r="D226"/>
      <c r="E226"/>
      <c r="F226"/>
      <c r="G226"/>
      <c r="H226"/>
      <c r="I226"/>
      <c r="J226"/>
      <c r="K226"/>
      <c r="L226"/>
      <c r="M226"/>
    </row>
    <row r="227" spans="1:13" x14ac:dyDescent="0.4">
      <c r="A227"/>
      <c r="B227"/>
      <c r="C227"/>
      <c r="D227"/>
      <c r="E227"/>
      <c r="F227"/>
      <c r="G227"/>
      <c r="H227"/>
      <c r="I227"/>
      <c r="J227"/>
      <c r="K227"/>
      <c r="L227"/>
      <c r="M227"/>
    </row>
    <row r="228" spans="1:13" x14ac:dyDescent="0.4">
      <c r="A228"/>
      <c r="B228"/>
      <c r="C228"/>
      <c r="D228"/>
      <c r="E228"/>
      <c r="F228"/>
      <c r="G228"/>
      <c r="H228"/>
      <c r="I228"/>
      <c r="J228"/>
      <c r="K228"/>
      <c r="L228"/>
      <c r="M228"/>
    </row>
    <row r="229" spans="1:13" x14ac:dyDescent="0.4">
      <c r="A229"/>
      <c r="B229"/>
      <c r="C229"/>
      <c r="D229"/>
      <c r="E229"/>
      <c r="F229"/>
      <c r="G229"/>
      <c r="H229"/>
      <c r="I229"/>
      <c r="J229"/>
      <c r="K229"/>
      <c r="L229"/>
      <c r="M229"/>
    </row>
    <row r="230" spans="1:13" x14ac:dyDescent="0.4">
      <c r="A230"/>
      <c r="B230"/>
      <c r="C230"/>
      <c r="D230"/>
      <c r="E230"/>
      <c r="F230"/>
      <c r="G230"/>
      <c r="H230"/>
      <c r="I230"/>
      <c r="J230"/>
      <c r="K230"/>
      <c r="L230"/>
      <c r="M230"/>
    </row>
    <row r="231" spans="1:13" x14ac:dyDescent="0.4">
      <c r="A231"/>
      <c r="B231"/>
      <c r="C231"/>
      <c r="D231"/>
      <c r="E231"/>
      <c r="F231"/>
      <c r="G231"/>
      <c r="H231"/>
      <c r="I231"/>
      <c r="J231"/>
      <c r="K231"/>
      <c r="L231"/>
      <c r="M231"/>
    </row>
    <row r="232" spans="1:13" x14ac:dyDescent="0.4">
      <c r="A232"/>
      <c r="B232"/>
      <c r="C232"/>
      <c r="D232"/>
      <c r="E232"/>
      <c r="F232"/>
      <c r="G232"/>
      <c r="H232"/>
      <c r="I232"/>
      <c r="J232"/>
      <c r="K232"/>
      <c r="L232"/>
      <c r="M232"/>
    </row>
    <row r="233" spans="1:13" x14ac:dyDescent="0.4">
      <c r="A233"/>
      <c r="B233"/>
      <c r="C233"/>
      <c r="D233"/>
      <c r="E233"/>
      <c r="F233"/>
      <c r="G233"/>
      <c r="H233"/>
      <c r="I233"/>
      <c r="J233"/>
      <c r="K233"/>
      <c r="L233"/>
      <c r="M233"/>
    </row>
    <row r="234" spans="1:13" x14ac:dyDescent="0.4">
      <c r="A234"/>
      <c r="B234"/>
      <c r="C234"/>
      <c r="D234"/>
      <c r="E234"/>
      <c r="F234"/>
      <c r="G234"/>
      <c r="H234"/>
      <c r="I234"/>
      <c r="J234"/>
      <c r="K234"/>
      <c r="L234"/>
      <c r="M234"/>
    </row>
    <row r="235" spans="1:13" x14ac:dyDescent="0.4">
      <c r="A235"/>
      <c r="B235"/>
      <c r="C235"/>
      <c r="D235"/>
      <c r="E235"/>
      <c r="F235"/>
      <c r="G235"/>
      <c r="H235"/>
      <c r="I235"/>
      <c r="J235"/>
      <c r="K235"/>
      <c r="L235"/>
      <c r="M235"/>
    </row>
    <row r="236" spans="1:13" x14ac:dyDescent="0.4">
      <c r="A236"/>
      <c r="B236"/>
      <c r="C236"/>
      <c r="D236"/>
      <c r="E236"/>
      <c r="F236"/>
      <c r="G236"/>
      <c r="H236"/>
      <c r="I236"/>
      <c r="J236"/>
      <c r="K236"/>
      <c r="L236"/>
      <c r="M236"/>
    </row>
    <row r="237" spans="1:13" x14ac:dyDescent="0.4">
      <c r="A237"/>
      <c r="B237"/>
      <c r="C237"/>
      <c r="D237"/>
      <c r="E237"/>
      <c r="F237"/>
      <c r="G237"/>
      <c r="H237"/>
      <c r="I237"/>
      <c r="J237"/>
      <c r="K237"/>
      <c r="L237"/>
      <c r="M237"/>
    </row>
    <row r="238" spans="1:13" x14ac:dyDescent="0.4">
      <c r="A238"/>
      <c r="B238"/>
      <c r="C238"/>
      <c r="D238"/>
      <c r="E238"/>
      <c r="F238"/>
      <c r="G238"/>
      <c r="H238"/>
      <c r="I238"/>
      <c r="J238"/>
      <c r="K238"/>
      <c r="L238"/>
      <c r="M238"/>
    </row>
    <row r="239" spans="1:13" x14ac:dyDescent="0.4">
      <c r="A239"/>
      <c r="B239"/>
      <c r="C239"/>
      <c r="D239"/>
      <c r="E239"/>
      <c r="F239"/>
      <c r="G239"/>
      <c r="H239"/>
      <c r="I239"/>
      <c r="J239"/>
      <c r="K239"/>
      <c r="L239"/>
      <c r="M239"/>
    </row>
    <row r="240" spans="1:13" x14ac:dyDescent="0.4">
      <c r="A240"/>
      <c r="B240"/>
      <c r="C240"/>
      <c r="D240"/>
      <c r="E240"/>
      <c r="F240"/>
      <c r="G240"/>
      <c r="H240"/>
      <c r="I240"/>
      <c r="J240"/>
      <c r="K240"/>
      <c r="L240"/>
      <c r="M240"/>
    </row>
    <row r="241" spans="1:13" x14ac:dyDescent="0.4">
      <c r="A241"/>
      <c r="B241"/>
      <c r="C241"/>
      <c r="D241"/>
      <c r="E241"/>
      <c r="F241"/>
      <c r="G241"/>
      <c r="H241"/>
      <c r="I241"/>
      <c r="J241"/>
      <c r="K241"/>
      <c r="L241"/>
      <c r="M241"/>
    </row>
    <row r="242" spans="1:13" x14ac:dyDescent="0.4">
      <c r="A242"/>
      <c r="B242"/>
      <c r="C242"/>
      <c r="D242"/>
      <c r="E242"/>
      <c r="F242"/>
      <c r="G242"/>
      <c r="H242"/>
      <c r="I242"/>
      <c r="J242"/>
      <c r="K242"/>
      <c r="L242"/>
      <c r="M242"/>
    </row>
    <row r="243" spans="1:13" x14ac:dyDescent="0.4">
      <c r="A243"/>
      <c r="B243"/>
      <c r="C243"/>
      <c r="D243"/>
      <c r="E243"/>
      <c r="F243"/>
      <c r="G243"/>
      <c r="H243"/>
      <c r="I243"/>
      <c r="J243"/>
      <c r="K243"/>
      <c r="L243"/>
      <c r="M243"/>
    </row>
    <row r="244" spans="1:13" x14ac:dyDescent="0.4">
      <c r="A244"/>
      <c r="B244"/>
      <c r="C244"/>
      <c r="D244"/>
      <c r="E244"/>
      <c r="F244"/>
      <c r="G244"/>
      <c r="H244"/>
      <c r="I244"/>
      <c r="J244"/>
      <c r="K244"/>
      <c r="L244"/>
      <c r="M244"/>
    </row>
    <row r="245" spans="1:13" x14ac:dyDescent="0.4">
      <c r="A245"/>
      <c r="B245"/>
      <c r="C245"/>
      <c r="D245"/>
      <c r="E245"/>
      <c r="F245"/>
      <c r="G245"/>
      <c r="H245"/>
      <c r="I245"/>
      <c r="J245"/>
      <c r="K245"/>
      <c r="L245"/>
      <c r="M245"/>
    </row>
    <row r="246" spans="1:13" x14ac:dyDescent="0.4">
      <c r="A246"/>
      <c r="B246"/>
      <c r="C246"/>
      <c r="D246"/>
      <c r="E246"/>
      <c r="F246"/>
      <c r="G246"/>
      <c r="H246"/>
      <c r="I246"/>
      <c r="J246"/>
      <c r="K246"/>
      <c r="L246"/>
      <c r="M246"/>
    </row>
    <row r="247" spans="1:13" x14ac:dyDescent="0.4">
      <c r="A247"/>
      <c r="B247"/>
      <c r="C247"/>
      <c r="D247"/>
      <c r="E247"/>
      <c r="F247"/>
      <c r="G247"/>
      <c r="H247"/>
      <c r="I247"/>
      <c r="J247"/>
      <c r="K247"/>
      <c r="L247"/>
      <c r="M247"/>
    </row>
    <row r="248" spans="1:13" x14ac:dyDescent="0.4">
      <c r="A248"/>
      <c r="B248"/>
      <c r="C248"/>
      <c r="D248"/>
      <c r="E248"/>
      <c r="F248"/>
      <c r="G248"/>
      <c r="H248"/>
      <c r="I248"/>
      <c r="J248"/>
      <c r="K248"/>
      <c r="L248"/>
      <c r="M248"/>
    </row>
    <row r="249" spans="1:13" x14ac:dyDescent="0.4">
      <c r="A249"/>
      <c r="B249"/>
      <c r="C249"/>
      <c r="D249"/>
      <c r="E249"/>
      <c r="F249"/>
      <c r="G249"/>
      <c r="H249"/>
      <c r="I249"/>
      <c r="J249"/>
      <c r="K249"/>
      <c r="L249"/>
      <c r="M249"/>
    </row>
    <row r="250" spans="1:13" x14ac:dyDescent="0.4">
      <c r="A250"/>
      <c r="B250"/>
      <c r="C250"/>
      <c r="D250"/>
      <c r="E250"/>
      <c r="F250"/>
      <c r="G250"/>
      <c r="H250"/>
      <c r="I250"/>
      <c r="J250"/>
      <c r="K250"/>
      <c r="L250"/>
      <c r="M250"/>
    </row>
    <row r="251" spans="1:13" x14ac:dyDescent="0.4">
      <c r="A251"/>
      <c r="B251"/>
      <c r="C251"/>
      <c r="D251"/>
      <c r="E251"/>
      <c r="F251"/>
      <c r="G251"/>
      <c r="H251"/>
      <c r="I251"/>
      <c r="J251"/>
      <c r="K251"/>
      <c r="L251"/>
      <c r="M251"/>
    </row>
    <row r="252" spans="1:13" x14ac:dyDescent="0.4">
      <c r="A252"/>
      <c r="B252"/>
      <c r="C252"/>
      <c r="D252"/>
      <c r="E252"/>
      <c r="F252"/>
      <c r="G252"/>
      <c r="H252"/>
      <c r="I252"/>
      <c r="J252"/>
      <c r="K252"/>
      <c r="L252"/>
      <c r="M252"/>
    </row>
    <row r="253" spans="1:13" x14ac:dyDescent="0.4">
      <c r="A253"/>
      <c r="B253"/>
      <c r="C253"/>
      <c r="D253"/>
      <c r="E253"/>
      <c r="F253"/>
      <c r="G253"/>
      <c r="H253"/>
      <c r="I253"/>
      <c r="J253"/>
      <c r="K253"/>
      <c r="L253"/>
      <c r="M253"/>
    </row>
    <row r="254" spans="1:13" x14ac:dyDescent="0.4">
      <c r="A254"/>
      <c r="B254"/>
      <c r="C254"/>
      <c r="D254"/>
      <c r="E254"/>
      <c r="F254"/>
      <c r="G254"/>
      <c r="H254"/>
      <c r="I254"/>
      <c r="J254"/>
      <c r="K254"/>
      <c r="L254"/>
      <c r="M254"/>
    </row>
    <row r="255" spans="1:13" x14ac:dyDescent="0.4">
      <c r="A255"/>
      <c r="B255"/>
      <c r="C255"/>
      <c r="D255"/>
      <c r="E255"/>
      <c r="F255"/>
      <c r="G255"/>
      <c r="H255"/>
      <c r="I255"/>
      <c r="J255"/>
      <c r="K255"/>
      <c r="L255"/>
      <c r="M255"/>
    </row>
    <row r="256" spans="1:13" x14ac:dyDescent="0.4">
      <c r="A256"/>
      <c r="B256"/>
      <c r="C256"/>
      <c r="D256"/>
      <c r="E256"/>
      <c r="F256"/>
      <c r="G256"/>
      <c r="H256"/>
      <c r="I256"/>
      <c r="J256"/>
      <c r="K256"/>
      <c r="L256"/>
      <c r="M256"/>
    </row>
    <row r="257" spans="1:13" x14ac:dyDescent="0.4">
      <c r="A257"/>
      <c r="B257"/>
      <c r="C257"/>
      <c r="D257"/>
      <c r="E257"/>
      <c r="F257"/>
      <c r="G257"/>
      <c r="H257"/>
      <c r="I257"/>
      <c r="J257"/>
      <c r="K257"/>
      <c r="L257"/>
      <c r="M257"/>
    </row>
    <row r="258" spans="1:13" x14ac:dyDescent="0.4">
      <c r="A258"/>
      <c r="B258"/>
      <c r="C258"/>
      <c r="D258"/>
      <c r="E258"/>
      <c r="F258"/>
      <c r="G258"/>
      <c r="H258"/>
      <c r="I258"/>
      <c r="J258"/>
      <c r="K258"/>
      <c r="L258"/>
      <c r="M258"/>
    </row>
    <row r="259" spans="1:13" x14ac:dyDescent="0.4">
      <c r="A259"/>
      <c r="B259"/>
      <c r="C259"/>
      <c r="D259"/>
      <c r="E259"/>
      <c r="F259"/>
      <c r="G259"/>
      <c r="H259"/>
      <c r="I259"/>
      <c r="J259"/>
      <c r="K259"/>
      <c r="L259"/>
      <c r="M259"/>
    </row>
    <row r="260" spans="1:13" x14ac:dyDescent="0.4">
      <c r="A260"/>
      <c r="B260"/>
      <c r="C260"/>
      <c r="D260"/>
      <c r="E260"/>
      <c r="F260"/>
      <c r="G260"/>
      <c r="H260"/>
      <c r="I260"/>
      <c r="J260"/>
      <c r="K260"/>
      <c r="L260"/>
      <c r="M260"/>
    </row>
    <row r="261" spans="1:13" x14ac:dyDescent="0.4">
      <c r="A261"/>
      <c r="B261"/>
      <c r="C261"/>
      <c r="D261"/>
      <c r="E261"/>
      <c r="F261"/>
      <c r="G261"/>
      <c r="H261"/>
      <c r="I261"/>
      <c r="J261"/>
      <c r="K261"/>
      <c r="L261"/>
      <c r="M261"/>
    </row>
    <row r="262" spans="1:13" x14ac:dyDescent="0.4">
      <c r="A262"/>
      <c r="B262"/>
      <c r="C262"/>
      <c r="D262"/>
      <c r="E262"/>
      <c r="F262"/>
      <c r="G262"/>
      <c r="H262"/>
      <c r="I262"/>
      <c r="J262"/>
      <c r="K262"/>
      <c r="L262"/>
      <c r="M262"/>
    </row>
    <row r="263" spans="1:13" x14ac:dyDescent="0.4">
      <c r="A263"/>
      <c r="B263"/>
      <c r="C263"/>
      <c r="D263"/>
      <c r="E263"/>
      <c r="F263"/>
      <c r="G263"/>
      <c r="H263"/>
      <c r="I263"/>
      <c r="J263"/>
      <c r="K263"/>
      <c r="L263"/>
      <c r="M263"/>
    </row>
    <row r="264" spans="1:13" x14ac:dyDescent="0.4">
      <c r="A264"/>
      <c r="B264"/>
      <c r="C264"/>
      <c r="D264"/>
      <c r="E264"/>
      <c r="F264"/>
      <c r="G264"/>
      <c r="H264"/>
      <c r="I264"/>
      <c r="J264"/>
      <c r="K264"/>
      <c r="L264"/>
      <c r="M264"/>
    </row>
    <row r="265" spans="1:13" x14ac:dyDescent="0.4">
      <c r="A265"/>
      <c r="B265"/>
      <c r="C265"/>
      <c r="D265"/>
      <c r="E265"/>
      <c r="F265"/>
      <c r="G265"/>
      <c r="H265"/>
      <c r="I265"/>
      <c r="J265"/>
      <c r="K265"/>
      <c r="L265"/>
      <c r="M265"/>
    </row>
    <row r="266" spans="1:13" x14ac:dyDescent="0.4">
      <c r="A266"/>
      <c r="B266"/>
      <c r="C266"/>
      <c r="D266"/>
      <c r="E266"/>
      <c r="F266"/>
      <c r="G266"/>
      <c r="H266"/>
      <c r="I266"/>
      <c r="J266"/>
      <c r="K266"/>
      <c r="L266"/>
      <c r="M266"/>
    </row>
    <row r="267" spans="1:13" x14ac:dyDescent="0.4">
      <c r="A267"/>
      <c r="B267"/>
      <c r="C267"/>
      <c r="D267"/>
      <c r="E267"/>
      <c r="F267"/>
      <c r="G267"/>
      <c r="H267"/>
      <c r="I267"/>
      <c r="J267"/>
      <c r="K267"/>
      <c r="L267"/>
      <c r="M267"/>
    </row>
    <row r="268" spans="1:13" x14ac:dyDescent="0.4">
      <c r="A268"/>
      <c r="B268"/>
      <c r="C268"/>
      <c r="D268"/>
      <c r="E268"/>
      <c r="F268"/>
      <c r="G268"/>
      <c r="H268"/>
      <c r="I268"/>
      <c r="J268"/>
      <c r="K268"/>
      <c r="L268"/>
      <c r="M268"/>
    </row>
    <row r="269" spans="1:13" x14ac:dyDescent="0.4">
      <c r="A269"/>
      <c r="B269"/>
      <c r="C269"/>
      <c r="D269"/>
      <c r="E269"/>
      <c r="F269"/>
      <c r="G269"/>
      <c r="H269"/>
      <c r="I269"/>
      <c r="J269"/>
      <c r="K269"/>
      <c r="L269"/>
      <c r="M269"/>
    </row>
    <row r="270" spans="1:13" x14ac:dyDescent="0.4">
      <c r="A270"/>
      <c r="B270"/>
      <c r="C270"/>
      <c r="D270"/>
      <c r="E270"/>
      <c r="F270"/>
      <c r="G270"/>
      <c r="H270"/>
      <c r="I270"/>
      <c r="J270"/>
      <c r="K270"/>
      <c r="L270"/>
      <c r="M270"/>
    </row>
    <row r="271" spans="1:13" x14ac:dyDescent="0.4">
      <c r="A271"/>
      <c r="B271"/>
      <c r="C271"/>
      <c r="D271"/>
      <c r="E271"/>
      <c r="F271"/>
      <c r="G271"/>
      <c r="H271"/>
      <c r="I271"/>
      <c r="J271"/>
      <c r="K271"/>
      <c r="L271"/>
      <c r="M271"/>
    </row>
    <row r="272" spans="1:13" x14ac:dyDescent="0.4">
      <c r="A272"/>
      <c r="B272"/>
      <c r="C272"/>
      <c r="D272"/>
      <c r="E272"/>
      <c r="F272"/>
      <c r="G272"/>
      <c r="H272"/>
      <c r="I272"/>
      <c r="J272"/>
      <c r="K272"/>
      <c r="L272"/>
      <c r="M272"/>
    </row>
    <row r="273" spans="1:13" x14ac:dyDescent="0.4">
      <c r="A273"/>
      <c r="B273"/>
      <c r="C273"/>
      <c r="D273"/>
      <c r="E273"/>
      <c r="F273"/>
      <c r="G273"/>
      <c r="H273"/>
      <c r="I273"/>
      <c r="J273"/>
      <c r="K273"/>
      <c r="L273"/>
      <c r="M273"/>
    </row>
    <row r="274" spans="1:13" x14ac:dyDescent="0.4">
      <c r="A274"/>
      <c r="B274"/>
      <c r="C274"/>
      <c r="D274"/>
      <c r="E274"/>
      <c r="F274"/>
      <c r="G274"/>
      <c r="H274"/>
      <c r="I274"/>
      <c r="J274"/>
      <c r="K274"/>
      <c r="L274"/>
      <c r="M274"/>
    </row>
    <row r="275" spans="1:13" x14ac:dyDescent="0.4">
      <c r="A275"/>
      <c r="B275"/>
      <c r="C275"/>
      <c r="D275"/>
      <c r="E275"/>
      <c r="F275"/>
      <c r="G275"/>
      <c r="H275"/>
      <c r="I275"/>
      <c r="J275"/>
      <c r="K275"/>
      <c r="L275"/>
      <c r="M275"/>
    </row>
    <row r="276" spans="1:13" x14ac:dyDescent="0.4">
      <c r="A276"/>
      <c r="B276"/>
      <c r="C276"/>
      <c r="D276"/>
      <c r="E276"/>
      <c r="F276"/>
      <c r="G276"/>
      <c r="H276"/>
      <c r="I276"/>
      <c r="J276"/>
      <c r="K276"/>
      <c r="L276"/>
      <c r="M276"/>
    </row>
    <row r="277" spans="1:13" x14ac:dyDescent="0.4">
      <c r="A277"/>
      <c r="B277"/>
      <c r="C277"/>
      <c r="D277"/>
      <c r="E277"/>
      <c r="F277"/>
      <c r="G277"/>
      <c r="H277"/>
      <c r="I277"/>
      <c r="J277"/>
      <c r="K277"/>
      <c r="L277"/>
      <c r="M277"/>
    </row>
    <row r="278" spans="1:13" x14ac:dyDescent="0.4">
      <c r="A278"/>
      <c r="B278"/>
      <c r="C278"/>
      <c r="D278"/>
      <c r="E278"/>
      <c r="F278"/>
      <c r="G278"/>
      <c r="H278"/>
      <c r="I278"/>
      <c r="J278"/>
      <c r="K278"/>
      <c r="L278"/>
      <c r="M278"/>
    </row>
    <row r="279" spans="1:13" x14ac:dyDescent="0.4">
      <c r="A279"/>
      <c r="B279"/>
      <c r="C279"/>
      <c r="D279"/>
      <c r="E279"/>
      <c r="F279"/>
      <c r="G279"/>
      <c r="H279"/>
      <c r="I279"/>
      <c r="J279"/>
      <c r="K279"/>
      <c r="L279"/>
      <c r="M279"/>
    </row>
    <row r="280" spans="1:13" x14ac:dyDescent="0.4">
      <c r="A280"/>
      <c r="B280"/>
      <c r="C280"/>
      <c r="D280"/>
      <c r="E280"/>
      <c r="F280"/>
      <c r="G280"/>
      <c r="H280"/>
      <c r="I280"/>
      <c r="J280"/>
      <c r="K280"/>
      <c r="L280"/>
      <c r="M280"/>
    </row>
    <row r="281" spans="1:13" x14ac:dyDescent="0.4">
      <c r="A281"/>
      <c r="B281"/>
      <c r="C281"/>
      <c r="D281"/>
      <c r="E281"/>
      <c r="F281"/>
      <c r="G281"/>
      <c r="H281"/>
      <c r="I281"/>
      <c r="J281"/>
      <c r="K281"/>
      <c r="L281"/>
      <c r="M281"/>
    </row>
    <row r="282" spans="1:13" x14ac:dyDescent="0.4">
      <c r="A282"/>
      <c r="B282"/>
      <c r="C282"/>
      <c r="D282"/>
      <c r="E282"/>
      <c r="F282"/>
      <c r="G282"/>
      <c r="H282"/>
      <c r="I282"/>
      <c r="J282"/>
      <c r="K282"/>
      <c r="L282"/>
      <c r="M282"/>
    </row>
    <row r="283" spans="1:13" x14ac:dyDescent="0.4">
      <c r="A283"/>
      <c r="B283"/>
      <c r="C283"/>
      <c r="D283"/>
      <c r="E283"/>
      <c r="F283"/>
      <c r="G283"/>
      <c r="H283"/>
      <c r="I283"/>
      <c r="J283"/>
      <c r="K283"/>
      <c r="L283"/>
      <c r="M283"/>
    </row>
    <row r="284" spans="1:13" x14ac:dyDescent="0.4">
      <c r="A284"/>
      <c r="B284"/>
      <c r="C284"/>
      <c r="D284"/>
      <c r="E284"/>
      <c r="F284"/>
      <c r="G284"/>
      <c r="H284"/>
      <c r="I284"/>
      <c r="J284"/>
      <c r="K284"/>
      <c r="L284"/>
      <c r="M284"/>
    </row>
    <row r="285" spans="1:13" x14ac:dyDescent="0.4">
      <c r="A285"/>
      <c r="B285"/>
      <c r="C285"/>
      <c r="D285"/>
      <c r="E285"/>
      <c r="F285"/>
      <c r="G285"/>
      <c r="H285"/>
      <c r="I285"/>
      <c r="J285"/>
      <c r="K285"/>
      <c r="L285"/>
      <c r="M285"/>
    </row>
    <row r="286" spans="1:13" x14ac:dyDescent="0.4">
      <c r="A286"/>
      <c r="B286"/>
      <c r="C286"/>
      <c r="D286"/>
      <c r="E286"/>
      <c r="F286"/>
      <c r="G286"/>
      <c r="H286"/>
      <c r="I286"/>
      <c r="J286"/>
      <c r="K286"/>
      <c r="L286"/>
      <c r="M286"/>
    </row>
    <row r="287" spans="1:13" x14ac:dyDescent="0.4">
      <c r="A287"/>
      <c r="B287"/>
      <c r="C287"/>
      <c r="D287"/>
      <c r="E287"/>
      <c r="F287"/>
      <c r="G287"/>
      <c r="H287"/>
      <c r="I287"/>
      <c r="J287"/>
      <c r="K287"/>
      <c r="L287"/>
      <c r="M287"/>
    </row>
    <row r="288" spans="1:13" x14ac:dyDescent="0.4">
      <c r="A288"/>
      <c r="B288"/>
      <c r="C288"/>
      <c r="D288"/>
      <c r="E288"/>
      <c r="F288"/>
      <c r="G288"/>
      <c r="H288"/>
      <c r="I288"/>
      <c r="J288"/>
      <c r="K288"/>
      <c r="L288"/>
      <c r="M288"/>
    </row>
    <row r="289" spans="1:13" x14ac:dyDescent="0.4">
      <c r="A289"/>
      <c r="B289"/>
      <c r="C289"/>
      <c r="D289"/>
      <c r="E289"/>
      <c r="F289"/>
      <c r="G289"/>
      <c r="H289"/>
      <c r="I289"/>
      <c r="J289"/>
      <c r="K289"/>
      <c r="L289"/>
      <c r="M289"/>
    </row>
    <row r="290" spans="1:13" x14ac:dyDescent="0.4">
      <c r="A290"/>
      <c r="B290"/>
      <c r="C290"/>
      <c r="D290"/>
      <c r="E290"/>
      <c r="F290"/>
      <c r="G290"/>
      <c r="H290"/>
      <c r="I290"/>
      <c r="J290"/>
      <c r="K290"/>
      <c r="L290"/>
      <c r="M290"/>
    </row>
    <row r="291" spans="1:13" x14ac:dyDescent="0.4">
      <c r="A291"/>
      <c r="B291"/>
      <c r="C291"/>
      <c r="D291"/>
      <c r="E291"/>
      <c r="F291"/>
      <c r="G291"/>
      <c r="H291"/>
      <c r="I291"/>
      <c r="J291"/>
      <c r="K291"/>
      <c r="L291"/>
      <c r="M291"/>
    </row>
    <row r="292" spans="1:13" x14ac:dyDescent="0.4">
      <c r="A292"/>
      <c r="B292"/>
      <c r="C292"/>
      <c r="D292"/>
      <c r="E292"/>
      <c r="F292"/>
      <c r="G292"/>
      <c r="H292"/>
      <c r="I292"/>
      <c r="J292"/>
      <c r="K292"/>
      <c r="L292"/>
      <c r="M292"/>
    </row>
    <row r="293" spans="1:13" x14ac:dyDescent="0.4">
      <c r="A293"/>
      <c r="B293"/>
      <c r="C293"/>
      <c r="D293"/>
      <c r="E293"/>
      <c r="F293"/>
      <c r="G293"/>
      <c r="H293"/>
      <c r="I293"/>
      <c r="J293"/>
      <c r="K293"/>
      <c r="L293"/>
      <c r="M293"/>
    </row>
    <row r="294" spans="1:13" x14ac:dyDescent="0.4">
      <c r="A294"/>
      <c r="B294"/>
      <c r="C294"/>
      <c r="D294"/>
      <c r="E294"/>
      <c r="F294"/>
      <c r="G294"/>
      <c r="H294"/>
      <c r="I294"/>
      <c r="J294"/>
      <c r="K294"/>
      <c r="L294"/>
      <c r="M294"/>
    </row>
    <row r="295" spans="1:13" x14ac:dyDescent="0.4">
      <c r="A295"/>
      <c r="B295"/>
      <c r="C295"/>
      <c r="D295"/>
      <c r="E295"/>
      <c r="F295"/>
      <c r="G295"/>
      <c r="H295"/>
      <c r="I295"/>
      <c r="J295"/>
      <c r="K295"/>
      <c r="L295"/>
      <c r="M295"/>
    </row>
    <row r="296" spans="1:13" x14ac:dyDescent="0.4">
      <c r="A296"/>
      <c r="B296"/>
      <c r="C296"/>
      <c r="D296"/>
      <c r="E296"/>
      <c r="F296"/>
      <c r="G296"/>
      <c r="H296"/>
      <c r="I296"/>
      <c r="J296"/>
      <c r="K296"/>
      <c r="L296"/>
      <c r="M296"/>
    </row>
    <row r="297" spans="1:13" x14ac:dyDescent="0.4">
      <c r="A297"/>
      <c r="B297"/>
      <c r="C297"/>
      <c r="D297"/>
      <c r="E297"/>
      <c r="F297"/>
      <c r="G297"/>
      <c r="H297"/>
      <c r="I297"/>
      <c r="J297"/>
      <c r="K297"/>
      <c r="L297"/>
      <c r="M297"/>
    </row>
    <row r="298" spans="1:13" x14ac:dyDescent="0.4">
      <c r="A298"/>
      <c r="B298"/>
      <c r="C298"/>
      <c r="D298"/>
      <c r="E298"/>
      <c r="F298"/>
      <c r="G298"/>
      <c r="H298"/>
      <c r="I298"/>
      <c r="J298"/>
      <c r="K298"/>
      <c r="L298"/>
      <c r="M298"/>
    </row>
    <row r="299" spans="1:13" x14ac:dyDescent="0.4">
      <c r="A299"/>
      <c r="B299"/>
      <c r="C299"/>
      <c r="D299"/>
      <c r="E299"/>
      <c r="F299"/>
      <c r="G299"/>
      <c r="H299"/>
      <c r="I299"/>
      <c r="J299"/>
      <c r="K299"/>
      <c r="L299"/>
      <c r="M299"/>
    </row>
    <row r="300" spans="1:13" x14ac:dyDescent="0.4">
      <c r="A300"/>
      <c r="B300"/>
      <c r="C300"/>
      <c r="D300"/>
      <c r="E300"/>
      <c r="F300"/>
      <c r="G300"/>
      <c r="H300"/>
      <c r="I300"/>
      <c r="J300"/>
      <c r="K300"/>
      <c r="L300"/>
      <c r="M300"/>
    </row>
    <row r="301" spans="1:13" x14ac:dyDescent="0.4">
      <c r="A301"/>
      <c r="B301"/>
      <c r="C301"/>
      <c r="D301"/>
      <c r="E301"/>
      <c r="F301"/>
      <c r="G301"/>
      <c r="H301"/>
      <c r="I301"/>
      <c r="J301"/>
      <c r="K301"/>
      <c r="L301"/>
      <c r="M301"/>
    </row>
    <row r="302" spans="1:13" x14ac:dyDescent="0.4">
      <c r="A302"/>
      <c r="B302"/>
      <c r="C302"/>
      <c r="D302"/>
      <c r="E302"/>
      <c r="F302"/>
      <c r="G302"/>
      <c r="H302"/>
      <c r="I302"/>
      <c r="J302"/>
      <c r="K302"/>
      <c r="L302"/>
      <c r="M302"/>
    </row>
    <row r="303" spans="1:13" x14ac:dyDescent="0.4">
      <c r="A303"/>
      <c r="B303"/>
      <c r="C303"/>
      <c r="D303"/>
      <c r="E303"/>
      <c r="F303"/>
      <c r="G303"/>
      <c r="H303"/>
      <c r="I303"/>
      <c r="J303"/>
      <c r="K303"/>
      <c r="L303"/>
      <c r="M303"/>
    </row>
    <row r="304" spans="1:13" x14ac:dyDescent="0.4">
      <c r="A304"/>
      <c r="B304"/>
      <c r="C304"/>
      <c r="D304"/>
      <c r="E304"/>
      <c r="F304"/>
      <c r="G304"/>
      <c r="H304"/>
      <c r="I304"/>
      <c r="J304"/>
      <c r="K304"/>
      <c r="L304"/>
      <c r="M304"/>
    </row>
    <row r="305" spans="1:13" x14ac:dyDescent="0.4">
      <c r="A305"/>
      <c r="B305"/>
      <c r="C305"/>
      <c r="D305"/>
      <c r="E305"/>
      <c r="F305"/>
      <c r="G305"/>
      <c r="H305"/>
      <c r="I305"/>
      <c r="J305"/>
      <c r="K305"/>
      <c r="L305"/>
      <c r="M305"/>
    </row>
    <row r="306" spans="1:13" x14ac:dyDescent="0.4">
      <c r="A306"/>
      <c r="B306"/>
      <c r="C306"/>
      <c r="D306"/>
      <c r="E306"/>
      <c r="F306"/>
      <c r="G306"/>
      <c r="H306"/>
      <c r="I306"/>
      <c r="J306"/>
      <c r="K306"/>
      <c r="L306"/>
      <c r="M306"/>
    </row>
    <row r="307" spans="1:13" x14ac:dyDescent="0.4">
      <c r="A307"/>
      <c r="B307"/>
      <c r="C307"/>
      <c r="D307"/>
      <c r="E307"/>
      <c r="F307"/>
      <c r="G307"/>
      <c r="H307"/>
      <c r="I307"/>
      <c r="J307"/>
      <c r="K307"/>
      <c r="L307"/>
      <c r="M307"/>
    </row>
    <row r="308" spans="1:13" x14ac:dyDescent="0.4">
      <c r="A308"/>
      <c r="B308"/>
      <c r="C308"/>
      <c r="D308"/>
      <c r="E308"/>
      <c r="F308"/>
      <c r="G308"/>
      <c r="H308"/>
      <c r="I308"/>
      <c r="J308"/>
      <c r="K308"/>
      <c r="L308"/>
      <c r="M308"/>
    </row>
    <row r="309" spans="1:13" x14ac:dyDescent="0.4">
      <c r="A309"/>
      <c r="B309"/>
      <c r="C309"/>
      <c r="D309"/>
      <c r="E309"/>
      <c r="F309"/>
      <c r="G309"/>
      <c r="H309"/>
      <c r="I309"/>
      <c r="J309"/>
      <c r="K309"/>
      <c r="L309"/>
      <c r="M309"/>
    </row>
    <row r="310" spans="1:13" x14ac:dyDescent="0.4">
      <c r="A310"/>
      <c r="B310"/>
      <c r="C310"/>
      <c r="D310"/>
      <c r="E310"/>
      <c r="F310"/>
      <c r="G310"/>
      <c r="H310"/>
      <c r="I310"/>
      <c r="J310"/>
      <c r="K310"/>
      <c r="L310"/>
      <c r="M310"/>
    </row>
    <row r="311" spans="1:13" x14ac:dyDescent="0.4">
      <c r="A311"/>
      <c r="B311"/>
      <c r="C311"/>
      <c r="D311"/>
      <c r="E311"/>
      <c r="F311"/>
      <c r="G311"/>
      <c r="H311"/>
      <c r="I311"/>
      <c r="J311"/>
      <c r="K311"/>
      <c r="L311"/>
      <c r="M311"/>
    </row>
    <row r="312" spans="1:13" x14ac:dyDescent="0.4">
      <c r="A312"/>
      <c r="B312"/>
      <c r="C312"/>
      <c r="D312"/>
      <c r="E312"/>
      <c r="F312"/>
      <c r="G312"/>
      <c r="H312"/>
      <c r="I312"/>
      <c r="J312"/>
      <c r="K312"/>
      <c r="L312"/>
      <c r="M312"/>
    </row>
    <row r="313" spans="1:13" x14ac:dyDescent="0.4">
      <c r="A313"/>
      <c r="B313"/>
      <c r="C313"/>
      <c r="D313"/>
      <c r="E313"/>
      <c r="F313"/>
      <c r="G313"/>
      <c r="H313"/>
      <c r="I313"/>
      <c r="J313"/>
      <c r="K313"/>
      <c r="L313"/>
      <c r="M313"/>
    </row>
    <row r="314" spans="1:13" x14ac:dyDescent="0.4">
      <c r="A314"/>
      <c r="B314"/>
      <c r="C314"/>
      <c r="D314"/>
      <c r="E314"/>
      <c r="F314"/>
      <c r="G314"/>
      <c r="H314"/>
      <c r="I314"/>
      <c r="J314"/>
      <c r="K314"/>
      <c r="L314"/>
      <c r="M314"/>
    </row>
    <row r="315" spans="1:13" x14ac:dyDescent="0.4">
      <c r="A315"/>
      <c r="B315"/>
      <c r="C315"/>
      <c r="D315"/>
      <c r="E315"/>
      <c r="F315"/>
      <c r="G315"/>
      <c r="H315"/>
      <c r="I315"/>
      <c r="J315"/>
      <c r="K315"/>
      <c r="L315"/>
      <c r="M315"/>
    </row>
    <row r="316" spans="1:13" x14ac:dyDescent="0.4">
      <c r="A316"/>
      <c r="B316"/>
      <c r="C316"/>
      <c r="D316"/>
      <c r="E316"/>
      <c r="F316"/>
      <c r="G316"/>
      <c r="H316"/>
      <c r="I316"/>
      <c r="J316"/>
      <c r="K316"/>
      <c r="L316"/>
      <c r="M316"/>
    </row>
    <row r="317" spans="1:13" x14ac:dyDescent="0.4">
      <c r="A317"/>
      <c r="B317"/>
      <c r="C317"/>
      <c r="D317"/>
      <c r="E317"/>
      <c r="F317"/>
      <c r="G317"/>
      <c r="H317"/>
      <c r="I317"/>
      <c r="J317"/>
      <c r="K317"/>
      <c r="L317"/>
      <c r="M317"/>
    </row>
    <row r="318" spans="1:13" x14ac:dyDescent="0.4">
      <c r="A318"/>
      <c r="B318"/>
      <c r="C318"/>
      <c r="D318"/>
      <c r="E318"/>
      <c r="F318"/>
      <c r="G318"/>
      <c r="H318"/>
      <c r="I318"/>
      <c r="J318"/>
      <c r="K318"/>
      <c r="L318"/>
      <c r="M318"/>
    </row>
    <row r="319" spans="1:13" x14ac:dyDescent="0.4">
      <c r="A319"/>
      <c r="B319"/>
      <c r="C319"/>
      <c r="D319"/>
      <c r="E319"/>
      <c r="F319"/>
      <c r="G319"/>
      <c r="H319"/>
      <c r="I319"/>
      <c r="J319"/>
      <c r="K319"/>
      <c r="L319"/>
      <c r="M319"/>
    </row>
    <row r="320" spans="1:13" x14ac:dyDescent="0.4">
      <c r="A320"/>
      <c r="B320"/>
      <c r="C320"/>
      <c r="D320"/>
      <c r="E320"/>
      <c r="F320"/>
      <c r="G320"/>
      <c r="H320"/>
      <c r="I320"/>
      <c r="J320"/>
      <c r="K320"/>
      <c r="L320"/>
      <c r="M320"/>
    </row>
    <row r="321" spans="1:13" x14ac:dyDescent="0.4">
      <c r="A321"/>
      <c r="B321"/>
      <c r="C321"/>
      <c r="D321"/>
      <c r="E321"/>
      <c r="F321"/>
      <c r="G321"/>
      <c r="H321"/>
      <c r="I321"/>
      <c r="J321"/>
      <c r="K321"/>
      <c r="L321"/>
      <c r="M321"/>
    </row>
    <row r="322" spans="1:13" x14ac:dyDescent="0.4">
      <c r="A322"/>
      <c r="B322"/>
      <c r="C322"/>
      <c r="D322"/>
      <c r="E322"/>
      <c r="F322"/>
      <c r="G322"/>
      <c r="H322"/>
      <c r="I322"/>
      <c r="J322"/>
      <c r="K322"/>
      <c r="L322"/>
      <c r="M322"/>
    </row>
    <row r="323" spans="1:13" x14ac:dyDescent="0.4">
      <c r="A323"/>
      <c r="B323"/>
      <c r="C323"/>
      <c r="D323"/>
      <c r="E323"/>
      <c r="F323"/>
      <c r="G323"/>
      <c r="H323"/>
      <c r="I323"/>
      <c r="J323"/>
      <c r="K323"/>
      <c r="L323"/>
      <c r="M323"/>
    </row>
    <row r="324" spans="1:13" x14ac:dyDescent="0.4">
      <c r="A324"/>
      <c r="B324"/>
      <c r="C324"/>
      <c r="D324"/>
      <c r="E324"/>
      <c r="F324"/>
      <c r="G324"/>
      <c r="H324"/>
      <c r="I324"/>
      <c r="J324"/>
      <c r="K324"/>
      <c r="L324"/>
      <c r="M324"/>
    </row>
    <row r="325" spans="1:13" x14ac:dyDescent="0.4">
      <c r="A325"/>
      <c r="B325"/>
      <c r="C325"/>
      <c r="D325"/>
      <c r="E325"/>
      <c r="F325"/>
      <c r="G325"/>
      <c r="H325"/>
      <c r="I325"/>
      <c r="J325"/>
      <c r="K325"/>
      <c r="L325"/>
      <c r="M325"/>
    </row>
    <row r="326" spans="1:13" x14ac:dyDescent="0.4">
      <c r="A326"/>
      <c r="B326"/>
      <c r="C326"/>
      <c r="D326"/>
      <c r="E326"/>
      <c r="F326"/>
      <c r="G326"/>
      <c r="H326"/>
      <c r="I326"/>
      <c r="J326"/>
      <c r="K326"/>
      <c r="L326"/>
      <c r="M326"/>
    </row>
    <row r="327" spans="1:13" x14ac:dyDescent="0.4">
      <c r="A327"/>
      <c r="B327"/>
      <c r="C327"/>
      <c r="D327"/>
      <c r="E327"/>
      <c r="F327"/>
      <c r="G327"/>
      <c r="H327"/>
      <c r="I327"/>
      <c r="J327"/>
      <c r="K327"/>
      <c r="L327"/>
      <c r="M327"/>
    </row>
    <row r="328" spans="1:13" x14ac:dyDescent="0.4">
      <c r="A328"/>
      <c r="B328"/>
      <c r="C328"/>
      <c r="D328"/>
      <c r="E328"/>
      <c r="F328"/>
      <c r="G328"/>
      <c r="H328"/>
      <c r="I328"/>
      <c r="J328"/>
      <c r="K328"/>
      <c r="L328"/>
      <c r="M328"/>
    </row>
    <row r="329" spans="1:13" x14ac:dyDescent="0.4">
      <c r="A329"/>
      <c r="B329"/>
      <c r="C329"/>
      <c r="D329"/>
      <c r="E329"/>
      <c r="F329"/>
      <c r="G329"/>
      <c r="H329"/>
      <c r="I329"/>
      <c r="J329"/>
      <c r="K329"/>
      <c r="L329"/>
      <c r="M329"/>
    </row>
    <row r="330" spans="1:13" x14ac:dyDescent="0.4">
      <c r="A330"/>
      <c r="B330"/>
      <c r="C330"/>
      <c r="D330"/>
      <c r="E330"/>
      <c r="F330"/>
      <c r="G330"/>
      <c r="H330"/>
      <c r="I330"/>
      <c r="J330"/>
      <c r="K330"/>
      <c r="L330"/>
      <c r="M330"/>
    </row>
    <row r="331" spans="1:13" x14ac:dyDescent="0.4">
      <c r="A331"/>
      <c r="B331"/>
      <c r="C331"/>
      <c r="D331"/>
      <c r="E331"/>
      <c r="F331"/>
      <c r="G331"/>
      <c r="H331"/>
      <c r="I331"/>
      <c r="J331"/>
      <c r="K331"/>
      <c r="L331"/>
      <c r="M331"/>
    </row>
    <row r="332" spans="1:13" x14ac:dyDescent="0.4">
      <c r="A332"/>
      <c r="B332"/>
      <c r="C332"/>
      <c r="D332"/>
      <c r="E332"/>
      <c r="F332"/>
      <c r="G332"/>
      <c r="H332"/>
      <c r="I332"/>
      <c r="J332"/>
      <c r="K332"/>
      <c r="L332"/>
      <c r="M332"/>
    </row>
    <row r="333" spans="1:13" x14ac:dyDescent="0.4">
      <c r="A333"/>
      <c r="B333"/>
      <c r="C333"/>
      <c r="D333"/>
      <c r="E333"/>
      <c r="F333"/>
      <c r="G333"/>
      <c r="H333"/>
      <c r="I333"/>
      <c r="J333"/>
      <c r="K333"/>
      <c r="L333"/>
      <c r="M333"/>
    </row>
    <row r="334" spans="1:13" x14ac:dyDescent="0.4">
      <c r="A334"/>
      <c r="B334"/>
      <c r="C334"/>
      <c r="D334"/>
      <c r="E334"/>
      <c r="F334"/>
      <c r="G334"/>
      <c r="H334"/>
      <c r="I334"/>
      <c r="J334"/>
      <c r="K334"/>
      <c r="L334"/>
      <c r="M334"/>
    </row>
    <row r="335" spans="1:13" x14ac:dyDescent="0.4">
      <c r="A335"/>
      <c r="B335"/>
      <c r="C335"/>
      <c r="D335"/>
      <c r="E335"/>
      <c r="F335"/>
      <c r="G335"/>
      <c r="H335"/>
      <c r="I335"/>
      <c r="J335"/>
      <c r="K335"/>
      <c r="L335"/>
      <c r="M335"/>
    </row>
    <row r="336" spans="1:13" x14ac:dyDescent="0.4">
      <c r="A336"/>
      <c r="B336"/>
      <c r="C336"/>
      <c r="D336"/>
      <c r="E336"/>
      <c r="F336"/>
      <c r="G336"/>
      <c r="H336"/>
      <c r="I336"/>
      <c r="J336"/>
      <c r="K336"/>
      <c r="L336"/>
      <c r="M336"/>
    </row>
    <row r="337" spans="1:13" x14ac:dyDescent="0.4">
      <c r="A337"/>
      <c r="B337"/>
      <c r="C337"/>
      <c r="D337"/>
      <c r="E337"/>
      <c r="F337"/>
      <c r="G337"/>
      <c r="H337"/>
      <c r="I337"/>
      <c r="J337"/>
      <c r="K337"/>
      <c r="L337"/>
      <c r="M337"/>
    </row>
    <row r="338" spans="1:13" x14ac:dyDescent="0.4">
      <c r="A338"/>
      <c r="B338"/>
      <c r="C338"/>
      <c r="D338"/>
      <c r="E338"/>
      <c r="F338"/>
      <c r="G338"/>
      <c r="H338"/>
      <c r="I338"/>
      <c r="J338"/>
      <c r="K338"/>
      <c r="L338"/>
      <c r="M338"/>
    </row>
    <row r="339" spans="1:13" x14ac:dyDescent="0.4">
      <c r="A339"/>
      <c r="B339"/>
      <c r="C339"/>
      <c r="D339"/>
      <c r="E339"/>
      <c r="F339"/>
      <c r="G339"/>
      <c r="H339"/>
      <c r="I339"/>
      <c r="J339"/>
      <c r="K339"/>
      <c r="L339"/>
      <c r="M339"/>
    </row>
    <row r="340" spans="1:13" x14ac:dyDescent="0.4">
      <c r="A340"/>
      <c r="B340"/>
      <c r="C340"/>
      <c r="D340"/>
      <c r="E340"/>
      <c r="F340"/>
      <c r="G340"/>
      <c r="H340"/>
      <c r="I340"/>
      <c r="J340"/>
      <c r="K340"/>
      <c r="L340"/>
      <c r="M340"/>
    </row>
    <row r="341" spans="1:13" x14ac:dyDescent="0.4">
      <c r="A341"/>
      <c r="B341"/>
      <c r="C341"/>
      <c r="D341"/>
      <c r="E341"/>
      <c r="F341"/>
      <c r="G341"/>
      <c r="H341"/>
      <c r="I341"/>
      <c r="J341"/>
      <c r="K341"/>
      <c r="L341"/>
      <c r="M341"/>
    </row>
    <row r="342" spans="1:13" x14ac:dyDescent="0.4">
      <c r="A342"/>
      <c r="B342"/>
      <c r="C342"/>
      <c r="D342"/>
      <c r="E342"/>
      <c r="F342"/>
      <c r="G342"/>
      <c r="H342"/>
      <c r="I342"/>
      <c r="J342"/>
      <c r="K342"/>
      <c r="L342"/>
      <c r="M342"/>
    </row>
    <row r="343" spans="1:13" x14ac:dyDescent="0.4">
      <c r="A343"/>
      <c r="B343"/>
      <c r="C343"/>
      <c r="D343"/>
      <c r="E343"/>
      <c r="F343"/>
      <c r="G343"/>
      <c r="H343"/>
      <c r="I343"/>
      <c r="J343"/>
      <c r="K343"/>
      <c r="L343"/>
      <c r="M343"/>
    </row>
    <row r="344" spans="1:13" x14ac:dyDescent="0.4">
      <c r="A344"/>
      <c r="B344"/>
      <c r="C344"/>
      <c r="D344"/>
      <c r="E344"/>
      <c r="F344"/>
      <c r="G344"/>
      <c r="H344"/>
      <c r="I344"/>
      <c r="J344"/>
      <c r="K344"/>
      <c r="L344"/>
      <c r="M344"/>
    </row>
    <row r="345" spans="1:13" x14ac:dyDescent="0.4">
      <c r="A345"/>
      <c r="B345"/>
      <c r="C345"/>
      <c r="D345"/>
      <c r="E345"/>
      <c r="F345"/>
      <c r="G345"/>
      <c r="H345"/>
      <c r="I345"/>
      <c r="J345"/>
      <c r="K345"/>
      <c r="L345"/>
      <c r="M345"/>
    </row>
    <row r="346" spans="1:13" x14ac:dyDescent="0.4">
      <c r="A346"/>
      <c r="B346"/>
      <c r="C346"/>
      <c r="D346"/>
      <c r="E346"/>
      <c r="F346"/>
      <c r="G346"/>
      <c r="H346"/>
      <c r="I346"/>
      <c r="J346"/>
      <c r="K346"/>
      <c r="L346"/>
      <c r="M346"/>
    </row>
    <row r="347" spans="1:13" x14ac:dyDescent="0.4">
      <c r="A347"/>
      <c r="B347"/>
      <c r="C347"/>
      <c r="D347"/>
      <c r="E347"/>
      <c r="F347"/>
      <c r="G347"/>
      <c r="H347"/>
      <c r="I347"/>
      <c r="J347"/>
      <c r="K347"/>
      <c r="L347"/>
      <c r="M347"/>
    </row>
    <row r="348" spans="1:13" x14ac:dyDescent="0.4">
      <c r="A348"/>
      <c r="B348"/>
      <c r="C348"/>
      <c r="D348"/>
      <c r="E348"/>
      <c r="F348"/>
      <c r="G348"/>
      <c r="H348"/>
      <c r="I348"/>
      <c r="J348"/>
      <c r="K348"/>
      <c r="L348"/>
      <c r="M348"/>
    </row>
    <row r="349" spans="1:13" x14ac:dyDescent="0.4">
      <c r="A349"/>
      <c r="B349"/>
      <c r="C349"/>
      <c r="D349"/>
      <c r="E349"/>
      <c r="F349"/>
      <c r="G349"/>
      <c r="H349"/>
      <c r="I349"/>
      <c r="J349"/>
      <c r="K349"/>
      <c r="L349"/>
      <c r="M349"/>
    </row>
    <row r="350" spans="1:13" x14ac:dyDescent="0.4">
      <c r="A350"/>
      <c r="B350"/>
      <c r="C350"/>
      <c r="D350"/>
      <c r="E350"/>
      <c r="F350"/>
      <c r="G350"/>
      <c r="H350"/>
      <c r="I350"/>
      <c r="J350"/>
      <c r="K350"/>
      <c r="L350"/>
      <c r="M350"/>
    </row>
    <row r="351" spans="1:13" x14ac:dyDescent="0.4">
      <c r="A351"/>
      <c r="B351"/>
      <c r="C351"/>
      <c r="D351"/>
      <c r="E351"/>
      <c r="F351"/>
      <c r="G351"/>
      <c r="H351"/>
      <c r="I351"/>
      <c r="J351"/>
      <c r="K351"/>
      <c r="L351"/>
      <c r="M351"/>
    </row>
    <row r="352" spans="1:13" x14ac:dyDescent="0.4">
      <c r="A352"/>
      <c r="B352"/>
      <c r="C352"/>
      <c r="D352"/>
      <c r="E352"/>
      <c r="F352"/>
      <c r="G352"/>
      <c r="H352"/>
      <c r="I352"/>
      <c r="J352"/>
      <c r="K352"/>
      <c r="L352"/>
      <c r="M352"/>
    </row>
    <row r="353" spans="1:13" x14ac:dyDescent="0.4">
      <c r="A353"/>
      <c r="B353"/>
      <c r="C353"/>
      <c r="D353"/>
      <c r="E353"/>
      <c r="F353"/>
      <c r="G353"/>
      <c r="H353"/>
      <c r="I353"/>
      <c r="J353"/>
      <c r="K353"/>
      <c r="L353"/>
      <c r="M353"/>
    </row>
    <row r="354" spans="1:13" x14ac:dyDescent="0.4">
      <c r="A354"/>
      <c r="B354"/>
      <c r="C354"/>
      <c r="D354"/>
      <c r="E354"/>
      <c r="F354"/>
      <c r="G354"/>
      <c r="H354"/>
      <c r="I354"/>
      <c r="J354"/>
      <c r="K354"/>
      <c r="L354"/>
      <c r="M354"/>
    </row>
    <row r="355" spans="1:13" x14ac:dyDescent="0.4">
      <c r="A355"/>
      <c r="B355"/>
      <c r="C355"/>
      <c r="D355"/>
      <c r="E355"/>
      <c r="F355"/>
      <c r="G355"/>
      <c r="H355"/>
      <c r="I355"/>
      <c r="J355"/>
      <c r="K355"/>
      <c r="L355"/>
      <c r="M355"/>
    </row>
    <row r="356" spans="1:13" x14ac:dyDescent="0.4">
      <c r="A356"/>
      <c r="B356"/>
      <c r="C356"/>
      <c r="D356"/>
      <c r="E356"/>
      <c r="F356"/>
      <c r="G356"/>
      <c r="H356"/>
      <c r="I356"/>
      <c r="J356"/>
      <c r="K356"/>
      <c r="L356"/>
      <c r="M356"/>
    </row>
    <row r="357" spans="1:13" x14ac:dyDescent="0.4">
      <c r="A357"/>
      <c r="B357"/>
      <c r="C357"/>
      <c r="D357"/>
      <c r="E357"/>
      <c r="F357"/>
      <c r="G357"/>
      <c r="H357"/>
      <c r="I357"/>
      <c r="J357"/>
      <c r="K357"/>
      <c r="L357"/>
      <c r="M357"/>
    </row>
    <row r="358" spans="1:13" x14ac:dyDescent="0.4">
      <c r="A358"/>
      <c r="B358"/>
      <c r="C358"/>
      <c r="D358"/>
      <c r="E358"/>
      <c r="F358"/>
      <c r="G358"/>
      <c r="H358"/>
      <c r="I358"/>
      <c r="J358"/>
      <c r="K358"/>
      <c r="L358"/>
      <c r="M358"/>
    </row>
    <row r="359" spans="1:13" x14ac:dyDescent="0.4">
      <c r="A359"/>
      <c r="B359"/>
      <c r="C359"/>
      <c r="D359"/>
      <c r="E359"/>
      <c r="F359"/>
      <c r="G359"/>
      <c r="H359"/>
      <c r="I359"/>
      <c r="J359"/>
      <c r="K359"/>
      <c r="L359"/>
      <c r="M359"/>
    </row>
    <row r="360" spans="1:13" x14ac:dyDescent="0.4">
      <c r="A360"/>
      <c r="B360"/>
      <c r="C360"/>
      <c r="D360"/>
      <c r="E360"/>
      <c r="F360"/>
      <c r="G360"/>
      <c r="H360"/>
      <c r="I360"/>
      <c r="J360"/>
      <c r="K360"/>
      <c r="L360"/>
      <c r="M360"/>
    </row>
    <row r="361" spans="1:13" x14ac:dyDescent="0.4">
      <c r="A361"/>
      <c r="B361"/>
      <c r="C361"/>
      <c r="D361"/>
      <c r="E361"/>
      <c r="F361"/>
      <c r="G361"/>
      <c r="H361"/>
      <c r="I361"/>
      <c r="J361"/>
      <c r="K361"/>
      <c r="L361"/>
      <c r="M361"/>
    </row>
    <row r="362" spans="1:13" x14ac:dyDescent="0.4">
      <c r="A362"/>
      <c r="B362"/>
      <c r="C362"/>
      <c r="D362"/>
      <c r="E362"/>
      <c r="F362"/>
      <c r="G362"/>
      <c r="H362"/>
      <c r="I362"/>
      <c r="J362"/>
      <c r="K362"/>
      <c r="L362"/>
      <c r="M362"/>
    </row>
    <row r="363" spans="1:13" x14ac:dyDescent="0.4">
      <c r="A363"/>
      <c r="B363"/>
      <c r="C363"/>
      <c r="D363"/>
      <c r="E363"/>
      <c r="F363"/>
      <c r="G363"/>
      <c r="H363"/>
      <c r="I363"/>
      <c r="J363"/>
      <c r="K363"/>
      <c r="L363"/>
      <c r="M363"/>
    </row>
    <row r="364" spans="1:13" x14ac:dyDescent="0.4">
      <c r="A364"/>
      <c r="B364"/>
      <c r="C364"/>
      <c r="D364"/>
      <c r="E364"/>
      <c r="F364"/>
      <c r="G364"/>
      <c r="H364"/>
      <c r="I364"/>
      <c r="J364"/>
      <c r="K364"/>
      <c r="L364"/>
      <c r="M364"/>
    </row>
    <row r="365" spans="1:13" x14ac:dyDescent="0.4">
      <c r="A365"/>
      <c r="B365"/>
      <c r="C365"/>
      <c r="D365"/>
      <c r="E365"/>
      <c r="F365"/>
      <c r="G365"/>
      <c r="H365"/>
      <c r="I365"/>
      <c r="J365"/>
      <c r="K365"/>
      <c r="L365"/>
      <c r="M365"/>
    </row>
    <row r="366" spans="1:13" x14ac:dyDescent="0.4">
      <c r="A366"/>
      <c r="B366"/>
      <c r="C366"/>
      <c r="D366"/>
      <c r="E366"/>
      <c r="F366"/>
      <c r="G366"/>
      <c r="H366"/>
      <c r="I366"/>
      <c r="J366"/>
      <c r="K366"/>
      <c r="L366"/>
      <c r="M366"/>
    </row>
    <row r="367" spans="1:13" x14ac:dyDescent="0.4">
      <c r="A367"/>
      <c r="B367"/>
      <c r="C367"/>
      <c r="D367"/>
      <c r="E367"/>
      <c r="F367"/>
      <c r="G367"/>
      <c r="H367"/>
      <c r="I367"/>
      <c r="J367"/>
      <c r="K367"/>
      <c r="L367"/>
      <c r="M367"/>
    </row>
    <row r="368" spans="1:13" x14ac:dyDescent="0.4">
      <c r="A368"/>
      <c r="B368"/>
      <c r="C368"/>
      <c r="D368"/>
      <c r="E368"/>
      <c r="F368"/>
      <c r="G368"/>
      <c r="H368"/>
      <c r="I368"/>
      <c r="J368"/>
      <c r="K368"/>
      <c r="L368"/>
      <c r="M368"/>
    </row>
    <row r="369" spans="1:13" x14ac:dyDescent="0.4">
      <c r="A369"/>
      <c r="B369"/>
      <c r="C369"/>
      <c r="D369"/>
      <c r="E369"/>
      <c r="F369"/>
      <c r="G369"/>
      <c r="H369"/>
      <c r="I369"/>
      <c r="J369"/>
      <c r="K369"/>
      <c r="L369"/>
      <c r="M369"/>
    </row>
    <row r="370" spans="1:13" x14ac:dyDescent="0.4">
      <c r="A370"/>
      <c r="B370"/>
      <c r="C370"/>
      <c r="D370"/>
      <c r="E370"/>
      <c r="F370"/>
      <c r="G370"/>
      <c r="H370"/>
      <c r="I370"/>
      <c r="J370"/>
      <c r="K370"/>
      <c r="L370"/>
      <c r="M370"/>
    </row>
    <row r="371" spans="1:13" x14ac:dyDescent="0.4">
      <c r="A371"/>
      <c r="B371"/>
      <c r="C371"/>
      <c r="D371"/>
      <c r="E371"/>
      <c r="F371"/>
      <c r="G371"/>
      <c r="H371"/>
      <c r="I371"/>
      <c r="J371"/>
      <c r="K371"/>
      <c r="L371"/>
      <c r="M371"/>
    </row>
    <row r="372" spans="1:13" x14ac:dyDescent="0.4">
      <c r="A372"/>
      <c r="B372"/>
      <c r="C372"/>
      <c r="D372"/>
      <c r="E372"/>
      <c r="F372"/>
      <c r="G372"/>
      <c r="H372"/>
      <c r="I372"/>
      <c r="J372"/>
      <c r="K372"/>
      <c r="L372"/>
      <c r="M372"/>
    </row>
    <row r="373" spans="1:13" x14ac:dyDescent="0.4">
      <c r="A373"/>
      <c r="B373"/>
      <c r="C373"/>
      <c r="D373"/>
      <c r="E373"/>
      <c r="F373"/>
      <c r="G373"/>
      <c r="H373"/>
      <c r="I373"/>
      <c r="J373"/>
      <c r="K373"/>
      <c r="L373"/>
      <c r="M373"/>
    </row>
    <row r="374" spans="1:13" x14ac:dyDescent="0.4">
      <c r="A374"/>
      <c r="B374"/>
      <c r="C374"/>
      <c r="D374"/>
      <c r="E374"/>
      <c r="F374"/>
      <c r="G374"/>
      <c r="H374"/>
      <c r="I374"/>
      <c r="J374"/>
      <c r="K374"/>
      <c r="L374"/>
      <c r="M374"/>
    </row>
    <row r="375" spans="1:13" x14ac:dyDescent="0.4">
      <c r="A375"/>
      <c r="B375"/>
      <c r="C375"/>
      <c r="D375"/>
      <c r="E375"/>
      <c r="F375"/>
      <c r="G375"/>
      <c r="H375"/>
      <c r="I375"/>
      <c r="J375"/>
      <c r="K375"/>
      <c r="L375"/>
      <c r="M375"/>
    </row>
    <row r="376" spans="1:13" x14ac:dyDescent="0.4">
      <c r="A376"/>
      <c r="B376"/>
      <c r="C376"/>
      <c r="D376"/>
      <c r="E376"/>
      <c r="F376"/>
      <c r="G376"/>
      <c r="H376"/>
      <c r="I376"/>
      <c r="J376"/>
      <c r="K376"/>
      <c r="L376"/>
      <c r="M376"/>
    </row>
    <row r="377" spans="1:13" x14ac:dyDescent="0.4">
      <c r="A377"/>
      <c r="B377"/>
      <c r="C377"/>
      <c r="D377"/>
      <c r="E377"/>
      <c r="F377"/>
      <c r="G377"/>
      <c r="H377"/>
      <c r="I377"/>
      <c r="J377"/>
      <c r="K377"/>
      <c r="L377"/>
      <c r="M377"/>
    </row>
    <row r="378" spans="1:13" x14ac:dyDescent="0.4">
      <c r="A378"/>
      <c r="B378"/>
      <c r="C378"/>
      <c r="D378"/>
      <c r="E378"/>
      <c r="F378"/>
      <c r="G378"/>
      <c r="H378"/>
      <c r="I378"/>
      <c r="J378"/>
      <c r="K378"/>
      <c r="L378"/>
      <c r="M378"/>
    </row>
    <row r="379" spans="1:13" x14ac:dyDescent="0.4">
      <c r="A379"/>
      <c r="B379"/>
      <c r="C379"/>
      <c r="D379"/>
      <c r="E379"/>
      <c r="F379"/>
      <c r="G379"/>
      <c r="H379"/>
      <c r="I379"/>
      <c r="J379"/>
      <c r="K379"/>
      <c r="L379"/>
      <c r="M379"/>
    </row>
    <row r="380" spans="1:13" x14ac:dyDescent="0.4">
      <c r="A380"/>
      <c r="B380"/>
      <c r="C380"/>
      <c r="D380"/>
      <c r="E380"/>
      <c r="F380"/>
      <c r="G380"/>
      <c r="H380"/>
      <c r="I380"/>
      <c r="J380"/>
      <c r="K380"/>
      <c r="L380"/>
      <c r="M380"/>
    </row>
    <row r="381" spans="1:13" x14ac:dyDescent="0.4">
      <c r="A381"/>
      <c r="B381"/>
      <c r="C381"/>
      <c r="D381"/>
      <c r="E381"/>
      <c r="F381"/>
      <c r="G381"/>
      <c r="H381"/>
      <c r="I381"/>
      <c r="J381"/>
      <c r="K381"/>
      <c r="L381"/>
      <c r="M381"/>
    </row>
    <row r="382" spans="1:13" x14ac:dyDescent="0.4">
      <c r="A382"/>
      <c r="B382"/>
      <c r="C382"/>
      <c r="D382"/>
      <c r="E382"/>
      <c r="F382"/>
      <c r="G382"/>
      <c r="H382"/>
      <c r="I382"/>
      <c r="J382"/>
      <c r="K382"/>
      <c r="L382"/>
      <c r="M382"/>
    </row>
    <row r="383" spans="1:13" x14ac:dyDescent="0.4">
      <c r="A383"/>
      <c r="B383"/>
      <c r="C383"/>
      <c r="D383"/>
      <c r="E383"/>
      <c r="F383"/>
      <c r="G383"/>
      <c r="H383"/>
      <c r="I383"/>
      <c r="J383"/>
      <c r="K383"/>
      <c r="L383"/>
      <c r="M383"/>
    </row>
    <row r="384" spans="1:13" x14ac:dyDescent="0.4">
      <c r="A384"/>
      <c r="B384"/>
      <c r="C384"/>
      <c r="D384"/>
      <c r="E384"/>
      <c r="F384"/>
      <c r="G384"/>
      <c r="H384"/>
      <c r="I384"/>
      <c r="J384"/>
      <c r="K384"/>
      <c r="L384"/>
      <c r="M384"/>
    </row>
    <row r="385" spans="1:13" x14ac:dyDescent="0.4">
      <c r="A385"/>
      <c r="B385"/>
      <c r="C385"/>
      <c r="D385"/>
      <c r="E385"/>
      <c r="F385"/>
      <c r="G385"/>
      <c r="H385"/>
      <c r="I385"/>
      <c r="J385"/>
      <c r="K385"/>
      <c r="L385"/>
      <c r="M385"/>
    </row>
    <row r="386" spans="1:13" x14ac:dyDescent="0.4">
      <c r="A386"/>
      <c r="B386"/>
      <c r="C386"/>
      <c r="D386"/>
      <c r="E386"/>
      <c r="F386"/>
      <c r="G386"/>
      <c r="H386"/>
      <c r="I386"/>
      <c r="J386"/>
      <c r="K386"/>
      <c r="L386"/>
      <c r="M386"/>
    </row>
    <row r="387" spans="1:13" x14ac:dyDescent="0.4">
      <c r="A387"/>
      <c r="B387"/>
      <c r="C387"/>
      <c r="D387"/>
      <c r="E387"/>
      <c r="F387"/>
      <c r="G387"/>
      <c r="H387"/>
      <c r="I387"/>
      <c r="J387"/>
      <c r="K387"/>
      <c r="L387"/>
      <c r="M387"/>
    </row>
    <row r="388" spans="1:13" x14ac:dyDescent="0.4">
      <c r="A388"/>
      <c r="B388"/>
      <c r="C388"/>
      <c r="D388"/>
      <c r="E388"/>
      <c r="F388"/>
      <c r="G388"/>
      <c r="H388"/>
      <c r="I388"/>
      <c r="J388"/>
      <c r="K388"/>
      <c r="L388"/>
      <c r="M388"/>
    </row>
    <row r="389" spans="1:13" x14ac:dyDescent="0.4">
      <c r="A389"/>
      <c r="B389"/>
      <c r="C389"/>
      <c r="D389"/>
      <c r="E389"/>
      <c r="F389"/>
      <c r="G389"/>
      <c r="H389"/>
      <c r="I389"/>
      <c r="J389"/>
      <c r="K389"/>
      <c r="L389"/>
      <c r="M389"/>
    </row>
    <row r="390" spans="1:13" x14ac:dyDescent="0.4">
      <c r="A390"/>
      <c r="B390"/>
      <c r="C390"/>
      <c r="D390"/>
      <c r="E390"/>
      <c r="F390"/>
      <c r="G390"/>
      <c r="H390"/>
      <c r="I390"/>
      <c r="J390"/>
      <c r="K390"/>
      <c r="L390"/>
      <c r="M390"/>
    </row>
    <row r="391" spans="1:13" x14ac:dyDescent="0.4">
      <c r="A391"/>
      <c r="B391"/>
      <c r="C391"/>
      <c r="D391"/>
      <c r="E391"/>
      <c r="F391"/>
      <c r="G391"/>
      <c r="H391"/>
      <c r="I391"/>
      <c r="J391"/>
      <c r="K391"/>
      <c r="L391"/>
      <c r="M391"/>
    </row>
    <row r="392" spans="1:13" x14ac:dyDescent="0.4">
      <c r="A392"/>
      <c r="B392"/>
      <c r="C392"/>
      <c r="D392"/>
      <c r="E392"/>
      <c r="F392"/>
      <c r="G392"/>
      <c r="H392"/>
      <c r="I392"/>
      <c r="J392"/>
      <c r="K392"/>
      <c r="L392"/>
      <c r="M392"/>
    </row>
    <row r="393" spans="1:13" x14ac:dyDescent="0.4">
      <c r="A393"/>
      <c r="B393"/>
      <c r="C393"/>
      <c r="D393"/>
      <c r="E393"/>
      <c r="F393"/>
      <c r="G393"/>
      <c r="H393"/>
      <c r="I393"/>
      <c r="J393"/>
      <c r="K393"/>
      <c r="L393"/>
      <c r="M393"/>
    </row>
    <row r="394" spans="1:13" x14ac:dyDescent="0.4">
      <c r="A394"/>
      <c r="B394"/>
      <c r="C394"/>
      <c r="D394"/>
      <c r="E394"/>
      <c r="F394"/>
      <c r="G394"/>
      <c r="H394"/>
      <c r="I394"/>
      <c r="J394"/>
      <c r="K394"/>
      <c r="L394"/>
      <c r="M394"/>
    </row>
    <row r="395" spans="1:13" x14ac:dyDescent="0.4">
      <c r="A395"/>
      <c r="B395"/>
      <c r="C395"/>
      <c r="D395"/>
      <c r="E395"/>
      <c r="F395"/>
      <c r="G395"/>
      <c r="H395"/>
      <c r="I395"/>
      <c r="J395"/>
      <c r="K395"/>
      <c r="L395"/>
      <c r="M395"/>
    </row>
    <row r="396" spans="1:13" x14ac:dyDescent="0.4">
      <c r="A396"/>
      <c r="B396"/>
      <c r="C396"/>
      <c r="D396"/>
      <c r="E396"/>
      <c r="F396"/>
      <c r="G396"/>
      <c r="H396"/>
      <c r="I396"/>
      <c r="J396"/>
      <c r="K396"/>
      <c r="L396"/>
      <c r="M396"/>
    </row>
    <row r="397" spans="1:13" x14ac:dyDescent="0.4">
      <c r="A397"/>
      <c r="B397"/>
      <c r="C397"/>
      <c r="D397"/>
      <c r="E397"/>
      <c r="F397"/>
      <c r="G397"/>
      <c r="H397"/>
      <c r="I397"/>
      <c r="J397"/>
      <c r="K397"/>
      <c r="L397"/>
      <c r="M397"/>
    </row>
    <row r="398" spans="1:13" x14ac:dyDescent="0.4">
      <c r="A398"/>
      <c r="B398"/>
      <c r="C398"/>
      <c r="D398"/>
      <c r="E398"/>
      <c r="F398"/>
      <c r="G398"/>
      <c r="H398"/>
      <c r="I398"/>
      <c r="J398"/>
      <c r="K398"/>
      <c r="L398"/>
      <c r="M398"/>
    </row>
    <row r="399" spans="1:13" x14ac:dyDescent="0.4">
      <c r="A399"/>
      <c r="B399"/>
      <c r="C399"/>
      <c r="D399"/>
      <c r="E399"/>
      <c r="F399"/>
      <c r="G399"/>
      <c r="H399"/>
      <c r="I399"/>
      <c r="J399"/>
      <c r="K399"/>
      <c r="L399"/>
      <c r="M399"/>
    </row>
    <row r="400" spans="1:13" x14ac:dyDescent="0.4">
      <c r="A400"/>
      <c r="B400"/>
      <c r="C400"/>
      <c r="D400"/>
      <c r="E400"/>
      <c r="F400"/>
      <c r="G400"/>
      <c r="H400"/>
      <c r="I400"/>
      <c r="J400"/>
      <c r="K400"/>
      <c r="L400"/>
      <c r="M400"/>
    </row>
    <row r="401" spans="1:13" x14ac:dyDescent="0.4">
      <c r="A401"/>
      <c r="B401"/>
      <c r="C401"/>
      <c r="D401"/>
      <c r="E401"/>
      <c r="F401"/>
      <c r="G401"/>
      <c r="H401"/>
      <c r="I401"/>
      <c r="J401"/>
      <c r="K401"/>
      <c r="L401"/>
      <c r="M401"/>
    </row>
    <row r="402" spans="1:13" x14ac:dyDescent="0.4">
      <c r="A402"/>
      <c r="B402"/>
      <c r="C402"/>
      <c r="D402"/>
      <c r="E402"/>
      <c r="F402"/>
      <c r="G402"/>
      <c r="H402"/>
      <c r="I402"/>
      <c r="J402"/>
      <c r="K402"/>
      <c r="L402"/>
      <c r="M402"/>
    </row>
    <row r="403" spans="1:13" x14ac:dyDescent="0.4">
      <c r="A403"/>
      <c r="B403"/>
      <c r="C403"/>
      <c r="D403"/>
      <c r="E403"/>
      <c r="F403"/>
      <c r="G403"/>
      <c r="H403"/>
      <c r="I403"/>
      <c r="J403"/>
      <c r="K403"/>
      <c r="L403"/>
      <c r="M403"/>
    </row>
    <row r="404" spans="1:13" x14ac:dyDescent="0.4">
      <c r="A404"/>
      <c r="B404"/>
      <c r="C404"/>
      <c r="D404"/>
      <c r="E404"/>
      <c r="F404"/>
      <c r="G404"/>
      <c r="H404"/>
      <c r="I404"/>
      <c r="J404"/>
      <c r="K404"/>
      <c r="L404"/>
      <c r="M404"/>
    </row>
    <row r="405" spans="1:13" x14ac:dyDescent="0.4">
      <c r="A405"/>
      <c r="B405"/>
      <c r="C405"/>
      <c r="D405"/>
      <c r="E405"/>
      <c r="F405"/>
      <c r="G405"/>
      <c r="H405"/>
      <c r="I405"/>
      <c r="J405"/>
      <c r="K405"/>
      <c r="L405"/>
      <c r="M405"/>
    </row>
    <row r="406" spans="1:13" x14ac:dyDescent="0.4">
      <c r="A406"/>
      <c r="B406"/>
      <c r="C406"/>
      <c r="D406"/>
      <c r="E406"/>
      <c r="F406"/>
      <c r="G406"/>
      <c r="H406"/>
      <c r="I406"/>
      <c r="J406"/>
      <c r="K406"/>
      <c r="L406"/>
      <c r="M406"/>
    </row>
    <row r="407" spans="1:13" x14ac:dyDescent="0.4">
      <c r="A407"/>
      <c r="B407"/>
      <c r="C407"/>
      <c r="D407"/>
      <c r="E407"/>
      <c r="F407"/>
      <c r="G407"/>
      <c r="H407"/>
      <c r="I407"/>
      <c r="J407"/>
      <c r="K407"/>
      <c r="L407"/>
      <c r="M407"/>
    </row>
    <row r="408" spans="1:13" x14ac:dyDescent="0.4">
      <c r="A408"/>
      <c r="B408"/>
      <c r="C408"/>
      <c r="D408"/>
      <c r="E408"/>
      <c r="F408"/>
      <c r="G408"/>
      <c r="H408"/>
      <c r="I408"/>
      <c r="J408"/>
      <c r="K408"/>
      <c r="L408"/>
      <c r="M408"/>
    </row>
    <row r="409" spans="1:13" x14ac:dyDescent="0.4">
      <c r="A409"/>
      <c r="B409"/>
      <c r="C409"/>
      <c r="D409"/>
      <c r="E409"/>
      <c r="F409"/>
      <c r="G409"/>
      <c r="H409"/>
      <c r="I409"/>
      <c r="J409"/>
      <c r="K409"/>
      <c r="L409"/>
      <c r="M409"/>
    </row>
    <row r="410" spans="1:13" x14ac:dyDescent="0.4">
      <c r="A410"/>
      <c r="B410"/>
      <c r="C410"/>
      <c r="D410"/>
      <c r="E410"/>
      <c r="F410"/>
      <c r="G410"/>
      <c r="H410"/>
      <c r="I410"/>
      <c r="J410"/>
      <c r="K410"/>
      <c r="L410"/>
      <c r="M410"/>
    </row>
    <row r="411" spans="1:13" x14ac:dyDescent="0.4">
      <c r="A411"/>
      <c r="B411"/>
      <c r="C411"/>
      <c r="D411"/>
      <c r="E411"/>
      <c r="F411"/>
      <c r="G411"/>
      <c r="H411"/>
      <c r="I411"/>
      <c r="J411"/>
      <c r="K411"/>
      <c r="L411"/>
      <c r="M411"/>
    </row>
    <row r="412" spans="1:13" x14ac:dyDescent="0.4">
      <c r="A412"/>
      <c r="B412"/>
      <c r="C412"/>
      <c r="D412"/>
      <c r="E412"/>
      <c r="F412"/>
      <c r="G412"/>
      <c r="H412"/>
      <c r="I412"/>
      <c r="J412"/>
      <c r="K412"/>
      <c r="L412"/>
      <c r="M412"/>
    </row>
    <row r="413" spans="1:13" x14ac:dyDescent="0.4">
      <c r="A413"/>
      <c r="B413"/>
      <c r="C413"/>
      <c r="D413"/>
      <c r="E413"/>
      <c r="F413"/>
      <c r="G413"/>
      <c r="H413"/>
      <c r="I413"/>
      <c r="J413"/>
      <c r="K413"/>
      <c r="L413"/>
      <c r="M413"/>
    </row>
    <row r="414" spans="1:13" x14ac:dyDescent="0.4">
      <c r="A414"/>
      <c r="B414"/>
      <c r="C414"/>
      <c r="D414"/>
      <c r="E414"/>
      <c r="F414"/>
      <c r="G414"/>
      <c r="H414"/>
      <c r="I414"/>
      <c r="J414"/>
      <c r="K414"/>
      <c r="L414"/>
      <c r="M414"/>
    </row>
    <row r="415" spans="1:13" x14ac:dyDescent="0.4">
      <c r="A415"/>
      <c r="B415"/>
      <c r="C415"/>
      <c r="D415"/>
      <c r="E415"/>
      <c r="F415"/>
      <c r="G415"/>
      <c r="H415"/>
      <c r="I415"/>
      <c r="J415"/>
      <c r="K415"/>
      <c r="L415"/>
      <c r="M415"/>
    </row>
    <row r="416" spans="1:13" x14ac:dyDescent="0.4">
      <c r="A416"/>
      <c r="B416"/>
      <c r="C416"/>
      <c r="D416"/>
      <c r="E416"/>
      <c r="F416"/>
      <c r="G416"/>
      <c r="H416"/>
      <c r="I416"/>
      <c r="J416"/>
      <c r="K416"/>
      <c r="L416"/>
      <c r="M416"/>
    </row>
    <row r="417" spans="1:13" x14ac:dyDescent="0.4">
      <c r="A417"/>
      <c r="B417"/>
      <c r="C417"/>
      <c r="D417"/>
      <c r="E417"/>
      <c r="F417"/>
      <c r="G417"/>
      <c r="H417"/>
      <c r="I417"/>
      <c r="J417"/>
      <c r="K417"/>
      <c r="L417"/>
      <c r="M417"/>
    </row>
    <row r="418" spans="1:13" x14ac:dyDescent="0.4">
      <c r="A418"/>
      <c r="B418"/>
      <c r="C418"/>
      <c r="D418"/>
      <c r="E418"/>
      <c r="F418"/>
      <c r="G418"/>
      <c r="H418"/>
      <c r="I418"/>
      <c r="J418"/>
      <c r="K418"/>
      <c r="L418"/>
      <c r="M418"/>
    </row>
    <row r="419" spans="1:13" x14ac:dyDescent="0.4">
      <c r="A419"/>
      <c r="B419"/>
      <c r="C419"/>
      <c r="D419"/>
      <c r="E419"/>
      <c r="F419"/>
      <c r="G419"/>
      <c r="H419"/>
      <c r="I419"/>
      <c r="J419"/>
      <c r="K419"/>
      <c r="L419"/>
      <c r="M419"/>
    </row>
    <row r="420" spans="1:13" x14ac:dyDescent="0.4">
      <c r="A420"/>
      <c r="B420"/>
      <c r="C420"/>
      <c r="D420"/>
      <c r="E420"/>
      <c r="F420"/>
      <c r="G420"/>
      <c r="H420"/>
      <c r="I420"/>
      <c r="J420"/>
      <c r="K420"/>
      <c r="L420"/>
      <c r="M420"/>
    </row>
    <row r="421" spans="1:13" x14ac:dyDescent="0.4">
      <c r="A421"/>
      <c r="B421"/>
      <c r="C421"/>
      <c r="D421"/>
      <c r="E421"/>
      <c r="F421"/>
      <c r="G421"/>
      <c r="H421"/>
      <c r="I421"/>
      <c r="J421"/>
      <c r="K421"/>
      <c r="L421"/>
      <c r="M421"/>
    </row>
    <row r="422" spans="1:13" x14ac:dyDescent="0.4">
      <c r="A422"/>
      <c r="B422"/>
      <c r="C422"/>
      <c r="D422"/>
      <c r="E422"/>
      <c r="F422"/>
      <c r="G422"/>
      <c r="H422"/>
      <c r="I422"/>
      <c r="J422"/>
      <c r="K422"/>
      <c r="L422"/>
      <c r="M422"/>
    </row>
    <row r="423" spans="1:13" x14ac:dyDescent="0.4">
      <c r="A423"/>
      <c r="B423"/>
      <c r="C423"/>
      <c r="D423"/>
      <c r="E423"/>
      <c r="F423"/>
      <c r="G423"/>
      <c r="H423"/>
      <c r="I423"/>
      <c r="J423"/>
      <c r="K423"/>
      <c r="L423"/>
      <c r="M423"/>
    </row>
    <row r="424" spans="1:13" x14ac:dyDescent="0.4">
      <c r="A424"/>
      <c r="B424"/>
      <c r="C424"/>
      <c r="D424"/>
      <c r="E424"/>
      <c r="F424"/>
      <c r="G424"/>
      <c r="H424"/>
      <c r="I424"/>
      <c r="J424"/>
      <c r="K424"/>
      <c r="L424"/>
      <c r="M424"/>
    </row>
    <row r="425" spans="1:13" x14ac:dyDescent="0.4">
      <c r="A425"/>
      <c r="B425"/>
      <c r="C425"/>
      <c r="D425"/>
      <c r="E425"/>
      <c r="F425"/>
      <c r="G425"/>
      <c r="H425"/>
      <c r="I425"/>
      <c r="J425"/>
      <c r="K425"/>
      <c r="L425"/>
      <c r="M425"/>
    </row>
    <row r="426" spans="1:13" x14ac:dyDescent="0.4">
      <c r="A426"/>
      <c r="B426"/>
      <c r="C426"/>
      <c r="D426"/>
      <c r="E426"/>
      <c r="F426"/>
      <c r="G426"/>
      <c r="H426"/>
      <c r="I426"/>
      <c r="J426"/>
      <c r="K426"/>
      <c r="L426"/>
      <c r="M426"/>
    </row>
    <row r="427" spans="1:13" x14ac:dyDescent="0.4">
      <c r="A427"/>
      <c r="B427"/>
      <c r="C427"/>
      <c r="D427"/>
      <c r="E427"/>
      <c r="F427"/>
      <c r="G427"/>
      <c r="H427"/>
      <c r="I427"/>
      <c r="J427"/>
      <c r="K427"/>
      <c r="L427"/>
      <c r="M427"/>
    </row>
    <row r="428" spans="1:13" x14ac:dyDescent="0.4">
      <c r="A428"/>
      <c r="B428"/>
      <c r="C428"/>
      <c r="D428"/>
      <c r="E428"/>
      <c r="F428"/>
      <c r="G428"/>
      <c r="H428"/>
      <c r="I428"/>
      <c r="J428"/>
      <c r="K428"/>
      <c r="L428"/>
      <c r="M428"/>
    </row>
    <row r="429" spans="1:13" x14ac:dyDescent="0.4">
      <c r="A429"/>
      <c r="B429"/>
      <c r="C429"/>
      <c r="D429"/>
      <c r="E429"/>
      <c r="F429"/>
      <c r="G429"/>
      <c r="H429"/>
      <c r="I429"/>
      <c r="J429"/>
      <c r="K429"/>
      <c r="L429"/>
      <c r="M429"/>
    </row>
    <row r="430" spans="1:13" x14ac:dyDescent="0.4">
      <c r="A430"/>
      <c r="B430"/>
      <c r="C430"/>
      <c r="D430"/>
      <c r="E430"/>
      <c r="F430"/>
      <c r="G430"/>
      <c r="H430"/>
      <c r="I430"/>
      <c r="J430"/>
      <c r="K430"/>
      <c r="L430"/>
      <c r="M430"/>
    </row>
    <row r="431" spans="1:13" x14ac:dyDescent="0.4">
      <c r="A431"/>
      <c r="B431"/>
      <c r="C431"/>
      <c r="D431"/>
      <c r="E431"/>
      <c r="F431"/>
      <c r="G431"/>
      <c r="H431"/>
      <c r="I431"/>
      <c r="J431"/>
      <c r="K431"/>
      <c r="L431"/>
      <c r="M431"/>
    </row>
    <row r="432" spans="1:13" x14ac:dyDescent="0.4">
      <c r="A432"/>
      <c r="B432"/>
      <c r="C432"/>
      <c r="D432"/>
      <c r="E432"/>
      <c r="F432"/>
      <c r="G432"/>
      <c r="H432"/>
      <c r="I432"/>
      <c r="J432"/>
      <c r="K432"/>
      <c r="L432"/>
      <c r="M432"/>
    </row>
    <row r="433" spans="1:13" x14ac:dyDescent="0.4">
      <c r="A433"/>
      <c r="B433"/>
      <c r="C433"/>
      <c r="D433"/>
      <c r="E433"/>
      <c r="F433"/>
      <c r="G433"/>
      <c r="H433"/>
      <c r="I433"/>
      <c r="J433"/>
      <c r="K433"/>
      <c r="L433"/>
      <c r="M433"/>
    </row>
    <row r="434" spans="1:13" x14ac:dyDescent="0.4">
      <c r="A434"/>
      <c r="B434"/>
      <c r="C434"/>
      <c r="D434"/>
      <c r="E434"/>
      <c r="F434"/>
      <c r="G434"/>
      <c r="H434"/>
      <c r="I434"/>
      <c r="J434"/>
      <c r="K434"/>
      <c r="L434"/>
      <c r="M434"/>
    </row>
    <row r="435" spans="1:13" x14ac:dyDescent="0.4">
      <c r="A435"/>
      <c r="B435"/>
      <c r="C435"/>
      <c r="D435"/>
      <c r="E435"/>
      <c r="F435"/>
      <c r="G435"/>
      <c r="H435"/>
      <c r="I435"/>
      <c r="J435"/>
      <c r="K435"/>
      <c r="L435"/>
      <c r="M435"/>
    </row>
    <row r="436" spans="1:13" x14ac:dyDescent="0.4">
      <c r="A436"/>
      <c r="B436"/>
      <c r="C436"/>
      <c r="D436"/>
      <c r="E436"/>
      <c r="F436"/>
      <c r="G436"/>
      <c r="H436"/>
      <c r="I436"/>
      <c r="J436"/>
      <c r="K436"/>
      <c r="L436"/>
      <c r="M436"/>
    </row>
    <row r="437" spans="1:13" x14ac:dyDescent="0.4">
      <c r="A437"/>
      <c r="B437"/>
      <c r="C437"/>
      <c r="D437"/>
      <c r="E437"/>
      <c r="F437"/>
      <c r="G437"/>
      <c r="H437"/>
      <c r="I437"/>
      <c r="J437"/>
      <c r="K437"/>
      <c r="L437"/>
      <c r="M437"/>
    </row>
    <row r="438" spans="1:13" x14ac:dyDescent="0.4">
      <c r="A438"/>
      <c r="B438"/>
      <c r="C438"/>
      <c r="D438"/>
      <c r="E438"/>
      <c r="F438"/>
      <c r="G438"/>
      <c r="H438"/>
      <c r="I438"/>
      <c r="J438"/>
      <c r="K438"/>
      <c r="L438"/>
      <c r="M438"/>
    </row>
    <row r="439" spans="1:13" x14ac:dyDescent="0.4">
      <c r="A439"/>
      <c r="B439"/>
      <c r="C439"/>
      <c r="D439"/>
      <c r="E439"/>
      <c r="F439"/>
      <c r="G439"/>
      <c r="H439"/>
      <c r="I439"/>
      <c r="J439"/>
      <c r="K439"/>
      <c r="L439"/>
      <c r="M439"/>
    </row>
    <row r="440" spans="1:13" x14ac:dyDescent="0.4">
      <c r="A440"/>
      <c r="B440"/>
      <c r="C440"/>
      <c r="D440"/>
      <c r="E440"/>
      <c r="F440"/>
      <c r="G440"/>
      <c r="H440"/>
      <c r="I440"/>
      <c r="J440"/>
      <c r="K440"/>
      <c r="L440"/>
      <c r="M440"/>
    </row>
    <row r="441" spans="1:13" x14ac:dyDescent="0.4">
      <c r="A441"/>
      <c r="B441"/>
      <c r="C441"/>
      <c r="D441"/>
      <c r="E441"/>
      <c r="F441"/>
      <c r="G441"/>
      <c r="H441"/>
      <c r="I441"/>
      <c r="J441"/>
      <c r="K441"/>
      <c r="L441"/>
      <c r="M441"/>
    </row>
    <row r="442" spans="1:13" x14ac:dyDescent="0.4">
      <c r="A442"/>
      <c r="B442"/>
      <c r="C442"/>
      <c r="D442"/>
      <c r="E442"/>
      <c r="F442"/>
      <c r="G442"/>
      <c r="H442"/>
      <c r="I442"/>
      <c r="J442"/>
      <c r="K442"/>
      <c r="L442"/>
      <c r="M442"/>
    </row>
    <row r="443" spans="1:13" x14ac:dyDescent="0.4">
      <c r="A443"/>
      <c r="B443"/>
      <c r="C443"/>
      <c r="D443"/>
      <c r="E443"/>
      <c r="F443"/>
      <c r="G443"/>
      <c r="H443"/>
      <c r="I443"/>
      <c r="J443"/>
      <c r="K443"/>
      <c r="L443"/>
      <c r="M443"/>
    </row>
    <row r="444" spans="1:13" x14ac:dyDescent="0.4">
      <c r="A444"/>
      <c r="B444"/>
      <c r="C444"/>
      <c r="D444"/>
      <c r="E444"/>
      <c r="F444"/>
      <c r="G444"/>
      <c r="H444"/>
      <c r="I444"/>
      <c r="J444"/>
      <c r="K444"/>
      <c r="L444"/>
      <c r="M444"/>
    </row>
    <row r="445" spans="1:13" x14ac:dyDescent="0.4">
      <c r="A445"/>
      <c r="B445"/>
      <c r="C445"/>
      <c r="D445"/>
      <c r="E445"/>
      <c r="F445"/>
      <c r="G445"/>
      <c r="H445"/>
      <c r="I445"/>
      <c r="J445"/>
      <c r="K445"/>
      <c r="L445"/>
      <c r="M445"/>
    </row>
    <row r="446" spans="1:13" x14ac:dyDescent="0.4">
      <c r="A446"/>
      <c r="B446"/>
      <c r="C446"/>
      <c r="D446"/>
      <c r="E446"/>
      <c r="F446"/>
      <c r="G446"/>
      <c r="H446"/>
      <c r="I446"/>
      <c r="J446"/>
      <c r="K446"/>
      <c r="L446"/>
      <c r="M446"/>
    </row>
    <row r="447" spans="1:13" x14ac:dyDescent="0.4">
      <c r="A447"/>
      <c r="B447"/>
      <c r="C447"/>
      <c r="D447"/>
      <c r="E447"/>
      <c r="F447"/>
      <c r="G447"/>
      <c r="H447"/>
      <c r="I447"/>
      <c r="J447"/>
      <c r="K447"/>
      <c r="L447"/>
      <c r="M447"/>
    </row>
    <row r="448" spans="1:13" x14ac:dyDescent="0.4">
      <c r="A448"/>
      <c r="B448"/>
      <c r="C448"/>
      <c r="D448"/>
      <c r="E448"/>
      <c r="F448"/>
      <c r="G448"/>
      <c r="H448"/>
      <c r="I448"/>
      <c r="J448"/>
      <c r="K448"/>
      <c r="L448"/>
      <c r="M448"/>
    </row>
    <row r="449" spans="1:13" x14ac:dyDescent="0.4">
      <c r="A449"/>
      <c r="B449"/>
      <c r="C449"/>
      <c r="D449"/>
      <c r="E449"/>
      <c r="F449"/>
      <c r="G449"/>
      <c r="H449"/>
      <c r="I449"/>
      <c r="J449"/>
      <c r="K449"/>
      <c r="L449"/>
      <c r="M449"/>
    </row>
    <row r="450" spans="1:13" x14ac:dyDescent="0.4">
      <c r="A450"/>
      <c r="B450"/>
      <c r="C450"/>
      <c r="D450"/>
      <c r="E450"/>
      <c r="F450"/>
      <c r="G450"/>
      <c r="H450"/>
      <c r="I450"/>
      <c r="J450"/>
      <c r="K450"/>
      <c r="L450"/>
      <c r="M450"/>
    </row>
    <row r="451" spans="1:13" x14ac:dyDescent="0.4">
      <c r="A451"/>
      <c r="B451"/>
      <c r="C451"/>
      <c r="D451"/>
      <c r="E451"/>
      <c r="F451"/>
      <c r="G451"/>
      <c r="H451"/>
      <c r="I451"/>
      <c r="J451"/>
      <c r="K451"/>
      <c r="L451"/>
      <c r="M451"/>
    </row>
    <row r="452" spans="1:13" x14ac:dyDescent="0.4">
      <c r="A452"/>
      <c r="B452"/>
      <c r="C452"/>
      <c r="D452"/>
      <c r="E452"/>
      <c r="F452"/>
      <c r="G452"/>
      <c r="H452"/>
      <c r="I452"/>
      <c r="J452"/>
      <c r="K452"/>
      <c r="L452"/>
      <c r="M452"/>
    </row>
    <row r="453" spans="1:13" x14ac:dyDescent="0.4">
      <c r="A453"/>
      <c r="B453"/>
      <c r="C453"/>
      <c r="D453"/>
      <c r="E453"/>
      <c r="F453"/>
      <c r="G453"/>
      <c r="H453"/>
      <c r="I453"/>
      <c r="J453"/>
      <c r="K453"/>
      <c r="L453"/>
      <c r="M453"/>
    </row>
    <row r="454" spans="1:13" x14ac:dyDescent="0.4">
      <c r="A454"/>
      <c r="B454"/>
      <c r="C454"/>
      <c r="D454"/>
      <c r="E454"/>
      <c r="F454"/>
      <c r="G454"/>
      <c r="H454"/>
      <c r="I454"/>
      <c r="J454"/>
      <c r="K454"/>
      <c r="L454"/>
      <c r="M454"/>
    </row>
    <row r="455" spans="1:13" x14ac:dyDescent="0.4">
      <c r="A455"/>
      <c r="B455"/>
      <c r="C455"/>
      <c r="D455"/>
      <c r="E455"/>
      <c r="F455"/>
      <c r="G455"/>
      <c r="H455"/>
      <c r="I455"/>
      <c r="J455"/>
      <c r="K455"/>
      <c r="L455"/>
      <c r="M455"/>
    </row>
    <row r="456" spans="1:13" x14ac:dyDescent="0.4">
      <c r="A456"/>
      <c r="B456"/>
      <c r="C456"/>
      <c r="D456"/>
      <c r="E456"/>
      <c r="F456"/>
      <c r="G456"/>
      <c r="H456"/>
      <c r="I456"/>
      <c r="J456"/>
      <c r="K456"/>
      <c r="L456"/>
      <c r="M456"/>
    </row>
    <row r="457" spans="1:13" x14ac:dyDescent="0.4">
      <c r="A457"/>
      <c r="B457"/>
      <c r="C457"/>
      <c r="D457"/>
      <c r="E457"/>
      <c r="F457"/>
      <c r="G457"/>
      <c r="H457"/>
      <c r="I457"/>
      <c r="J457"/>
      <c r="K457"/>
      <c r="L457"/>
      <c r="M457"/>
    </row>
    <row r="458" spans="1:13" x14ac:dyDescent="0.4">
      <c r="A458"/>
      <c r="B458"/>
      <c r="C458"/>
      <c r="D458"/>
      <c r="E458"/>
      <c r="F458"/>
      <c r="G458"/>
      <c r="H458"/>
      <c r="I458"/>
      <c r="J458"/>
      <c r="K458"/>
      <c r="L458"/>
      <c r="M458"/>
    </row>
    <row r="459" spans="1:13" x14ac:dyDescent="0.4">
      <c r="A459"/>
      <c r="B459"/>
      <c r="C459"/>
      <c r="D459"/>
      <c r="E459"/>
      <c r="F459"/>
      <c r="G459"/>
      <c r="H459"/>
      <c r="I459"/>
      <c r="J459"/>
      <c r="K459"/>
      <c r="L459"/>
      <c r="M459"/>
    </row>
    <row r="460" spans="1:13" x14ac:dyDescent="0.4">
      <c r="A460"/>
      <c r="B460"/>
      <c r="C460"/>
      <c r="D460"/>
      <c r="E460"/>
      <c r="F460"/>
      <c r="G460"/>
      <c r="H460"/>
      <c r="I460"/>
      <c r="J460"/>
      <c r="K460"/>
      <c r="L460"/>
      <c r="M460"/>
    </row>
    <row r="461" spans="1:13" x14ac:dyDescent="0.4">
      <c r="A461"/>
      <c r="B461"/>
      <c r="C461"/>
      <c r="D461"/>
      <c r="E461"/>
      <c r="F461"/>
      <c r="G461"/>
      <c r="H461"/>
      <c r="I461"/>
      <c r="J461"/>
      <c r="K461"/>
      <c r="L461"/>
      <c r="M461"/>
    </row>
    <row r="462" spans="1:13" x14ac:dyDescent="0.4">
      <c r="A462"/>
      <c r="B462"/>
      <c r="C462"/>
      <c r="D462"/>
      <c r="E462"/>
      <c r="F462"/>
      <c r="G462"/>
      <c r="H462"/>
      <c r="I462"/>
      <c r="J462"/>
      <c r="K462"/>
      <c r="L462"/>
      <c r="M462"/>
    </row>
    <row r="463" spans="1:13" x14ac:dyDescent="0.4">
      <c r="A463"/>
      <c r="B463"/>
      <c r="C463"/>
      <c r="D463"/>
      <c r="E463"/>
      <c r="F463"/>
      <c r="G463"/>
      <c r="H463"/>
      <c r="I463"/>
      <c r="J463"/>
      <c r="K463"/>
      <c r="L463"/>
      <c r="M463"/>
    </row>
    <row r="464" spans="1:13" x14ac:dyDescent="0.4">
      <c r="A464"/>
      <c r="B464"/>
      <c r="C464"/>
      <c r="D464"/>
      <c r="E464"/>
      <c r="F464"/>
      <c r="G464"/>
      <c r="H464"/>
      <c r="I464"/>
      <c r="J464"/>
      <c r="K464"/>
      <c r="L464"/>
      <c r="M464"/>
    </row>
    <row r="465" spans="1:13" x14ac:dyDescent="0.4">
      <c r="A465"/>
      <c r="B465"/>
      <c r="C465"/>
      <c r="D465"/>
      <c r="E465"/>
      <c r="F465"/>
      <c r="G465"/>
      <c r="H465"/>
      <c r="I465"/>
      <c r="J465"/>
      <c r="K465"/>
      <c r="L465"/>
      <c r="M465"/>
    </row>
    <row r="466" spans="1:13" x14ac:dyDescent="0.4">
      <c r="A466"/>
      <c r="B466"/>
      <c r="C466"/>
      <c r="D466"/>
      <c r="E466"/>
      <c r="F466"/>
      <c r="G466"/>
      <c r="H466"/>
      <c r="I466"/>
      <c r="J466"/>
      <c r="K466"/>
      <c r="L466"/>
      <c r="M466"/>
    </row>
    <row r="467" spans="1:13" x14ac:dyDescent="0.4">
      <c r="A467"/>
      <c r="B467"/>
      <c r="C467"/>
      <c r="D467"/>
      <c r="E467"/>
      <c r="F467"/>
      <c r="G467"/>
      <c r="H467"/>
      <c r="I467"/>
      <c r="J467"/>
      <c r="K467"/>
      <c r="L467"/>
      <c r="M467"/>
    </row>
    <row r="468" spans="1:13" x14ac:dyDescent="0.4">
      <c r="A468"/>
      <c r="B468"/>
      <c r="C468"/>
      <c r="D468"/>
      <c r="E468"/>
      <c r="F468"/>
      <c r="G468"/>
      <c r="H468"/>
      <c r="I468"/>
      <c r="J468"/>
      <c r="K468"/>
      <c r="L468"/>
      <c r="M468"/>
    </row>
    <row r="469" spans="1:13" x14ac:dyDescent="0.4">
      <c r="A469"/>
      <c r="B469"/>
      <c r="C469"/>
      <c r="D469"/>
      <c r="E469"/>
      <c r="F469"/>
      <c r="G469"/>
      <c r="H469"/>
      <c r="I469"/>
      <c r="J469"/>
      <c r="K469"/>
      <c r="L469"/>
      <c r="M469"/>
    </row>
    <row r="470" spans="1:13" x14ac:dyDescent="0.4">
      <c r="A470"/>
      <c r="B470"/>
      <c r="C470"/>
      <c r="D470"/>
      <c r="E470"/>
      <c r="F470"/>
      <c r="G470"/>
      <c r="H470"/>
      <c r="I470"/>
      <c r="J470"/>
      <c r="K470"/>
      <c r="L470"/>
      <c r="M470"/>
    </row>
    <row r="471" spans="1:13" x14ac:dyDescent="0.4">
      <c r="A471"/>
      <c r="B471"/>
      <c r="C471"/>
      <c r="D471"/>
      <c r="E471"/>
      <c r="F471"/>
      <c r="G471"/>
      <c r="H471"/>
      <c r="I471"/>
      <c r="J471"/>
      <c r="K471"/>
      <c r="L471"/>
      <c r="M471"/>
    </row>
    <row r="472" spans="1:13" x14ac:dyDescent="0.4">
      <c r="A472"/>
      <c r="B472"/>
      <c r="C472"/>
      <c r="D472"/>
      <c r="E472"/>
      <c r="F472"/>
      <c r="G472"/>
      <c r="H472"/>
      <c r="I472"/>
      <c r="J472"/>
      <c r="K472"/>
      <c r="L472"/>
      <c r="M472"/>
    </row>
    <row r="473" spans="1:13" x14ac:dyDescent="0.4">
      <c r="A473"/>
      <c r="B473"/>
      <c r="C473"/>
      <c r="D473"/>
      <c r="E473"/>
      <c r="F473"/>
      <c r="G473"/>
      <c r="H473"/>
      <c r="I473"/>
      <c r="J473"/>
      <c r="K473"/>
      <c r="L473"/>
      <c r="M473"/>
    </row>
    <row r="474" spans="1:13" x14ac:dyDescent="0.4">
      <c r="A474"/>
      <c r="B474"/>
      <c r="C474"/>
      <c r="D474"/>
      <c r="E474"/>
      <c r="F474"/>
      <c r="G474"/>
      <c r="H474"/>
      <c r="I474"/>
      <c r="J474"/>
      <c r="K474"/>
      <c r="L474"/>
      <c r="M474"/>
    </row>
    <row r="475" spans="1:13" x14ac:dyDescent="0.4">
      <c r="A475"/>
      <c r="B475"/>
      <c r="C475"/>
      <c r="D475"/>
      <c r="E475"/>
      <c r="F475"/>
      <c r="G475"/>
      <c r="H475"/>
      <c r="I475"/>
      <c r="J475"/>
      <c r="K475"/>
      <c r="L475"/>
      <c r="M475"/>
    </row>
    <row r="476" spans="1:13" x14ac:dyDescent="0.4">
      <c r="A476"/>
      <c r="B476"/>
      <c r="C476"/>
      <c r="D476"/>
      <c r="E476"/>
      <c r="F476"/>
      <c r="G476"/>
      <c r="H476"/>
      <c r="I476"/>
      <c r="J476"/>
      <c r="K476"/>
      <c r="L476"/>
      <c r="M476"/>
    </row>
    <row r="477" spans="1:13" x14ac:dyDescent="0.4">
      <c r="A477"/>
      <c r="B477"/>
      <c r="C477"/>
      <c r="D477"/>
      <c r="E477"/>
      <c r="F477"/>
      <c r="G477"/>
      <c r="H477"/>
      <c r="I477"/>
      <c r="J477"/>
      <c r="K477"/>
      <c r="L477"/>
      <c r="M477"/>
    </row>
    <row r="478" spans="1:13" x14ac:dyDescent="0.4">
      <c r="A478"/>
      <c r="B478"/>
      <c r="C478"/>
      <c r="D478"/>
      <c r="E478"/>
      <c r="F478"/>
      <c r="G478"/>
      <c r="H478"/>
      <c r="I478"/>
      <c r="J478"/>
      <c r="K478"/>
      <c r="L478"/>
      <c r="M478"/>
    </row>
    <row r="479" spans="1:13" x14ac:dyDescent="0.4">
      <c r="A479"/>
      <c r="B479"/>
      <c r="C479"/>
      <c r="D479"/>
      <c r="E479"/>
      <c r="F479"/>
      <c r="G479"/>
      <c r="H479"/>
      <c r="I479"/>
      <c r="J479"/>
      <c r="K479"/>
      <c r="L479"/>
      <c r="M479"/>
    </row>
    <row r="480" spans="1:13" x14ac:dyDescent="0.4">
      <c r="A480"/>
      <c r="B480"/>
      <c r="C480"/>
      <c r="D480"/>
      <c r="E480"/>
      <c r="F480"/>
      <c r="G480"/>
      <c r="H480"/>
      <c r="I480"/>
      <c r="J480"/>
      <c r="K480"/>
      <c r="L480"/>
      <c r="M480"/>
    </row>
    <row r="481" spans="1:13" x14ac:dyDescent="0.4">
      <c r="A481"/>
      <c r="B481"/>
      <c r="C481"/>
      <c r="D481"/>
      <c r="E481"/>
      <c r="F481"/>
      <c r="G481"/>
      <c r="H481"/>
      <c r="I481"/>
      <c r="J481"/>
      <c r="K481"/>
      <c r="L481"/>
      <c r="M481"/>
    </row>
    <row r="482" spans="1:13" x14ac:dyDescent="0.4">
      <c r="A482"/>
      <c r="B482"/>
      <c r="C482"/>
      <c r="D482"/>
      <c r="E482"/>
      <c r="F482"/>
      <c r="G482"/>
      <c r="H482"/>
      <c r="I482"/>
      <c r="J482"/>
      <c r="K482"/>
      <c r="L482"/>
      <c r="M482"/>
    </row>
    <row r="483" spans="1:13" x14ac:dyDescent="0.4">
      <c r="A483"/>
      <c r="B483"/>
      <c r="C483"/>
      <c r="D483"/>
      <c r="E483"/>
      <c r="F483"/>
      <c r="G483"/>
      <c r="H483"/>
      <c r="I483"/>
      <c r="J483"/>
      <c r="K483"/>
      <c r="L483"/>
      <c r="M483"/>
    </row>
    <row r="484" spans="1:13" x14ac:dyDescent="0.4">
      <c r="A484"/>
      <c r="B484"/>
      <c r="C484"/>
      <c r="D484"/>
      <c r="E484"/>
      <c r="F484"/>
      <c r="G484"/>
      <c r="H484"/>
      <c r="I484"/>
      <c r="J484"/>
      <c r="K484"/>
      <c r="L484"/>
      <c r="M484"/>
    </row>
    <row r="485" spans="1:13" x14ac:dyDescent="0.4">
      <c r="A485"/>
      <c r="B485"/>
      <c r="C485"/>
      <c r="D485"/>
      <c r="E485"/>
      <c r="F485"/>
      <c r="G485"/>
      <c r="H485"/>
      <c r="I485"/>
      <c r="J485"/>
      <c r="K485"/>
      <c r="L485"/>
      <c r="M485"/>
    </row>
    <row r="486" spans="1:13" x14ac:dyDescent="0.4">
      <c r="A486"/>
      <c r="B486"/>
      <c r="C486"/>
      <c r="D486"/>
      <c r="E486"/>
      <c r="F486"/>
      <c r="G486"/>
      <c r="H486"/>
      <c r="I486"/>
      <c r="J486"/>
      <c r="K486"/>
      <c r="L486"/>
      <c r="M486"/>
    </row>
    <row r="487" spans="1:13" x14ac:dyDescent="0.4">
      <c r="A487"/>
      <c r="B487"/>
      <c r="C487"/>
      <c r="D487"/>
      <c r="E487"/>
      <c r="F487"/>
      <c r="G487"/>
      <c r="H487"/>
      <c r="I487"/>
      <c r="J487"/>
      <c r="K487"/>
      <c r="L487"/>
      <c r="M487"/>
    </row>
    <row r="488" spans="1:13" x14ac:dyDescent="0.4">
      <c r="A488"/>
      <c r="B488"/>
      <c r="C488"/>
      <c r="D488"/>
      <c r="E488"/>
      <c r="F488"/>
      <c r="G488"/>
      <c r="H488"/>
      <c r="I488"/>
      <c r="J488"/>
      <c r="K488"/>
      <c r="L488"/>
      <c r="M488"/>
    </row>
    <row r="489" spans="1:13" x14ac:dyDescent="0.4">
      <c r="A489"/>
      <c r="B489"/>
      <c r="C489"/>
      <c r="D489"/>
      <c r="E489"/>
      <c r="F489"/>
      <c r="G489"/>
      <c r="H489"/>
      <c r="I489"/>
      <c r="J489"/>
      <c r="K489"/>
      <c r="L489"/>
      <c r="M489"/>
    </row>
    <row r="490" spans="1:13" x14ac:dyDescent="0.4">
      <c r="A490"/>
      <c r="B490"/>
      <c r="C490"/>
      <c r="D490"/>
      <c r="E490"/>
      <c r="F490"/>
      <c r="G490"/>
      <c r="H490"/>
      <c r="I490"/>
      <c r="J490"/>
      <c r="K490"/>
      <c r="L490"/>
      <c r="M490"/>
    </row>
    <row r="491" spans="1:13" x14ac:dyDescent="0.4">
      <c r="A491"/>
      <c r="B491"/>
      <c r="C491"/>
      <c r="D491"/>
      <c r="E491"/>
      <c r="F491"/>
      <c r="G491"/>
      <c r="H491"/>
      <c r="I491"/>
      <c r="J491"/>
      <c r="K491"/>
      <c r="L491"/>
      <c r="M491"/>
    </row>
    <row r="492" spans="1:13" x14ac:dyDescent="0.4">
      <c r="A492"/>
      <c r="B492"/>
      <c r="C492"/>
      <c r="D492"/>
      <c r="E492"/>
      <c r="F492"/>
      <c r="G492"/>
      <c r="H492"/>
      <c r="I492"/>
      <c r="J492"/>
      <c r="K492"/>
      <c r="L492"/>
      <c r="M492"/>
    </row>
    <row r="493" spans="1:13" x14ac:dyDescent="0.4">
      <c r="A493"/>
      <c r="B493"/>
      <c r="C493"/>
      <c r="D493"/>
      <c r="E493"/>
      <c r="F493"/>
      <c r="G493"/>
      <c r="H493"/>
      <c r="I493"/>
      <c r="J493"/>
      <c r="K493"/>
      <c r="L493"/>
      <c r="M493"/>
    </row>
    <row r="494" spans="1:13" x14ac:dyDescent="0.4">
      <c r="A494"/>
      <c r="B494"/>
      <c r="C494"/>
      <c r="D494"/>
      <c r="E494"/>
      <c r="F494"/>
      <c r="G494"/>
      <c r="H494"/>
      <c r="I494"/>
      <c r="J494"/>
      <c r="K494"/>
      <c r="L494"/>
      <c r="M494"/>
    </row>
    <row r="495" spans="1:13" x14ac:dyDescent="0.4">
      <c r="A495"/>
      <c r="B495"/>
      <c r="C495"/>
      <c r="D495"/>
      <c r="E495"/>
      <c r="F495"/>
      <c r="G495"/>
      <c r="H495"/>
      <c r="I495"/>
      <c r="J495"/>
      <c r="K495"/>
      <c r="L495"/>
      <c r="M495"/>
    </row>
    <row r="496" spans="1:13" x14ac:dyDescent="0.4">
      <c r="A496"/>
      <c r="B496"/>
      <c r="C496"/>
      <c r="D496"/>
      <c r="E496"/>
      <c r="F496"/>
      <c r="G496"/>
      <c r="H496"/>
      <c r="I496"/>
      <c r="J496"/>
      <c r="K496"/>
      <c r="L496"/>
      <c r="M496"/>
    </row>
    <row r="497" spans="1:13" x14ac:dyDescent="0.4">
      <c r="A497"/>
      <c r="B497"/>
      <c r="C497"/>
      <c r="D497"/>
      <c r="E497"/>
      <c r="F497"/>
      <c r="G497"/>
      <c r="H497"/>
      <c r="I497"/>
      <c r="J497"/>
      <c r="K497"/>
      <c r="L497"/>
      <c r="M497"/>
    </row>
    <row r="498" spans="1:13" x14ac:dyDescent="0.4">
      <c r="A498"/>
      <c r="B498"/>
      <c r="C498"/>
      <c r="D498"/>
      <c r="E498"/>
      <c r="F498"/>
      <c r="G498"/>
      <c r="H498"/>
      <c r="I498"/>
      <c r="J498"/>
      <c r="K498"/>
      <c r="L498"/>
      <c r="M498"/>
    </row>
    <row r="499" spans="1:13" x14ac:dyDescent="0.4">
      <c r="A499"/>
      <c r="B499"/>
      <c r="C499"/>
      <c r="D499"/>
      <c r="E499"/>
      <c r="F499"/>
      <c r="G499"/>
      <c r="H499"/>
      <c r="I499"/>
      <c r="J499"/>
      <c r="K499"/>
      <c r="L499"/>
      <c r="M499"/>
    </row>
    <row r="500" spans="1:13" x14ac:dyDescent="0.4">
      <c r="A500"/>
      <c r="B500"/>
      <c r="C500"/>
      <c r="D500"/>
      <c r="E500"/>
      <c r="F500"/>
      <c r="G500"/>
      <c r="H500"/>
      <c r="I500"/>
      <c r="J500"/>
      <c r="K500"/>
      <c r="L500"/>
      <c r="M500"/>
    </row>
    <row r="501" spans="1:13" x14ac:dyDescent="0.4">
      <c r="A501"/>
      <c r="B501"/>
      <c r="C501"/>
      <c r="D501"/>
      <c r="E501"/>
      <c r="F501"/>
      <c r="G501"/>
      <c r="H501"/>
      <c r="I501"/>
      <c r="J501"/>
      <c r="K501"/>
      <c r="L501"/>
      <c r="M501"/>
    </row>
    <row r="502" spans="1:13" x14ac:dyDescent="0.4">
      <c r="A502"/>
      <c r="B502"/>
      <c r="C502"/>
      <c r="D502"/>
      <c r="E502"/>
      <c r="F502"/>
      <c r="G502"/>
      <c r="H502"/>
      <c r="I502"/>
      <c r="J502"/>
      <c r="K502"/>
      <c r="L502"/>
      <c r="M502"/>
    </row>
    <row r="503" spans="1:13" x14ac:dyDescent="0.4">
      <c r="A503"/>
      <c r="B503"/>
      <c r="C503"/>
      <c r="D503"/>
      <c r="E503"/>
      <c r="F503"/>
      <c r="G503"/>
      <c r="H503"/>
      <c r="I503"/>
      <c r="J503"/>
      <c r="K503"/>
      <c r="L503"/>
      <c r="M503"/>
    </row>
    <row r="504" spans="1:13" x14ac:dyDescent="0.4">
      <c r="A504"/>
      <c r="B504"/>
      <c r="C504"/>
      <c r="D504"/>
      <c r="E504"/>
      <c r="F504"/>
      <c r="G504"/>
      <c r="H504"/>
      <c r="I504"/>
      <c r="J504"/>
      <c r="K504"/>
      <c r="L504"/>
      <c r="M504"/>
    </row>
    <row r="505" spans="1:13" x14ac:dyDescent="0.4">
      <c r="A505"/>
      <c r="B505"/>
      <c r="C505"/>
      <c r="D505"/>
      <c r="E505"/>
      <c r="F505"/>
      <c r="G505"/>
      <c r="H505"/>
      <c r="I505"/>
      <c r="J505"/>
      <c r="K505"/>
      <c r="L505"/>
      <c r="M505"/>
    </row>
    <row r="506" spans="1:13" x14ac:dyDescent="0.4">
      <c r="A506"/>
      <c r="B506"/>
      <c r="C506"/>
      <c r="D506"/>
      <c r="E506"/>
      <c r="F506"/>
      <c r="G506"/>
      <c r="H506"/>
      <c r="I506"/>
      <c r="J506"/>
      <c r="K506"/>
      <c r="L506"/>
      <c r="M506"/>
    </row>
    <row r="507" spans="1:13" x14ac:dyDescent="0.4">
      <c r="A507"/>
      <c r="B507"/>
      <c r="C507"/>
      <c r="D507"/>
      <c r="E507"/>
      <c r="F507"/>
      <c r="G507"/>
      <c r="H507"/>
      <c r="I507"/>
      <c r="J507"/>
      <c r="K507"/>
      <c r="L507"/>
      <c r="M507"/>
    </row>
    <row r="508" spans="1:13" x14ac:dyDescent="0.4">
      <c r="A508"/>
      <c r="B508"/>
      <c r="C508"/>
      <c r="D508"/>
      <c r="E508"/>
      <c r="F508"/>
      <c r="G508"/>
      <c r="H508"/>
      <c r="I508"/>
      <c r="J508"/>
      <c r="K508"/>
      <c r="L508"/>
      <c r="M508"/>
    </row>
    <row r="509" spans="1:13" x14ac:dyDescent="0.4">
      <c r="A509"/>
      <c r="B509"/>
      <c r="C509"/>
      <c r="D509"/>
      <c r="E509"/>
      <c r="F509"/>
      <c r="G509"/>
      <c r="H509"/>
      <c r="I509"/>
      <c r="J509"/>
      <c r="K509"/>
      <c r="L509"/>
      <c r="M509"/>
    </row>
    <row r="510" spans="1:13" x14ac:dyDescent="0.4">
      <c r="A510"/>
      <c r="B510"/>
      <c r="C510"/>
      <c r="D510"/>
      <c r="E510"/>
      <c r="F510"/>
      <c r="G510"/>
      <c r="H510"/>
      <c r="I510"/>
      <c r="J510"/>
      <c r="K510"/>
      <c r="L510"/>
      <c r="M510"/>
    </row>
    <row r="511" spans="1:13" x14ac:dyDescent="0.4">
      <c r="A511"/>
      <c r="B511"/>
      <c r="C511"/>
      <c r="D511"/>
      <c r="E511"/>
      <c r="F511"/>
      <c r="G511"/>
      <c r="H511"/>
      <c r="I511"/>
      <c r="J511"/>
      <c r="K511"/>
      <c r="L511"/>
      <c r="M511"/>
    </row>
    <row r="512" spans="1:13" x14ac:dyDescent="0.4">
      <c r="A512"/>
      <c r="B512"/>
      <c r="C512"/>
      <c r="D512"/>
      <c r="E512"/>
      <c r="F512"/>
      <c r="G512"/>
      <c r="H512"/>
      <c r="I512"/>
      <c r="J512"/>
      <c r="K512"/>
      <c r="L512"/>
      <c r="M512"/>
    </row>
    <row r="513" spans="1:13" x14ac:dyDescent="0.4">
      <c r="A513"/>
      <c r="B513"/>
      <c r="C513"/>
      <c r="D513"/>
      <c r="E513"/>
      <c r="F513"/>
      <c r="G513"/>
      <c r="H513"/>
      <c r="I513"/>
      <c r="J513"/>
      <c r="K513"/>
      <c r="L513"/>
      <c r="M513"/>
    </row>
    <row r="514" spans="1:13" x14ac:dyDescent="0.4">
      <c r="A514"/>
      <c r="B514"/>
      <c r="C514"/>
      <c r="D514"/>
      <c r="E514"/>
      <c r="F514"/>
      <c r="G514"/>
      <c r="H514"/>
      <c r="I514"/>
      <c r="J514"/>
      <c r="K514"/>
      <c r="L514"/>
      <c r="M514"/>
    </row>
    <row r="515" spans="1:13" x14ac:dyDescent="0.4">
      <c r="A515"/>
      <c r="B515"/>
      <c r="C515"/>
      <c r="D515"/>
      <c r="E515"/>
      <c r="F515"/>
      <c r="G515"/>
      <c r="H515"/>
      <c r="I515"/>
      <c r="J515"/>
      <c r="K515"/>
      <c r="L515"/>
      <c r="M515"/>
    </row>
    <row r="516" spans="1:13" x14ac:dyDescent="0.4">
      <c r="A516"/>
      <c r="B516"/>
      <c r="C516"/>
      <c r="D516"/>
      <c r="E516"/>
      <c r="F516"/>
      <c r="G516"/>
      <c r="H516"/>
      <c r="I516"/>
      <c r="J516"/>
      <c r="K516"/>
      <c r="L516"/>
      <c r="M516"/>
    </row>
    <row r="517" spans="1:13" x14ac:dyDescent="0.4">
      <c r="A517"/>
      <c r="B517"/>
      <c r="C517"/>
      <c r="D517"/>
      <c r="E517"/>
      <c r="F517"/>
      <c r="G517"/>
      <c r="H517"/>
      <c r="I517"/>
      <c r="J517"/>
      <c r="K517"/>
      <c r="L517"/>
      <c r="M517"/>
    </row>
    <row r="518" spans="1:13" x14ac:dyDescent="0.4">
      <c r="A518"/>
      <c r="B518"/>
      <c r="C518"/>
      <c r="D518"/>
      <c r="E518"/>
      <c r="F518"/>
      <c r="G518"/>
      <c r="H518"/>
      <c r="I518"/>
      <c r="J518"/>
      <c r="K518"/>
      <c r="L518"/>
      <c r="M518"/>
    </row>
    <row r="519" spans="1:13" x14ac:dyDescent="0.4">
      <c r="A519"/>
      <c r="B519"/>
      <c r="C519"/>
      <c r="D519"/>
      <c r="E519"/>
      <c r="F519"/>
      <c r="G519"/>
      <c r="H519"/>
      <c r="I519"/>
      <c r="J519"/>
      <c r="K519"/>
      <c r="L519"/>
      <c r="M519"/>
    </row>
    <row r="520" spans="1:13" x14ac:dyDescent="0.4">
      <c r="A520"/>
      <c r="B520"/>
      <c r="C520"/>
      <c r="D520"/>
      <c r="E520"/>
      <c r="F520"/>
      <c r="G520"/>
      <c r="H520"/>
      <c r="I520"/>
      <c r="J520"/>
      <c r="K520"/>
      <c r="L520"/>
      <c r="M520"/>
    </row>
    <row r="521" spans="1:13" x14ac:dyDescent="0.4">
      <c r="A521"/>
      <c r="B521"/>
      <c r="C521"/>
      <c r="D521"/>
      <c r="E521"/>
      <c r="F521"/>
      <c r="G521"/>
      <c r="H521"/>
      <c r="I521"/>
      <c r="J521"/>
      <c r="K521"/>
      <c r="L521"/>
      <c r="M521"/>
    </row>
    <row r="522" spans="1:13" x14ac:dyDescent="0.4">
      <c r="A522"/>
      <c r="B522"/>
      <c r="C522"/>
      <c r="D522"/>
      <c r="E522"/>
      <c r="F522"/>
      <c r="G522"/>
      <c r="H522"/>
      <c r="I522"/>
      <c r="J522"/>
      <c r="K522"/>
      <c r="L522"/>
      <c r="M522"/>
    </row>
    <row r="523" spans="1:13" x14ac:dyDescent="0.4">
      <c r="A523"/>
      <c r="B523"/>
      <c r="C523"/>
      <c r="D523"/>
      <c r="E523"/>
      <c r="F523"/>
      <c r="G523"/>
      <c r="H523"/>
      <c r="I523"/>
      <c r="J523"/>
      <c r="K523"/>
      <c r="L523"/>
      <c r="M523"/>
    </row>
    <row r="524" spans="1:13" x14ac:dyDescent="0.4">
      <c r="A524"/>
      <c r="B524"/>
      <c r="C524"/>
      <c r="D524"/>
      <c r="E524"/>
      <c r="F524"/>
      <c r="G524"/>
      <c r="H524"/>
      <c r="I524"/>
      <c r="J524"/>
      <c r="K524"/>
      <c r="L524"/>
      <c r="M524"/>
    </row>
    <row r="525" spans="1:13" x14ac:dyDescent="0.4">
      <c r="A525"/>
      <c r="B525"/>
      <c r="C525"/>
      <c r="D525"/>
      <c r="E525"/>
      <c r="F525"/>
      <c r="G525"/>
      <c r="H525"/>
      <c r="I525"/>
      <c r="J525"/>
      <c r="K525"/>
      <c r="L525"/>
      <c r="M525"/>
    </row>
    <row r="526" spans="1:13" x14ac:dyDescent="0.4">
      <c r="A526"/>
      <c r="B526"/>
      <c r="C526"/>
      <c r="D526"/>
      <c r="E526"/>
      <c r="F526"/>
      <c r="G526"/>
      <c r="H526"/>
      <c r="I526"/>
      <c r="J526"/>
      <c r="K526"/>
      <c r="L526"/>
      <c r="M526"/>
    </row>
    <row r="527" spans="1:13" x14ac:dyDescent="0.4">
      <c r="A527"/>
      <c r="B527"/>
      <c r="C527"/>
      <c r="D527"/>
      <c r="E527"/>
      <c r="F527"/>
      <c r="G527"/>
      <c r="H527"/>
      <c r="I527"/>
      <c r="J527"/>
      <c r="K527"/>
      <c r="L527"/>
      <c r="M527"/>
    </row>
    <row r="528" spans="1:13" x14ac:dyDescent="0.4">
      <c r="A528"/>
      <c r="B528"/>
      <c r="C528"/>
      <c r="D528"/>
      <c r="E528"/>
      <c r="F528"/>
      <c r="G528"/>
      <c r="H528"/>
      <c r="I528"/>
      <c r="J528"/>
      <c r="K528"/>
      <c r="L528"/>
      <c r="M528"/>
    </row>
    <row r="529" spans="1:13" x14ac:dyDescent="0.4">
      <c r="A529"/>
      <c r="B529"/>
      <c r="C529"/>
      <c r="D529"/>
      <c r="E529"/>
      <c r="F529"/>
      <c r="G529"/>
      <c r="H529"/>
      <c r="I529"/>
      <c r="J529"/>
      <c r="K529"/>
      <c r="L529"/>
      <c r="M529"/>
    </row>
    <row r="530" spans="1:13" x14ac:dyDescent="0.4">
      <c r="A530"/>
      <c r="B530"/>
      <c r="C530"/>
      <c r="D530"/>
      <c r="E530"/>
      <c r="F530"/>
      <c r="G530"/>
      <c r="H530"/>
      <c r="I530"/>
      <c r="J530"/>
      <c r="K530"/>
      <c r="L530"/>
      <c r="M530"/>
    </row>
    <row r="531" spans="1:13" x14ac:dyDescent="0.4">
      <c r="A531"/>
      <c r="B531"/>
      <c r="C531"/>
      <c r="D531"/>
      <c r="E531"/>
      <c r="F531"/>
      <c r="G531"/>
      <c r="H531"/>
      <c r="I531"/>
      <c r="J531"/>
      <c r="K531"/>
      <c r="L531"/>
      <c r="M531"/>
    </row>
    <row r="532" spans="1:13" x14ac:dyDescent="0.4">
      <c r="A532"/>
      <c r="B532"/>
      <c r="C532"/>
      <c r="D532"/>
      <c r="E532"/>
      <c r="F532"/>
      <c r="G532"/>
      <c r="H532"/>
      <c r="I532"/>
      <c r="J532"/>
      <c r="K532"/>
      <c r="L532"/>
      <c r="M532"/>
    </row>
    <row r="533" spans="1:13" x14ac:dyDescent="0.4">
      <c r="A533"/>
      <c r="B533"/>
      <c r="C533"/>
      <c r="D533"/>
      <c r="E533"/>
      <c r="F533"/>
      <c r="G533"/>
      <c r="H533"/>
      <c r="I533"/>
      <c r="J533"/>
      <c r="K533"/>
      <c r="L533"/>
      <c r="M533"/>
    </row>
    <row r="534" spans="1:13" x14ac:dyDescent="0.4">
      <c r="A534"/>
      <c r="B534"/>
      <c r="C534"/>
      <c r="D534"/>
      <c r="E534"/>
      <c r="F534"/>
      <c r="G534"/>
      <c r="H534"/>
      <c r="I534"/>
      <c r="J534"/>
      <c r="K534"/>
      <c r="L534"/>
      <c r="M534"/>
    </row>
    <row r="535" spans="1:13" x14ac:dyDescent="0.4">
      <c r="A535"/>
      <c r="B535"/>
      <c r="C535"/>
      <c r="D535"/>
      <c r="E535"/>
      <c r="F535"/>
      <c r="G535"/>
      <c r="H535"/>
      <c r="I535"/>
      <c r="J535"/>
      <c r="K535"/>
      <c r="L535"/>
      <c r="M535"/>
    </row>
    <row r="536" spans="1:13" x14ac:dyDescent="0.4">
      <c r="A536"/>
      <c r="B536"/>
      <c r="C536"/>
      <c r="D536"/>
      <c r="E536"/>
      <c r="F536"/>
      <c r="G536"/>
      <c r="H536"/>
      <c r="I536"/>
      <c r="J536"/>
      <c r="K536"/>
      <c r="L536"/>
      <c r="M536"/>
    </row>
    <row r="537" spans="1:13" x14ac:dyDescent="0.4">
      <c r="A537"/>
      <c r="B537"/>
      <c r="C537"/>
      <c r="D537"/>
      <c r="E537"/>
      <c r="F537"/>
      <c r="G537"/>
      <c r="H537"/>
      <c r="I537"/>
      <c r="J537"/>
      <c r="K537"/>
      <c r="L537"/>
      <c r="M537"/>
    </row>
    <row r="538" spans="1:13" x14ac:dyDescent="0.4">
      <c r="A538"/>
      <c r="B538"/>
      <c r="C538"/>
      <c r="D538"/>
      <c r="E538"/>
      <c r="F538"/>
      <c r="G538"/>
      <c r="H538"/>
      <c r="I538"/>
      <c r="J538"/>
      <c r="K538"/>
      <c r="L538"/>
      <c r="M538"/>
    </row>
    <row r="539" spans="1:13" x14ac:dyDescent="0.4">
      <c r="A539"/>
      <c r="B539"/>
      <c r="C539"/>
      <c r="D539"/>
      <c r="E539"/>
      <c r="F539"/>
      <c r="G539"/>
      <c r="H539"/>
      <c r="I539"/>
      <c r="J539"/>
      <c r="K539"/>
      <c r="L539"/>
      <c r="M539"/>
    </row>
    <row r="540" spans="1:13" x14ac:dyDescent="0.4">
      <c r="A540"/>
      <c r="B540"/>
      <c r="C540"/>
      <c r="D540"/>
      <c r="E540"/>
      <c r="F540"/>
      <c r="G540"/>
      <c r="H540"/>
      <c r="I540"/>
      <c r="J540"/>
      <c r="K540"/>
      <c r="L540"/>
      <c r="M540"/>
    </row>
    <row r="541" spans="1:13" x14ac:dyDescent="0.4">
      <c r="A541"/>
      <c r="B541"/>
      <c r="C541"/>
      <c r="D541"/>
      <c r="E541"/>
      <c r="F541"/>
      <c r="G541"/>
      <c r="H541"/>
      <c r="I541"/>
      <c r="J541"/>
      <c r="K541"/>
      <c r="L541"/>
      <c r="M541"/>
    </row>
    <row r="542" spans="1:13" x14ac:dyDescent="0.4">
      <c r="A542"/>
      <c r="B542"/>
      <c r="C542"/>
      <c r="D542"/>
      <c r="E542"/>
      <c r="F542"/>
      <c r="G542"/>
      <c r="H542"/>
      <c r="I542"/>
      <c r="J542"/>
      <c r="K542"/>
      <c r="L542"/>
      <c r="M542"/>
    </row>
    <row r="543" spans="1:13" x14ac:dyDescent="0.4">
      <c r="A543"/>
      <c r="B543"/>
      <c r="C543"/>
      <c r="D543"/>
      <c r="E543"/>
      <c r="F543"/>
      <c r="G543"/>
      <c r="H543"/>
      <c r="I543"/>
      <c r="J543"/>
      <c r="K543"/>
      <c r="L543"/>
      <c r="M543"/>
    </row>
    <row r="544" spans="1:13" x14ac:dyDescent="0.4">
      <c r="A544"/>
      <c r="B544"/>
      <c r="C544"/>
      <c r="D544"/>
      <c r="E544"/>
      <c r="F544"/>
      <c r="G544"/>
      <c r="H544"/>
      <c r="I544"/>
      <c r="J544"/>
      <c r="K544"/>
      <c r="L544"/>
      <c r="M544"/>
    </row>
    <row r="545" spans="1:13" x14ac:dyDescent="0.4">
      <c r="A545"/>
      <c r="B545"/>
      <c r="C545"/>
      <c r="D545"/>
      <c r="E545"/>
      <c r="F545"/>
      <c r="G545"/>
      <c r="H545"/>
      <c r="I545"/>
      <c r="J545"/>
      <c r="K545"/>
      <c r="L545"/>
      <c r="M545"/>
    </row>
    <row r="546" spans="1:13" x14ac:dyDescent="0.4">
      <c r="A546"/>
      <c r="B546"/>
      <c r="C546"/>
      <c r="D546"/>
      <c r="E546"/>
      <c r="F546"/>
      <c r="G546"/>
      <c r="H546"/>
      <c r="I546"/>
      <c r="J546"/>
      <c r="K546"/>
      <c r="L546"/>
      <c r="M546"/>
    </row>
    <row r="547" spans="1:13" x14ac:dyDescent="0.4">
      <c r="A547"/>
      <c r="B547"/>
      <c r="C547"/>
      <c r="D547"/>
      <c r="E547"/>
      <c r="F547"/>
      <c r="G547"/>
      <c r="H547"/>
      <c r="I547"/>
      <c r="J547"/>
      <c r="K547"/>
      <c r="L547"/>
      <c r="M547"/>
    </row>
    <row r="548" spans="1:13" x14ac:dyDescent="0.4">
      <c r="A548"/>
      <c r="B548"/>
      <c r="C548"/>
      <c r="D548"/>
      <c r="E548"/>
      <c r="F548"/>
      <c r="G548"/>
      <c r="H548"/>
      <c r="I548"/>
      <c r="J548"/>
      <c r="K548"/>
      <c r="L548"/>
      <c r="M548"/>
    </row>
    <row r="549" spans="1:13" x14ac:dyDescent="0.4">
      <c r="A549"/>
      <c r="B549"/>
      <c r="C549"/>
      <c r="D549"/>
      <c r="E549"/>
      <c r="F549"/>
      <c r="G549"/>
      <c r="H549"/>
      <c r="I549"/>
      <c r="J549"/>
      <c r="K549"/>
      <c r="L549"/>
      <c r="M549"/>
    </row>
    <row r="550" spans="1:13" x14ac:dyDescent="0.4">
      <c r="A550"/>
      <c r="B550"/>
      <c r="C550"/>
      <c r="D550"/>
      <c r="E550"/>
      <c r="F550"/>
      <c r="G550"/>
      <c r="H550"/>
      <c r="I550"/>
      <c r="J550"/>
      <c r="K550"/>
      <c r="L550"/>
      <c r="M550"/>
    </row>
    <row r="551" spans="1:13" x14ac:dyDescent="0.4">
      <c r="A551"/>
      <c r="B551"/>
      <c r="C551"/>
      <c r="D551"/>
      <c r="E551"/>
      <c r="F551"/>
      <c r="G551"/>
      <c r="H551"/>
      <c r="I551"/>
      <c r="J551"/>
      <c r="K551"/>
      <c r="L551"/>
      <c r="M551"/>
    </row>
    <row r="552" spans="1:13" x14ac:dyDescent="0.4">
      <c r="A552"/>
      <c r="B552"/>
      <c r="C552"/>
      <c r="D552"/>
      <c r="E552"/>
      <c r="F552"/>
      <c r="G552"/>
      <c r="H552"/>
      <c r="I552"/>
      <c r="J552"/>
      <c r="K552"/>
      <c r="L552"/>
      <c r="M552"/>
    </row>
    <row r="553" spans="1:13" x14ac:dyDescent="0.4">
      <c r="A553"/>
      <c r="B553"/>
      <c r="C553"/>
      <c r="D553"/>
      <c r="E553"/>
      <c r="F553"/>
      <c r="G553"/>
      <c r="H553"/>
      <c r="I553"/>
      <c r="J553"/>
      <c r="K553"/>
      <c r="L553"/>
      <c r="M553"/>
    </row>
    <row r="554" spans="1:13" x14ac:dyDescent="0.4">
      <c r="A554"/>
      <c r="B554"/>
      <c r="C554"/>
      <c r="D554"/>
      <c r="E554"/>
      <c r="F554"/>
      <c r="G554"/>
      <c r="H554"/>
      <c r="I554"/>
      <c r="J554"/>
      <c r="K554"/>
      <c r="L554"/>
      <c r="M554"/>
    </row>
    <row r="555" spans="1:13" x14ac:dyDescent="0.4">
      <c r="A555"/>
      <c r="B555"/>
      <c r="C555"/>
      <c r="D555"/>
      <c r="E555"/>
      <c r="F555"/>
      <c r="G555"/>
      <c r="H555"/>
      <c r="I555"/>
      <c r="J555"/>
      <c r="K555"/>
      <c r="L555"/>
      <c r="M555"/>
    </row>
    <row r="556" spans="1:13" x14ac:dyDescent="0.4">
      <c r="A556"/>
      <c r="B556"/>
      <c r="C556"/>
      <c r="D556"/>
      <c r="E556"/>
      <c r="F556"/>
      <c r="G556"/>
      <c r="H556"/>
      <c r="I556"/>
      <c r="J556"/>
      <c r="K556"/>
      <c r="L556"/>
      <c r="M556"/>
    </row>
    <row r="557" spans="1:13" x14ac:dyDescent="0.4">
      <c r="A557"/>
      <c r="B557"/>
      <c r="C557"/>
      <c r="D557"/>
      <c r="E557"/>
      <c r="F557"/>
      <c r="G557"/>
      <c r="H557"/>
      <c r="I557"/>
      <c r="J557"/>
      <c r="K557"/>
      <c r="L557"/>
      <c r="M557"/>
    </row>
    <row r="558" spans="1:13" x14ac:dyDescent="0.4">
      <c r="A558"/>
      <c r="B558"/>
      <c r="C558"/>
      <c r="D558"/>
      <c r="E558"/>
      <c r="F558"/>
      <c r="G558"/>
      <c r="H558"/>
      <c r="I558"/>
      <c r="J558"/>
      <c r="K558"/>
      <c r="L558"/>
      <c r="M558"/>
    </row>
    <row r="559" spans="1:13" x14ac:dyDescent="0.4">
      <c r="A559"/>
      <c r="B559"/>
      <c r="C559"/>
      <c r="D559"/>
      <c r="E559"/>
      <c r="F559"/>
      <c r="G559"/>
      <c r="H559"/>
      <c r="I559"/>
      <c r="J559"/>
      <c r="K559"/>
      <c r="L559"/>
      <c r="M559"/>
    </row>
    <row r="560" spans="1:13" x14ac:dyDescent="0.4">
      <c r="A560"/>
      <c r="B560"/>
      <c r="C560"/>
      <c r="D560"/>
      <c r="E560"/>
      <c r="F560"/>
      <c r="G560"/>
      <c r="H560"/>
      <c r="I560"/>
      <c r="J560"/>
      <c r="K560"/>
      <c r="L560"/>
      <c r="M560"/>
    </row>
    <row r="561" spans="1:13" x14ac:dyDescent="0.4">
      <c r="A561"/>
      <c r="B561"/>
      <c r="C561"/>
      <c r="D561"/>
      <c r="E561"/>
      <c r="F561"/>
      <c r="G561"/>
      <c r="H561"/>
      <c r="I561"/>
      <c r="J561"/>
      <c r="K561"/>
      <c r="L561"/>
      <c r="M561"/>
    </row>
    <row r="562" spans="1:13" x14ac:dyDescent="0.4">
      <c r="A562"/>
      <c r="B562"/>
      <c r="C562"/>
      <c r="D562"/>
      <c r="E562"/>
      <c r="F562"/>
      <c r="G562"/>
      <c r="H562"/>
      <c r="I562"/>
      <c r="J562"/>
      <c r="K562"/>
      <c r="L562"/>
      <c r="M562"/>
    </row>
    <row r="563" spans="1:13" x14ac:dyDescent="0.4">
      <c r="A563"/>
      <c r="B563"/>
      <c r="C563"/>
      <c r="D563"/>
      <c r="E563"/>
      <c r="F563"/>
      <c r="G563"/>
      <c r="H563"/>
      <c r="I563"/>
      <c r="J563"/>
      <c r="K563"/>
      <c r="L563"/>
      <c r="M563"/>
    </row>
    <row r="564" spans="1:13" x14ac:dyDescent="0.4">
      <c r="A564"/>
      <c r="B564"/>
      <c r="C564"/>
      <c r="D564"/>
      <c r="E564"/>
      <c r="F564"/>
      <c r="G564"/>
      <c r="H564"/>
      <c r="I564"/>
      <c r="J564"/>
      <c r="K564"/>
      <c r="L564"/>
      <c r="M564"/>
    </row>
    <row r="565" spans="1:13" x14ac:dyDescent="0.4">
      <c r="A565"/>
      <c r="B565"/>
      <c r="C565"/>
      <c r="D565"/>
      <c r="E565"/>
      <c r="F565"/>
      <c r="G565"/>
      <c r="H565"/>
      <c r="I565"/>
      <c r="J565"/>
      <c r="K565"/>
      <c r="L565"/>
      <c r="M565"/>
    </row>
    <row r="566" spans="1:13" x14ac:dyDescent="0.4">
      <c r="A566"/>
      <c r="B566"/>
      <c r="C566"/>
      <c r="D566"/>
      <c r="E566"/>
      <c r="F566"/>
      <c r="G566"/>
      <c r="H566"/>
      <c r="I566"/>
      <c r="J566"/>
      <c r="K566"/>
      <c r="L566"/>
      <c r="M566"/>
    </row>
    <row r="567" spans="1:13" x14ac:dyDescent="0.4">
      <c r="A567"/>
      <c r="B567"/>
      <c r="C567"/>
      <c r="D567"/>
      <c r="E567"/>
      <c r="F567"/>
      <c r="G567"/>
      <c r="H567"/>
      <c r="I567"/>
      <c r="J567"/>
      <c r="K567"/>
      <c r="L567"/>
      <c r="M567"/>
    </row>
    <row r="568" spans="1:13" x14ac:dyDescent="0.4">
      <c r="A568"/>
      <c r="B568"/>
      <c r="C568"/>
      <c r="D568"/>
      <c r="E568"/>
      <c r="F568"/>
      <c r="G568"/>
      <c r="H568"/>
      <c r="I568"/>
      <c r="J568"/>
      <c r="K568"/>
      <c r="L568"/>
      <c r="M568"/>
    </row>
    <row r="569" spans="1:13" x14ac:dyDescent="0.4">
      <c r="A569"/>
      <c r="B569"/>
      <c r="C569"/>
      <c r="D569"/>
      <c r="E569"/>
      <c r="F569"/>
      <c r="G569"/>
      <c r="H569"/>
      <c r="I569"/>
      <c r="J569"/>
      <c r="K569"/>
      <c r="L569"/>
      <c r="M569"/>
    </row>
    <row r="570" spans="1:13" x14ac:dyDescent="0.4">
      <c r="A570"/>
      <c r="B570"/>
      <c r="C570"/>
      <c r="D570"/>
      <c r="E570"/>
      <c r="F570"/>
      <c r="G570"/>
      <c r="H570"/>
      <c r="I570"/>
      <c r="J570"/>
      <c r="K570"/>
      <c r="L570"/>
      <c r="M570"/>
    </row>
    <row r="571" spans="1:13" x14ac:dyDescent="0.4">
      <c r="A571"/>
      <c r="B571"/>
      <c r="C571"/>
      <c r="D571"/>
      <c r="E571"/>
      <c r="F571"/>
      <c r="G571"/>
      <c r="H571"/>
      <c r="I571"/>
      <c r="J571"/>
      <c r="K571"/>
      <c r="L571"/>
      <c r="M571"/>
    </row>
    <row r="572" spans="1:13" x14ac:dyDescent="0.4">
      <c r="A572"/>
      <c r="B572"/>
      <c r="C572"/>
      <c r="D572"/>
      <c r="E572"/>
      <c r="F572"/>
      <c r="G572"/>
      <c r="H572"/>
      <c r="I572"/>
      <c r="J572"/>
      <c r="K572"/>
      <c r="L572"/>
      <c r="M572"/>
    </row>
    <row r="573" spans="1:13" x14ac:dyDescent="0.4">
      <c r="A573"/>
      <c r="B573"/>
      <c r="C573"/>
      <c r="D573"/>
      <c r="E573"/>
      <c r="F573"/>
      <c r="G573"/>
      <c r="H573"/>
      <c r="I573"/>
      <c r="J573"/>
      <c r="K573"/>
      <c r="L573"/>
      <c r="M573"/>
    </row>
    <row r="574" spans="1:13" x14ac:dyDescent="0.4">
      <c r="A574"/>
      <c r="B574"/>
      <c r="C574"/>
      <c r="D574"/>
      <c r="E574"/>
      <c r="F574"/>
      <c r="G574"/>
      <c r="H574"/>
      <c r="I574"/>
      <c r="J574"/>
      <c r="K574"/>
      <c r="L574"/>
      <c r="M574"/>
    </row>
    <row r="575" spans="1:13" x14ac:dyDescent="0.4">
      <c r="A575"/>
      <c r="B575"/>
      <c r="C575"/>
      <c r="D575"/>
      <c r="E575"/>
      <c r="F575"/>
      <c r="G575"/>
      <c r="H575"/>
      <c r="I575"/>
      <c r="J575"/>
      <c r="K575"/>
      <c r="L575"/>
      <c r="M575"/>
    </row>
    <row r="576" spans="1:13" x14ac:dyDescent="0.4">
      <c r="A576"/>
      <c r="B576"/>
      <c r="C576"/>
      <c r="D576"/>
      <c r="E576"/>
      <c r="F576"/>
      <c r="G576"/>
      <c r="H576"/>
      <c r="I576"/>
      <c r="J576"/>
      <c r="K576"/>
      <c r="L576"/>
      <c r="M576"/>
    </row>
    <row r="577" spans="1:13" x14ac:dyDescent="0.4">
      <c r="A577"/>
      <c r="B577"/>
      <c r="C577"/>
      <c r="D577"/>
      <c r="E577"/>
      <c r="F577"/>
      <c r="G577"/>
      <c r="H577"/>
      <c r="I577"/>
      <c r="J577"/>
      <c r="K577"/>
      <c r="L577"/>
      <c r="M577"/>
    </row>
    <row r="578" spans="1:13" x14ac:dyDescent="0.4">
      <c r="A578"/>
      <c r="B578"/>
      <c r="C578"/>
      <c r="D578"/>
      <c r="E578"/>
      <c r="F578"/>
      <c r="G578"/>
      <c r="H578"/>
      <c r="I578"/>
      <c r="J578"/>
      <c r="K578"/>
      <c r="L578"/>
      <c r="M578"/>
    </row>
    <row r="579" spans="1:13" x14ac:dyDescent="0.4">
      <c r="A579"/>
      <c r="B579"/>
      <c r="C579"/>
      <c r="D579"/>
      <c r="E579"/>
      <c r="F579"/>
      <c r="G579"/>
      <c r="H579"/>
      <c r="I579"/>
      <c r="J579"/>
      <c r="K579"/>
      <c r="L579"/>
      <c r="M579"/>
    </row>
    <row r="580" spans="1:13" x14ac:dyDescent="0.4">
      <c r="A580"/>
      <c r="B580"/>
      <c r="C580"/>
      <c r="D580"/>
      <c r="E580"/>
      <c r="F580"/>
      <c r="G580"/>
      <c r="H580"/>
      <c r="I580"/>
      <c r="J580"/>
      <c r="K580"/>
      <c r="L580"/>
      <c r="M580"/>
    </row>
    <row r="581" spans="1:13" x14ac:dyDescent="0.4">
      <c r="A581"/>
      <c r="B581"/>
      <c r="C581"/>
      <c r="D581"/>
      <c r="E581"/>
      <c r="F581"/>
      <c r="G581"/>
      <c r="H581"/>
      <c r="I581"/>
      <c r="J581"/>
      <c r="K581"/>
      <c r="L581"/>
      <c r="M581"/>
    </row>
    <row r="582" spans="1:13" x14ac:dyDescent="0.4">
      <c r="A582"/>
      <c r="B582"/>
      <c r="C582"/>
      <c r="D582"/>
      <c r="E582"/>
      <c r="F582"/>
      <c r="G582"/>
      <c r="H582"/>
      <c r="I582"/>
      <c r="J582"/>
      <c r="K582"/>
      <c r="L582"/>
      <c r="M582"/>
    </row>
    <row r="583" spans="1:13" x14ac:dyDescent="0.4">
      <c r="A583"/>
      <c r="B583"/>
      <c r="C583"/>
      <c r="D583"/>
      <c r="E583"/>
      <c r="F583"/>
      <c r="G583"/>
      <c r="H583"/>
      <c r="I583"/>
      <c r="J583"/>
      <c r="K583"/>
      <c r="L583"/>
      <c r="M583"/>
    </row>
    <row r="584" spans="1:13" x14ac:dyDescent="0.4">
      <c r="A584"/>
      <c r="B584"/>
      <c r="C584"/>
      <c r="D584"/>
      <c r="E584"/>
      <c r="F584"/>
      <c r="G584"/>
      <c r="H584"/>
      <c r="I584"/>
      <c r="J584"/>
      <c r="K584"/>
      <c r="L584"/>
      <c r="M584"/>
    </row>
    <row r="585" spans="1:13" x14ac:dyDescent="0.4">
      <c r="A585"/>
      <c r="B585"/>
      <c r="C585"/>
      <c r="D585"/>
      <c r="E585"/>
      <c r="F585"/>
      <c r="G585"/>
      <c r="H585"/>
      <c r="I585"/>
      <c r="J585"/>
      <c r="K585"/>
      <c r="L585"/>
      <c r="M585"/>
    </row>
    <row r="586" spans="1:13" x14ac:dyDescent="0.4">
      <c r="A586"/>
      <c r="B586"/>
      <c r="C586"/>
      <c r="D586"/>
      <c r="E586"/>
      <c r="F586"/>
      <c r="G586"/>
      <c r="H586"/>
      <c r="I586"/>
      <c r="J586"/>
      <c r="K586"/>
      <c r="L586"/>
      <c r="M586"/>
    </row>
    <row r="587" spans="1:13" x14ac:dyDescent="0.4">
      <c r="A587"/>
      <c r="B587"/>
      <c r="C587"/>
      <c r="D587"/>
      <c r="E587"/>
      <c r="F587"/>
      <c r="G587"/>
      <c r="H587"/>
      <c r="I587"/>
      <c r="J587"/>
      <c r="K587"/>
      <c r="L587"/>
      <c r="M587"/>
    </row>
    <row r="588" spans="1:13" x14ac:dyDescent="0.4">
      <c r="A588"/>
      <c r="B588"/>
      <c r="C588"/>
      <c r="D588"/>
      <c r="E588"/>
      <c r="F588"/>
      <c r="G588"/>
      <c r="H588"/>
      <c r="I588"/>
      <c r="J588"/>
      <c r="K588"/>
      <c r="L588"/>
      <c r="M588"/>
    </row>
    <row r="589" spans="1:13" x14ac:dyDescent="0.4">
      <c r="A589"/>
      <c r="B589"/>
      <c r="C589"/>
      <c r="D589"/>
      <c r="E589"/>
      <c r="F589"/>
      <c r="G589"/>
      <c r="H589"/>
      <c r="I589"/>
      <c r="J589"/>
      <c r="K589"/>
      <c r="L589"/>
      <c r="M589"/>
    </row>
    <row r="590" spans="1:13" x14ac:dyDescent="0.4">
      <c r="A590"/>
      <c r="B590"/>
      <c r="C590"/>
      <c r="D590"/>
      <c r="E590"/>
      <c r="F590"/>
      <c r="G590"/>
      <c r="H590"/>
      <c r="I590"/>
      <c r="J590"/>
      <c r="K590"/>
      <c r="L590"/>
      <c r="M590"/>
    </row>
    <row r="591" spans="1:13" x14ac:dyDescent="0.4">
      <c r="A591"/>
      <c r="B591"/>
      <c r="C591"/>
      <c r="D591"/>
      <c r="E591"/>
      <c r="F591"/>
      <c r="G591"/>
      <c r="H591"/>
      <c r="I591"/>
      <c r="J591"/>
      <c r="K591"/>
      <c r="L591"/>
      <c r="M591"/>
    </row>
    <row r="592" spans="1:13" x14ac:dyDescent="0.4">
      <c r="A592"/>
      <c r="B592"/>
      <c r="C592"/>
      <c r="D592"/>
      <c r="E592"/>
      <c r="F592"/>
      <c r="G592"/>
      <c r="H592"/>
      <c r="I592"/>
      <c r="J592"/>
      <c r="K592"/>
      <c r="L592"/>
      <c r="M592"/>
    </row>
    <row r="593" spans="1:13" x14ac:dyDescent="0.4">
      <c r="A593"/>
      <c r="B593"/>
      <c r="C593"/>
      <c r="D593"/>
      <c r="E593"/>
      <c r="F593"/>
      <c r="G593"/>
      <c r="H593"/>
      <c r="I593"/>
      <c r="J593"/>
      <c r="K593"/>
      <c r="L593"/>
      <c r="M593"/>
    </row>
    <row r="594" spans="1:13" x14ac:dyDescent="0.4">
      <c r="A594"/>
      <c r="B594"/>
      <c r="C594"/>
      <c r="D594"/>
      <c r="E594"/>
      <c r="F594"/>
      <c r="G594"/>
      <c r="H594"/>
      <c r="I594"/>
      <c r="J594"/>
      <c r="K594"/>
      <c r="L594"/>
      <c r="M594"/>
    </row>
    <row r="595" spans="1:13" x14ac:dyDescent="0.4">
      <c r="A595"/>
      <c r="B595"/>
      <c r="C595"/>
      <c r="D595"/>
      <c r="E595"/>
      <c r="F595"/>
      <c r="G595"/>
      <c r="H595"/>
      <c r="I595"/>
      <c r="J595"/>
      <c r="K595"/>
      <c r="L595"/>
      <c r="M595"/>
    </row>
    <row r="596" spans="1:13" x14ac:dyDescent="0.4">
      <c r="A596"/>
      <c r="B596"/>
      <c r="C596"/>
      <c r="D596"/>
      <c r="E596"/>
      <c r="F596"/>
      <c r="G596"/>
      <c r="H596"/>
      <c r="I596"/>
      <c r="J596"/>
      <c r="K596"/>
      <c r="L596"/>
      <c r="M596"/>
    </row>
    <row r="597" spans="1:13" x14ac:dyDescent="0.4">
      <c r="A597"/>
      <c r="B597"/>
      <c r="C597"/>
      <c r="D597"/>
      <c r="E597"/>
      <c r="F597"/>
      <c r="G597"/>
      <c r="H597"/>
      <c r="I597"/>
      <c r="J597"/>
      <c r="K597"/>
      <c r="L597"/>
      <c r="M597"/>
    </row>
    <row r="598" spans="1:13" x14ac:dyDescent="0.4">
      <c r="A598"/>
      <c r="B598"/>
      <c r="C598"/>
      <c r="D598"/>
      <c r="E598"/>
      <c r="F598"/>
      <c r="G598"/>
      <c r="H598"/>
      <c r="I598"/>
      <c r="J598"/>
      <c r="K598"/>
      <c r="L598"/>
      <c r="M598"/>
    </row>
    <row r="599" spans="1:13" x14ac:dyDescent="0.4">
      <c r="A599"/>
      <c r="B599"/>
      <c r="C599"/>
      <c r="D599"/>
      <c r="E599"/>
      <c r="F599"/>
      <c r="G599"/>
      <c r="H599"/>
      <c r="I599"/>
      <c r="J599"/>
      <c r="K599"/>
      <c r="L599"/>
      <c r="M599"/>
    </row>
    <row r="600" spans="1:13" x14ac:dyDescent="0.4">
      <c r="A600"/>
      <c r="B600"/>
      <c r="C600"/>
      <c r="D600"/>
      <c r="E600"/>
      <c r="F600"/>
      <c r="G600"/>
      <c r="H600"/>
      <c r="I600"/>
      <c r="J600"/>
      <c r="K600"/>
      <c r="L600"/>
      <c r="M600"/>
    </row>
    <row r="601" spans="1:13" x14ac:dyDescent="0.4">
      <c r="A601"/>
      <c r="B601"/>
      <c r="C601"/>
      <c r="D601"/>
      <c r="E601"/>
      <c r="F601"/>
      <c r="G601"/>
      <c r="H601"/>
      <c r="I601"/>
      <c r="J601"/>
      <c r="K601"/>
      <c r="L601"/>
      <c r="M601"/>
    </row>
    <row r="602" spans="1:13" x14ac:dyDescent="0.4">
      <c r="A602"/>
      <c r="B602"/>
      <c r="C602"/>
      <c r="D602"/>
      <c r="E602"/>
      <c r="F602"/>
      <c r="G602"/>
      <c r="H602"/>
      <c r="I602"/>
      <c r="J602"/>
      <c r="K602"/>
      <c r="L602"/>
      <c r="M602"/>
    </row>
    <row r="603" spans="1:13" x14ac:dyDescent="0.4">
      <c r="A603"/>
      <c r="B603"/>
      <c r="C603"/>
      <c r="D603"/>
      <c r="E603"/>
      <c r="F603"/>
      <c r="G603"/>
      <c r="H603"/>
      <c r="I603"/>
      <c r="J603"/>
      <c r="K603"/>
      <c r="L603"/>
      <c r="M603"/>
    </row>
    <row r="604" spans="1:13" x14ac:dyDescent="0.4">
      <c r="A604"/>
      <c r="B604"/>
      <c r="C604"/>
      <c r="D604"/>
      <c r="E604"/>
      <c r="F604"/>
      <c r="G604"/>
      <c r="H604"/>
      <c r="I604"/>
      <c r="J604"/>
      <c r="K604"/>
      <c r="L604"/>
      <c r="M604"/>
    </row>
    <row r="605" spans="1:13" x14ac:dyDescent="0.4">
      <c r="A605"/>
      <c r="B605"/>
      <c r="C605"/>
      <c r="D605"/>
      <c r="E605"/>
      <c r="F605"/>
      <c r="G605"/>
      <c r="H605"/>
      <c r="I605"/>
      <c r="J605"/>
      <c r="K605"/>
      <c r="L605"/>
      <c r="M605"/>
    </row>
    <row r="606" spans="1:13" x14ac:dyDescent="0.4">
      <c r="A606"/>
      <c r="B606"/>
      <c r="C606"/>
      <c r="D606"/>
      <c r="E606"/>
      <c r="F606"/>
      <c r="G606"/>
      <c r="H606"/>
      <c r="I606"/>
      <c r="J606"/>
      <c r="K606"/>
      <c r="L606"/>
      <c r="M606"/>
    </row>
    <row r="607" spans="1:13" x14ac:dyDescent="0.4">
      <c r="A607"/>
      <c r="B607"/>
      <c r="C607"/>
      <c r="D607"/>
      <c r="E607"/>
      <c r="F607"/>
      <c r="G607"/>
      <c r="H607"/>
      <c r="I607"/>
      <c r="J607"/>
      <c r="K607"/>
      <c r="L607"/>
      <c r="M607"/>
    </row>
    <row r="608" spans="1:13" x14ac:dyDescent="0.4">
      <c r="A608"/>
      <c r="B608"/>
      <c r="C608"/>
      <c r="D608"/>
      <c r="E608"/>
      <c r="F608"/>
      <c r="G608"/>
      <c r="H608"/>
      <c r="I608"/>
      <c r="J608"/>
      <c r="K608"/>
      <c r="L608"/>
      <c r="M608"/>
    </row>
    <row r="609" spans="1:13" x14ac:dyDescent="0.4">
      <c r="A609"/>
      <c r="B609"/>
      <c r="C609"/>
      <c r="D609"/>
      <c r="E609"/>
      <c r="F609"/>
      <c r="G609"/>
      <c r="H609"/>
      <c r="I609"/>
      <c r="J609"/>
      <c r="K609"/>
      <c r="L609"/>
      <c r="M609"/>
    </row>
    <row r="610" spans="1:13" x14ac:dyDescent="0.4">
      <c r="A610"/>
      <c r="B610"/>
      <c r="C610"/>
      <c r="D610"/>
      <c r="E610"/>
      <c r="F610"/>
      <c r="G610"/>
      <c r="H610"/>
      <c r="I610"/>
      <c r="J610"/>
      <c r="K610"/>
      <c r="L610"/>
      <c r="M610"/>
    </row>
    <row r="611" spans="1:13" x14ac:dyDescent="0.4">
      <c r="A611"/>
      <c r="B611"/>
      <c r="C611"/>
      <c r="D611"/>
      <c r="E611"/>
      <c r="F611"/>
      <c r="G611"/>
      <c r="H611"/>
      <c r="I611"/>
      <c r="J611"/>
      <c r="K611"/>
      <c r="L611"/>
      <c r="M611"/>
    </row>
    <row r="612" spans="1:13" x14ac:dyDescent="0.4">
      <c r="A612"/>
      <c r="B612"/>
      <c r="C612"/>
      <c r="D612"/>
      <c r="E612"/>
      <c r="F612"/>
      <c r="G612"/>
      <c r="H612"/>
      <c r="I612"/>
      <c r="J612"/>
      <c r="K612"/>
      <c r="L612"/>
      <c r="M612"/>
    </row>
    <row r="613" spans="1:13" x14ac:dyDescent="0.4">
      <c r="A613"/>
      <c r="B613"/>
      <c r="C613"/>
      <c r="D613"/>
      <c r="E613"/>
      <c r="F613"/>
      <c r="G613"/>
      <c r="H613"/>
      <c r="I613"/>
      <c r="J613"/>
      <c r="K613"/>
      <c r="L613"/>
      <c r="M613"/>
    </row>
    <row r="614" spans="1:13" x14ac:dyDescent="0.4">
      <c r="A614"/>
      <c r="B614"/>
      <c r="C614"/>
      <c r="D614"/>
      <c r="E614"/>
      <c r="F614"/>
      <c r="G614"/>
      <c r="H614"/>
      <c r="I614"/>
      <c r="J614"/>
      <c r="K614"/>
      <c r="L614"/>
      <c r="M614"/>
    </row>
    <row r="615" spans="1:13" x14ac:dyDescent="0.4">
      <c r="A615"/>
      <c r="B615"/>
      <c r="C615"/>
      <c r="D615"/>
      <c r="E615"/>
      <c r="F615"/>
      <c r="G615"/>
      <c r="H615"/>
      <c r="I615"/>
      <c r="J615"/>
      <c r="K615"/>
      <c r="L615"/>
      <c r="M615"/>
    </row>
    <row r="616" spans="1:13" x14ac:dyDescent="0.4">
      <c r="A616"/>
      <c r="B616"/>
      <c r="C616"/>
      <c r="D616"/>
      <c r="E616"/>
      <c r="F616"/>
      <c r="G616"/>
      <c r="H616"/>
      <c r="I616"/>
      <c r="J616"/>
      <c r="K616"/>
      <c r="L616"/>
      <c r="M616"/>
    </row>
    <row r="617" spans="1:13" x14ac:dyDescent="0.4">
      <c r="A617"/>
      <c r="B617"/>
      <c r="C617"/>
      <c r="D617"/>
      <c r="E617"/>
      <c r="F617"/>
      <c r="G617"/>
      <c r="H617"/>
      <c r="I617"/>
      <c r="J617"/>
      <c r="K617"/>
      <c r="L617"/>
      <c r="M617"/>
    </row>
    <row r="618" spans="1:13" x14ac:dyDescent="0.4">
      <c r="A618"/>
      <c r="B618"/>
      <c r="C618"/>
      <c r="D618"/>
      <c r="E618"/>
      <c r="F618"/>
      <c r="G618"/>
      <c r="H618"/>
      <c r="I618"/>
      <c r="J618"/>
      <c r="K618"/>
      <c r="L618"/>
      <c r="M618"/>
    </row>
    <row r="619" spans="1:13" x14ac:dyDescent="0.4">
      <c r="A619"/>
      <c r="B619"/>
      <c r="C619"/>
      <c r="D619"/>
      <c r="E619"/>
      <c r="F619"/>
      <c r="G619"/>
      <c r="H619"/>
      <c r="I619"/>
      <c r="J619"/>
      <c r="K619"/>
      <c r="L619"/>
      <c r="M619"/>
    </row>
    <row r="620" spans="1:13" x14ac:dyDescent="0.4">
      <c r="A620"/>
      <c r="B620"/>
      <c r="C620"/>
      <c r="D620"/>
      <c r="E620"/>
      <c r="F620"/>
      <c r="G620"/>
      <c r="H620"/>
      <c r="I620"/>
      <c r="J620"/>
      <c r="K620"/>
      <c r="L620"/>
      <c r="M620"/>
    </row>
    <row r="621" spans="1:13" x14ac:dyDescent="0.4">
      <c r="A621"/>
      <c r="B621"/>
      <c r="C621"/>
      <c r="D621"/>
      <c r="E621"/>
      <c r="F621"/>
      <c r="G621"/>
      <c r="H621"/>
      <c r="I621"/>
      <c r="J621"/>
      <c r="K621"/>
      <c r="L621"/>
      <c r="M621"/>
    </row>
    <row r="622" spans="1:13" x14ac:dyDescent="0.4">
      <c r="A622"/>
      <c r="B622"/>
      <c r="C622"/>
      <c r="D622"/>
      <c r="E622"/>
      <c r="F622"/>
      <c r="G622"/>
      <c r="H622"/>
      <c r="I622"/>
      <c r="J622"/>
      <c r="K622"/>
      <c r="L622"/>
      <c r="M622"/>
    </row>
    <row r="623" spans="1:13" x14ac:dyDescent="0.4">
      <c r="A623"/>
      <c r="B623"/>
      <c r="C623"/>
      <c r="D623"/>
      <c r="E623"/>
      <c r="F623"/>
      <c r="G623"/>
      <c r="H623"/>
      <c r="I623"/>
      <c r="J623"/>
      <c r="K623"/>
      <c r="L623"/>
      <c r="M623"/>
    </row>
    <row r="624" spans="1:13" x14ac:dyDescent="0.4">
      <c r="A624"/>
      <c r="B624"/>
      <c r="C624"/>
      <c r="D624"/>
      <c r="E624"/>
      <c r="F624"/>
      <c r="G624"/>
      <c r="H624"/>
      <c r="I624"/>
      <c r="J624"/>
      <c r="K624"/>
      <c r="L624"/>
      <c r="M624"/>
    </row>
    <row r="625" spans="1:13" x14ac:dyDescent="0.4">
      <c r="A625"/>
      <c r="B625"/>
      <c r="C625"/>
      <c r="D625"/>
      <c r="E625"/>
      <c r="F625"/>
      <c r="G625"/>
      <c r="H625"/>
      <c r="I625"/>
      <c r="J625"/>
      <c r="K625"/>
      <c r="L625"/>
      <c r="M625"/>
    </row>
    <row r="626" spans="1:13" x14ac:dyDescent="0.4">
      <c r="A626"/>
      <c r="B626"/>
      <c r="C626"/>
      <c r="D626"/>
      <c r="E626"/>
      <c r="F626"/>
      <c r="G626"/>
      <c r="H626"/>
      <c r="I626"/>
      <c r="J626"/>
      <c r="K626"/>
      <c r="L626"/>
      <c r="M626"/>
    </row>
    <row r="627" spans="1:13" x14ac:dyDescent="0.4">
      <c r="A627"/>
      <c r="B627"/>
      <c r="C627"/>
      <c r="D627"/>
      <c r="E627"/>
      <c r="F627"/>
      <c r="G627"/>
      <c r="H627"/>
      <c r="I627"/>
      <c r="J627"/>
      <c r="K627"/>
      <c r="L627"/>
      <c r="M627"/>
    </row>
    <row r="628" spans="1:13" x14ac:dyDescent="0.4">
      <c r="A628"/>
      <c r="B628"/>
      <c r="C628"/>
      <c r="D628"/>
      <c r="E628"/>
      <c r="F628"/>
      <c r="G628"/>
      <c r="H628"/>
      <c r="I628"/>
      <c r="J628"/>
      <c r="K628"/>
      <c r="L628"/>
      <c r="M628"/>
    </row>
    <row r="629" spans="1:13" x14ac:dyDescent="0.4">
      <c r="A629"/>
      <c r="B629"/>
      <c r="C629"/>
      <c r="D629"/>
      <c r="E629"/>
      <c r="F629"/>
      <c r="G629"/>
      <c r="H629"/>
      <c r="I629"/>
      <c r="J629"/>
      <c r="K629"/>
      <c r="L629"/>
      <c r="M629"/>
    </row>
    <row r="630" spans="1:13" x14ac:dyDescent="0.4">
      <c r="A630"/>
      <c r="B630"/>
      <c r="C630"/>
      <c r="D630"/>
      <c r="E630"/>
      <c r="F630"/>
      <c r="G630"/>
      <c r="H630"/>
      <c r="I630"/>
      <c r="J630"/>
      <c r="K630"/>
      <c r="L630"/>
      <c r="M630"/>
    </row>
    <row r="631" spans="1:13" x14ac:dyDescent="0.4">
      <c r="A631"/>
      <c r="B631"/>
      <c r="C631"/>
      <c r="D631"/>
      <c r="E631"/>
      <c r="F631"/>
      <c r="G631"/>
      <c r="H631"/>
      <c r="I631"/>
      <c r="J631"/>
      <c r="K631"/>
      <c r="L631"/>
      <c r="M631"/>
    </row>
    <row r="632" spans="1:13" x14ac:dyDescent="0.4">
      <c r="A632"/>
      <c r="B632"/>
      <c r="C632"/>
      <c r="D632"/>
      <c r="E632"/>
      <c r="F632"/>
      <c r="G632"/>
      <c r="H632"/>
      <c r="I632"/>
      <c r="J632"/>
      <c r="K632"/>
      <c r="L632"/>
      <c r="M632"/>
    </row>
    <row r="633" spans="1:13" x14ac:dyDescent="0.4">
      <c r="A633"/>
      <c r="B633"/>
      <c r="C633"/>
      <c r="D633"/>
      <c r="E633"/>
      <c r="F633"/>
      <c r="G633"/>
      <c r="H633"/>
      <c r="I633"/>
      <c r="J633"/>
      <c r="K633"/>
      <c r="L633"/>
      <c r="M633"/>
    </row>
    <row r="634" spans="1:13" x14ac:dyDescent="0.4">
      <c r="A634"/>
      <c r="B634"/>
      <c r="C634"/>
      <c r="D634"/>
      <c r="E634"/>
      <c r="F634"/>
      <c r="G634"/>
      <c r="H634"/>
      <c r="I634"/>
      <c r="J634"/>
      <c r="K634"/>
      <c r="L634"/>
      <c r="M634"/>
    </row>
    <row r="635" spans="1:13" x14ac:dyDescent="0.4">
      <c r="A635"/>
      <c r="B635"/>
      <c r="C635"/>
      <c r="D635"/>
      <c r="E635"/>
      <c r="F635"/>
      <c r="G635"/>
      <c r="H635"/>
      <c r="I635"/>
      <c r="J635"/>
      <c r="K635"/>
      <c r="L635"/>
      <c r="M635"/>
    </row>
    <row r="636" spans="1:13" x14ac:dyDescent="0.4">
      <c r="A636"/>
      <c r="B636"/>
      <c r="C636"/>
      <c r="D636"/>
      <c r="E636"/>
      <c r="F636"/>
      <c r="G636"/>
      <c r="H636"/>
      <c r="I636"/>
      <c r="J636"/>
      <c r="K636"/>
      <c r="L636"/>
      <c r="M636"/>
    </row>
    <row r="637" spans="1:13" x14ac:dyDescent="0.4">
      <c r="A637"/>
      <c r="B637"/>
      <c r="C637"/>
      <c r="D637"/>
      <c r="E637"/>
      <c r="F637"/>
      <c r="G637"/>
      <c r="H637"/>
      <c r="I637"/>
      <c r="J637"/>
      <c r="K637"/>
      <c r="L637"/>
      <c r="M637"/>
    </row>
    <row r="638" spans="1:13" x14ac:dyDescent="0.4">
      <c r="A638"/>
      <c r="B638"/>
      <c r="C638"/>
      <c r="D638"/>
      <c r="E638"/>
      <c r="F638"/>
      <c r="G638"/>
      <c r="H638"/>
      <c r="I638"/>
      <c r="J638"/>
      <c r="K638"/>
      <c r="L638"/>
      <c r="M638"/>
    </row>
    <row r="639" spans="1:13" x14ac:dyDescent="0.4">
      <c r="A639"/>
      <c r="B639"/>
      <c r="C639"/>
      <c r="D639"/>
      <c r="E639"/>
      <c r="F639"/>
      <c r="G639"/>
      <c r="H639"/>
      <c r="I639"/>
      <c r="J639"/>
      <c r="K639"/>
      <c r="L639"/>
      <c r="M639"/>
    </row>
    <row r="640" spans="1:13" x14ac:dyDescent="0.4">
      <c r="A640"/>
      <c r="B640"/>
      <c r="C640"/>
      <c r="D640"/>
      <c r="E640"/>
      <c r="F640"/>
      <c r="G640"/>
      <c r="H640"/>
      <c r="I640"/>
      <c r="J640"/>
      <c r="K640"/>
      <c r="L640"/>
      <c r="M640"/>
    </row>
    <row r="641" spans="1:13" x14ac:dyDescent="0.4">
      <c r="A641"/>
      <c r="B641"/>
      <c r="C641"/>
      <c r="D641"/>
      <c r="E641"/>
      <c r="F641"/>
      <c r="G641"/>
      <c r="H641"/>
      <c r="I641"/>
      <c r="J641"/>
      <c r="K641"/>
      <c r="L641"/>
      <c r="M641"/>
    </row>
    <row r="642" spans="1:13" x14ac:dyDescent="0.4">
      <c r="A642"/>
      <c r="B642"/>
      <c r="C642"/>
      <c r="D642"/>
      <c r="E642"/>
      <c r="F642"/>
      <c r="G642"/>
      <c r="H642"/>
      <c r="I642"/>
      <c r="J642"/>
      <c r="K642"/>
      <c r="L642"/>
      <c r="M642"/>
    </row>
    <row r="643" spans="1:13" x14ac:dyDescent="0.4">
      <c r="A643"/>
      <c r="B643"/>
      <c r="C643"/>
      <c r="D643"/>
      <c r="E643"/>
      <c r="F643"/>
      <c r="G643"/>
      <c r="H643"/>
      <c r="I643"/>
      <c r="J643"/>
      <c r="K643"/>
      <c r="L643"/>
      <c r="M643"/>
    </row>
    <row r="644" spans="1:13" x14ac:dyDescent="0.4">
      <c r="A644"/>
      <c r="B644"/>
      <c r="C644"/>
      <c r="D644"/>
      <c r="E644"/>
      <c r="F644"/>
      <c r="G644"/>
      <c r="H644"/>
      <c r="I644"/>
      <c r="J644"/>
      <c r="K644"/>
      <c r="L644"/>
      <c r="M644"/>
    </row>
    <row r="645" spans="1:13" x14ac:dyDescent="0.4">
      <c r="A645"/>
      <c r="B645"/>
      <c r="C645"/>
      <c r="D645"/>
      <c r="E645"/>
      <c r="F645"/>
      <c r="G645"/>
      <c r="H645"/>
      <c r="I645"/>
      <c r="J645"/>
      <c r="K645"/>
      <c r="L645"/>
      <c r="M645"/>
    </row>
    <row r="646" spans="1:13" x14ac:dyDescent="0.4">
      <c r="A646"/>
      <c r="B646"/>
      <c r="C646"/>
      <c r="D646"/>
      <c r="E646"/>
      <c r="F646"/>
      <c r="G646"/>
      <c r="H646"/>
      <c r="I646"/>
      <c r="J646"/>
      <c r="K646"/>
      <c r="L646"/>
      <c r="M646"/>
    </row>
    <row r="647" spans="1:13" x14ac:dyDescent="0.4">
      <c r="A647"/>
      <c r="B647"/>
      <c r="C647"/>
      <c r="D647"/>
      <c r="E647"/>
      <c r="F647"/>
      <c r="G647"/>
      <c r="H647"/>
      <c r="I647"/>
      <c r="J647"/>
      <c r="K647"/>
      <c r="L647"/>
      <c r="M647"/>
    </row>
    <row r="648" spans="1:13" x14ac:dyDescent="0.4">
      <c r="A648"/>
      <c r="B648"/>
      <c r="C648"/>
      <c r="D648"/>
      <c r="E648"/>
      <c r="F648"/>
      <c r="G648"/>
      <c r="H648"/>
      <c r="I648"/>
      <c r="J648"/>
      <c r="K648"/>
      <c r="L648"/>
      <c r="M648"/>
    </row>
    <row r="649" spans="1:13" x14ac:dyDescent="0.4">
      <c r="A649"/>
      <c r="B649"/>
      <c r="C649"/>
      <c r="D649"/>
      <c r="E649"/>
      <c r="F649"/>
      <c r="G649"/>
      <c r="H649"/>
      <c r="I649"/>
      <c r="J649"/>
      <c r="K649"/>
      <c r="L649"/>
      <c r="M649"/>
    </row>
    <row r="650" spans="1:13" x14ac:dyDescent="0.4">
      <c r="A650"/>
      <c r="B650"/>
      <c r="C650"/>
      <c r="D650"/>
      <c r="E650"/>
      <c r="F650"/>
      <c r="G650"/>
      <c r="H650"/>
      <c r="I650"/>
      <c r="J650"/>
      <c r="K650"/>
      <c r="L650"/>
      <c r="M650"/>
    </row>
    <row r="651" spans="1:13" x14ac:dyDescent="0.4">
      <c r="A651"/>
      <c r="B651"/>
      <c r="C651"/>
      <c r="D651"/>
      <c r="E651"/>
      <c r="F651"/>
      <c r="G651"/>
      <c r="H651"/>
      <c r="I651"/>
      <c r="J651"/>
      <c r="K651"/>
      <c r="L651"/>
      <c r="M651"/>
    </row>
    <row r="652" spans="1:13" x14ac:dyDescent="0.4">
      <c r="A652"/>
      <c r="B652"/>
      <c r="C652"/>
      <c r="D652"/>
      <c r="E652"/>
      <c r="F652"/>
      <c r="G652"/>
      <c r="H652"/>
      <c r="I652"/>
      <c r="J652"/>
      <c r="K652"/>
      <c r="L652"/>
      <c r="M652"/>
    </row>
    <row r="653" spans="1:13" x14ac:dyDescent="0.4">
      <c r="A653"/>
      <c r="B653"/>
      <c r="C653"/>
      <c r="D653"/>
      <c r="E653"/>
      <c r="F653"/>
      <c r="G653"/>
      <c r="H653"/>
      <c r="I653"/>
      <c r="J653"/>
      <c r="K653"/>
      <c r="L653"/>
      <c r="M653"/>
    </row>
    <row r="654" spans="1:13" x14ac:dyDescent="0.4">
      <c r="A654"/>
      <c r="B654"/>
      <c r="C654"/>
      <c r="D654"/>
      <c r="E654"/>
      <c r="F654"/>
      <c r="G654"/>
      <c r="H654"/>
      <c r="I654"/>
      <c r="J654"/>
      <c r="K654"/>
      <c r="L654"/>
      <c r="M654"/>
    </row>
    <row r="655" spans="1:13" x14ac:dyDescent="0.4">
      <c r="A655"/>
      <c r="B655"/>
      <c r="C655"/>
      <c r="D655"/>
      <c r="E655"/>
      <c r="F655"/>
      <c r="G655"/>
      <c r="H655"/>
      <c r="I655"/>
      <c r="J655"/>
      <c r="K655"/>
      <c r="L655"/>
      <c r="M655"/>
    </row>
    <row r="656" spans="1:13" x14ac:dyDescent="0.4">
      <c r="A656"/>
      <c r="B656"/>
      <c r="C656"/>
      <c r="D656"/>
      <c r="E656"/>
      <c r="F656"/>
      <c r="G656"/>
      <c r="H656"/>
      <c r="I656"/>
      <c r="J656"/>
      <c r="K656"/>
      <c r="L656"/>
      <c r="M656"/>
    </row>
    <row r="657" spans="1:13" x14ac:dyDescent="0.4">
      <c r="A657"/>
      <c r="B657"/>
      <c r="C657"/>
      <c r="D657"/>
      <c r="E657"/>
      <c r="F657"/>
      <c r="G657"/>
      <c r="H657"/>
      <c r="I657"/>
      <c r="J657"/>
      <c r="K657"/>
      <c r="L657"/>
      <c r="M657"/>
    </row>
    <row r="658" spans="1:13" x14ac:dyDescent="0.4">
      <c r="A658"/>
      <c r="B658"/>
      <c r="C658"/>
      <c r="D658"/>
      <c r="E658"/>
      <c r="F658"/>
      <c r="G658"/>
      <c r="H658"/>
      <c r="I658"/>
      <c r="J658"/>
      <c r="K658"/>
      <c r="L658"/>
      <c r="M658"/>
    </row>
    <row r="659" spans="1:13" x14ac:dyDescent="0.4">
      <c r="A659"/>
      <c r="B659"/>
      <c r="C659"/>
      <c r="D659"/>
      <c r="E659"/>
      <c r="F659"/>
      <c r="G659"/>
      <c r="H659"/>
      <c r="I659"/>
      <c r="J659"/>
      <c r="K659"/>
      <c r="L659"/>
      <c r="M659"/>
    </row>
    <row r="660" spans="1:13" x14ac:dyDescent="0.4">
      <c r="A660"/>
      <c r="B660"/>
      <c r="C660"/>
      <c r="D660"/>
      <c r="E660"/>
      <c r="F660"/>
      <c r="G660"/>
      <c r="H660"/>
      <c r="I660"/>
      <c r="J660"/>
      <c r="K660"/>
      <c r="L660"/>
      <c r="M660"/>
    </row>
    <row r="661" spans="1:13" x14ac:dyDescent="0.4">
      <c r="A661"/>
      <c r="B661"/>
      <c r="C661"/>
      <c r="D661"/>
      <c r="E661"/>
      <c r="F661"/>
      <c r="G661"/>
      <c r="H661"/>
      <c r="I661"/>
      <c r="J661"/>
      <c r="K661"/>
      <c r="L661"/>
      <c r="M661"/>
    </row>
    <row r="662" spans="1:13" x14ac:dyDescent="0.4">
      <c r="A662"/>
      <c r="B662"/>
      <c r="C662"/>
      <c r="D662"/>
      <c r="E662"/>
      <c r="F662"/>
      <c r="G662"/>
      <c r="H662"/>
      <c r="I662"/>
      <c r="J662"/>
      <c r="K662"/>
      <c r="L662"/>
      <c r="M662"/>
    </row>
    <row r="663" spans="1:13" x14ac:dyDescent="0.4">
      <c r="A663"/>
      <c r="B663"/>
      <c r="C663"/>
      <c r="D663"/>
      <c r="E663"/>
      <c r="F663"/>
      <c r="G663"/>
      <c r="H663"/>
      <c r="I663"/>
      <c r="J663"/>
      <c r="K663"/>
      <c r="L663"/>
      <c r="M663"/>
    </row>
    <row r="664" spans="1:13" x14ac:dyDescent="0.4">
      <c r="A664"/>
      <c r="B664"/>
      <c r="C664"/>
      <c r="D664"/>
      <c r="E664"/>
      <c r="F664"/>
      <c r="G664"/>
      <c r="H664"/>
      <c r="I664"/>
      <c r="J664"/>
      <c r="K664"/>
      <c r="L664"/>
      <c r="M664"/>
    </row>
    <row r="665" spans="1:13" x14ac:dyDescent="0.4">
      <c r="A665"/>
      <c r="B665"/>
      <c r="C665"/>
      <c r="D665"/>
      <c r="E665"/>
      <c r="F665"/>
      <c r="G665"/>
      <c r="H665"/>
      <c r="I665"/>
      <c r="J665"/>
      <c r="K665"/>
      <c r="L665"/>
      <c r="M665"/>
    </row>
    <row r="666" spans="1:13" x14ac:dyDescent="0.4">
      <c r="A666"/>
      <c r="B666"/>
      <c r="C666"/>
      <c r="D666"/>
      <c r="E666"/>
      <c r="F666"/>
      <c r="G666"/>
      <c r="H666"/>
      <c r="I666"/>
      <c r="J666"/>
      <c r="K666"/>
      <c r="L666"/>
      <c r="M666"/>
    </row>
    <row r="667" spans="1:13" x14ac:dyDescent="0.4">
      <c r="A667"/>
      <c r="B667"/>
      <c r="C667"/>
      <c r="D667"/>
      <c r="E667"/>
      <c r="F667"/>
      <c r="G667"/>
      <c r="H667"/>
      <c r="I667"/>
      <c r="J667"/>
      <c r="K667"/>
      <c r="L667"/>
      <c r="M667"/>
    </row>
    <row r="668" spans="1:13" x14ac:dyDescent="0.4">
      <c r="A668"/>
      <c r="B668"/>
      <c r="C668"/>
      <c r="D668"/>
      <c r="E668"/>
      <c r="F668"/>
      <c r="G668"/>
      <c r="H668"/>
      <c r="I668"/>
      <c r="J668"/>
      <c r="K668"/>
      <c r="L668"/>
      <c r="M668"/>
    </row>
    <row r="669" spans="1:13" x14ac:dyDescent="0.4">
      <c r="A669"/>
      <c r="B669"/>
      <c r="C669"/>
      <c r="D669"/>
      <c r="E669"/>
      <c r="F669"/>
      <c r="G669"/>
      <c r="H669"/>
      <c r="I669"/>
      <c r="J669"/>
      <c r="K669"/>
      <c r="L669"/>
      <c r="M669"/>
    </row>
    <row r="670" spans="1:13" x14ac:dyDescent="0.4">
      <c r="A670"/>
      <c r="B670"/>
      <c r="C670"/>
      <c r="D670"/>
      <c r="E670"/>
      <c r="F670"/>
      <c r="G670"/>
      <c r="H670"/>
      <c r="I670"/>
      <c r="J670"/>
      <c r="K670"/>
      <c r="L670"/>
      <c r="M670"/>
    </row>
    <row r="671" spans="1:13" x14ac:dyDescent="0.4">
      <c r="A671"/>
      <c r="B671"/>
      <c r="C671"/>
      <c r="D671"/>
      <c r="E671"/>
      <c r="F671"/>
      <c r="G671"/>
      <c r="H671"/>
      <c r="I671"/>
      <c r="J671"/>
      <c r="K671"/>
      <c r="L671"/>
      <c r="M671"/>
    </row>
    <row r="672" spans="1:13" x14ac:dyDescent="0.4">
      <c r="A672"/>
      <c r="B672"/>
      <c r="C672"/>
      <c r="D672"/>
      <c r="E672"/>
      <c r="F672"/>
      <c r="G672"/>
      <c r="H672"/>
      <c r="I672"/>
      <c r="J672"/>
      <c r="K672"/>
      <c r="L672"/>
      <c r="M672"/>
    </row>
    <row r="673" spans="1:13" x14ac:dyDescent="0.4">
      <c r="A673"/>
      <c r="B673"/>
      <c r="C673"/>
      <c r="D673"/>
      <c r="E673"/>
      <c r="F673"/>
      <c r="G673"/>
      <c r="H673"/>
      <c r="I673"/>
      <c r="J673"/>
      <c r="K673"/>
      <c r="L673"/>
      <c r="M673"/>
    </row>
    <row r="674" spans="1:13" x14ac:dyDescent="0.4">
      <c r="A674"/>
      <c r="B674"/>
      <c r="C674"/>
      <c r="D674"/>
      <c r="E674"/>
      <c r="F674"/>
      <c r="G674"/>
      <c r="H674"/>
      <c r="I674"/>
      <c r="J674"/>
      <c r="K674"/>
      <c r="L674"/>
      <c r="M674"/>
    </row>
    <row r="675" spans="1:13" x14ac:dyDescent="0.4">
      <c r="A675"/>
      <c r="B675"/>
      <c r="C675"/>
      <c r="D675"/>
      <c r="E675"/>
      <c r="F675"/>
      <c r="G675"/>
      <c r="H675"/>
      <c r="I675"/>
      <c r="J675"/>
      <c r="K675"/>
      <c r="L675"/>
      <c r="M675"/>
    </row>
    <row r="676" spans="1:13" x14ac:dyDescent="0.4">
      <c r="A676"/>
      <c r="B676"/>
      <c r="C676"/>
      <c r="D676"/>
      <c r="E676"/>
      <c r="F676"/>
      <c r="G676"/>
      <c r="H676"/>
      <c r="I676"/>
      <c r="J676"/>
      <c r="K676"/>
      <c r="L676"/>
      <c r="M676"/>
    </row>
    <row r="677" spans="1:13" x14ac:dyDescent="0.4">
      <c r="A677"/>
      <c r="B677"/>
      <c r="C677"/>
      <c r="D677"/>
      <c r="E677"/>
      <c r="F677"/>
      <c r="G677"/>
      <c r="H677"/>
      <c r="I677"/>
      <c r="J677"/>
      <c r="K677"/>
      <c r="L677"/>
      <c r="M677"/>
    </row>
    <row r="678" spans="1:13" x14ac:dyDescent="0.4">
      <c r="A678"/>
      <c r="B678"/>
      <c r="C678"/>
      <c r="D678"/>
      <c r="E678"/>
      <c r="F678"/>
      <c r="G678"/>
      <c r="H678"/>
      <c r="I678"/>
      <c r="J678"/>
      <c r="K678"/>
      <c r="L678"/>
      <c r="M678"/>
    </row>
    <row r="679" spans="1:13" x14ac:dyDescent="0.4">
      <c r="A679"/>
      <c r="B679"/>
      <c r="C679"/>
      <c r="D679"/>
      <c r="E679"/>
      <c r="F679"/>
      <c r="G679"/>
      <c r="H679"/>
      <c r="I679"/>
      <c r="J679"/>
      <c r="K679"/>
      <c r="L679"/>
      <c r="M679"/>
    </row>
    <row r="680" spans="1:13" x14ac:dyDescent="0.4">
      <c r="A680"/>
      <c r="B680"/>
      <c r="C680"/>
      <c r="D680"/>
      <c r="E680"/>
      <c r="F680"/>
      <c r="G680"/>
      <c r="H680"/>
      <c r="I680"/>
      <c r="J680"/>
      <c r="K680"/>
      <c r="L680"/>
      <c r="M680"/>
    </row>
    <row r="681" spans="1:13" x14ac:dyDescent="0.4">
      <c r="A681"/>
      <c r="B681"/>
      <c r="C681"/>
      <c r="D681"/>
      <c r="E681"/>
      <c r="F681"/>
      <c r="G681"/>
      <c r="H681"/>
      <c r="I681"/>
      <c r="J681"/>
      <c r="K681"/>
      <c r="L681"/>
      <c r="M681"/>
    </row>
    <row r="682" spans="1:13" x14ac:dyDescent="0.4">
      <c r="A682"/>
      <c r="B682"/>
      <c r="C682"/>
      <c r="D682"/>
      <c r="E682"/>
      <c r="F682"/>
      <c r="G682"/>
      <c r="H682"/>
      <c r="I682"/>
      <c r="J682"/>
      <c r="K682"/>
      <c r="L682"/>
      <c r="M682"/>
    </row>
    <row r="683" spans="1:13" x14ac:dyDescent="0.4">
      <c r="A683"/>
      <c r="B683"/>
      <c r="C683"/>
      <c r="D683"/>
      <c r="E683"/>
      <c r="F683"/>
      <c r="G683"/>
      <c r="H683"/>
      <c r="I683"/>
      <c r="J683"/>
      <c r="K683"/>
      <c r="L683"/>
      <c r="M683"/>
    </row>
    <row r="684" spans="1:13" x14ac:dyDescent="0.4">
      <c r="A684"/>
      <c r="B684"/>
      <c r="C684"/>
      <c r="D684"/>
      <c r="E684"/>
      <c r="F684"/>
      <c r="G684"/>
      <c r="H684"/>
      <c r="I684"/>
      <c r="J684"/>
      <c r="K684"/>
      <c r="L684"/>
      <c r="M684"/>
    </row>
    <row r="685" spans="1:13" x14ac:dyDescent="0.4">
      <c r="A685"/>
      <c r="B685"/>
      <c r="C685"/>
      <c r="D685"/>
      <c r="E685"/>
      <c r="F685"/>
      <c r="G685"/>
      <c r="H685"/>
      <c r="I685"/>
      <c r="J685"/>
      <c r="K685"/>
      <c r="L685"/>
      <c r="M685"/>
    </row>
    <row r="686" spans="1:13" x14ac:dyDescent="0.4">
      <c r="A686"/>
      <c r="B686"/>
      <c r="C686"/>
      <c r="D686"/>
      <c r="E686"/>
      <c r="F686"/>
      <c r="G686"/>
      <c r="H686"/>
      <c r="I686"/>
      <c r="J686"/>
      <c r="K686"/>
      <c r="L686"/>
      <c r="M686"/>
    </row>
    <row r="687" spans="1:13" x14ac:dyDescent="0.4">
      <c r="A687"/>
      <c r="B687"/>
      <c r="C687"/>
      <c r="D687"/>
      <c r="E687"/>
      <c r="F687"/>
      <c r="G687"/>
      <c r="H687"/>
      <c r="I687"/>
      <c r="J687"/>
      <c r="K687"/>
      <c r="L687"/>
      <c r="M687"/>
    </row>
    <row r="688" spans="1:13" x14ac:dyDescent="0.4">
      <c r="A688"/>
      <c r="B688"/>
      <c r="C688"/>
      <c r="D688"/>
      <c r="E688"/>
      <c r="F688"/>
      <c r="G688"/>
      <c r="H688"/>
      <c r="I688"/>
      <c r="J688"/>
      <c r="K688"/>
      <c r="L688"/>
      <c r="M688"/>
    </row>
    <row r="689" spans="1:13" x14ac:dyDescent="0.4">
      <c r="A689"/>
      <c r="B689"/>
      <c r="C689"/>
      <c r="D689"/>
      <c r="E689"/>
      <c r="F689"/>
      <c r="G689"/>
      <c r="H689"/>
      <c r="I689"/>
      <c r="J689"/>
      <c r="K689"/>
      <c r="L689"/>
      <c r="M689"/>
    </row>
    <row r="690" spans="1:13" x14ac:dyDescent="0.4">
      <c r="A690"/>
      <c r="B690"/>
      <c r="C690"/>
      <c r="D690"/>
      <c r="E690"/>
      <c r="F690"/>
      <c r="G690"/>
      <c r="H690"/>
      <c r="I690"/>
      <c r="J690"/>
      <c r="K690"/>
      <c r="L690"/>
      <c r="M690"/>
    </row>
    <row r="691" spans="1:13" x14ac:dyDescent="0.4">
      <c r="A691"/>
      <c r="B691"/>
      <c r="C691"/>
      <c r="D691"/>
      <c r="E691"/>
      <c r="F691"/>
      <c r="G691"/>
      <c r="H691"/>
      <c r="I691"/>
      <c r="J691"/>
      <c r="K691"/>
      <c r="L691"/>
      <c r="M691"/>
    </row>
    <row r="692" spans="1:13" x14ac:dyDescent="0.4">
      <c r="A692"/>
      <c r="B692"/>
      <c r="C692"/>
      <c r="D692"/>
      <c r="E692"/>
      <c r="F692"/>
      <c r="G692"/>
      <c r="H692"/>
      <c r="I692"/>
      <c r="J692"/>
      <c r="K692"/>
      <c r="L692"/>
      <c r="M692"/>
    </row>
    <row r="693" spans="1:13" x14ac:dyDescent="0.4">
      <c r="A693"/>
      <c r="B693"/>
      <c r="C693"/>
      <c r="D693"/>
      <c r="E693"/>
      <c r="F693"/>
      <c r="G693"/>
      <c r="H693"/>
      <c r="I693"/>
      <c r="J693"/>
      <c r="K693"/>
      <c r="L693"/>
      <c r="M693"/>
    </row>
    <row r="694" spans="1:13" x14ac:dyDescent="0.4">
      <c r="A694"/>
      <c r="B694"/>
      <c r="C694"/>
      <c r="D694"/>
      <c r="E694"/>
      <c r="F694"/>
      <c r="G694"/>
      <c r="H694"/>
      <c r="I694"/>
      <c r="J694"/>
      <c r="K694"/>
      <c r="L694"/>
      <c r="M694"/>
    </row>
    <row r="695" spans="1:13" x14ac:dyDescent="0.4">
      <c r="A695"/>
      <c r="B695"/>
      <c r="C695"/>
      <c r="D695"/>
      <c r="E695"/>
      <c r="F695"/>
      <c r="G695"/>
      <c r="H695"/>
      <c r="I695"/>
      <c r="J695"/>
      <c r="K695"/>
      <c r="L695"/>
      <c r="M695"/>
    </row>
    <row r="696" spans="1:13" x14ac:dyDescent="0.4">
      <c r="A696"/>
      <c r="B696"/>
      <c r="C696"/>
      <c r="D696"/>
      <c r="E696"/>
      <c r="F696"/>
      <c r="G696"/>
      <c r="H696"/>
      <c r="I696"/>
      <c r="J696"/>
      <c r="K696"/>
      <c r="L696"/>
      <c r="M696"/>
    </row>
    <row r="697" spans="1:13" x14ac:dyDescent="0.4">
      <c r="A697"/>
      <c r="B697"/>
      <c r="C697"/>
      <c r="D697"/>
      <c r="E697"/>
      <c r="F697"/>
      <c r="G697"/>
      <c r="H697"/>
      <c r="I697"/>
      <c r="J697"/>
      <c r="K697"/>
      <c r="L697"/>
      <c r="M697"/>
    </row>
    <row r="698" spans="1:13" x14ac:dyDescent="0.4">
      <c r="A698"/>
      <c r="B698"/>
      <c r="C698"/>
      <c r="D698"/>
      <c r="E698"/>
      <c r="F698"/>
      <c r="G698"/>
      <c r="H698"/>
      <c r="I698"/>
      <c r="J698"/>
      <c r="K698"/>
      <c r="L698"/>
      <c r="M698"/>
    </row>
    <row r="699" spans="1:13" x14ac:dyDescent="0.4">
      <c r="A699"/>
      <c r="B699"/>
      <c r="C699"/>
      <c r="D699"/>
      <c r="E699"/>
      <c r="F699"/>
      <c r="G699"/>
      <c r="H699"/>
      <c r="I699"/>
      <c r="J699"/>
      <c r="K699"/>
      <c r="L699"/>
      <c r="M699"/>
    </row>
    <row r="700" spans="1:13" x14ac:dyDescent="0.4">
      <c r="A700"/>
      <c r="B700"/>
      <c r="C700"/>
      <c r="D700"/>
      <c r="E700"/>
      <c r="F700"/>
      <c r="G700"/>
      <c r="H700"/>
      <c r="I700"/>
      <c r="J700"/>
      <c r="K700"/>
      <c r="L700"/>
      <c r="M700"/>
    </row>
    <row r="701" spans="1:13" x14ac:dyDescent="0.4">
      <c r="A701"/>
      <c r="B701"/>
      <c r="C701"/>
      <c r="D701"/>
      <c r="E701"/>
      <c r="F701"/>
      <c r="G701"/>
      <c r="H701"/>
      <c r="I701"/>
      <c r="J701"/>
      <c r="K701"/>
      <c r="L701"/>
      <c r="M701"/>
    </row>
    <row r="702" spans="1:13" x14ac:dyDescent="0.4">
      <c r="A702"/>
      <c r="B702"/>
      <c r="C702"/>
      <c r="D702"/>
      <c r="E702"/>
      <c r="F702"/>
      <c r="G702"/>
      <c r="H702"/>
      <c r="I702"/>
      <c r="J702"/>
      <c r="K702"/>
      <c r="L702"/>
      <c r="M702"/>
    </row>
    <row r="703" spans="1:13" x14ac:dyDescent="0.4">
      <c r="A703"/>
      <c r="B703"/>
      <c r="C703"/>
      <c r="D703"/>
      <c r="E703"/>
      <c r="F703"/>
      <c r="G703"/>
      <c r="H703"/>
      <c r="I703"/>
      <c r="J703"/>
      <c r="K703"/>
      <c r="L703"/>
      <c r="M703"/>
    </row>
    <row r="704" spans="1:13" x14ac:dyDescent="0.4">
      <c r="A704"/>
      <c r="B704"/>
      <c r="C704"/>
      <c r="D704"/>
      <c r="E704"/>
      <c r="F704"/>
      <c r="G704"/>
      <c r="H704"/>
      <c r="I704"/>
      <c r="J704"/>
      <c r="K704"/>
      <c r="L704"/>
      <c r="M704"/>
    </row>
    <row r="705" spans="1:13" x14ac:dyDescent="0.4">
      <c r="A705"/>
      <c r="B705"/>
      <c r="C705"/>
      <c r="D705"/>
      <c r="E705"/>
      <c r="F705"/>
      <c r="G705"/>
      <c r="H705"/>
      <c r="I705"/>
      <c r="J705"/>
      <c r="K705"/>
      <c r="L705"/>
      <c r="M705"/>
    </row>
    <row r="706" spans="1:13" x14ac:dyDescent="0.4">
      <c r="A706"/>
      <c r="B706"/>
      <c r="C706"/>
      <c r="D706"/>
      <c r="E706"/>
      <c r="F706"/>
      <c r="G706"/>
      <c r="H706"/>
      <c r="I706"/>
      <c r="J706"/>
      <c r="K706"/>
      <c r="L706"/>
      <c r="M706"/>
    </row>
    <row r="707" spans="1:13" x14ac:dyDescent="0.4">
      <c r="A707"/>
      <c r="B707"/>
      <c r="C707"/>
      <c r="D707"/>
      <c r="E707"/>
      <c r="F707"/>
      <c r="G707"/>
      <c r="H707"/>
      <c r="I707"/>
      <c r="J707"/>
      <c r="K707"/>
      <c r="L707"/>
      <c r="M707"/>
    </row>
    <row r="708" spans="1:13" x14ac:dyDescent="0.4">
      <c r="A708"/>
      <c r="B708"/>
      <c r="C708"/>
      <c r="D708"/>
      <c r="E708"/>
      <c r="F708"/>
      <c r="G708"/>
      <c r="H708"/>
      <c r="I708"/>
      <c r="J708"/>
      <c r="K708"/>
      <c r="L708"/>
      <c r="M708"/>
    </row>
    <row r="709" spans="1:13" x14ac:dyDescent="0.4">
      <c r="A709"/>
      <c r="B709"/>
      <c r="C709"/>
      <c r="D709"/>
      <c r="E709"/>
      <c r="F709"/>
      <c r="G709"/>
      <c r="H709"/>
      <c r="I709"/>
      <c r="J709"/>
      <c r="K709"/>
      <c r="L709"/>
      <c r="M709"/>
    </row>
    <row r="710" spans="1:13" x14ac:dyDescent="0.4">
      <c r="A710"/>
      <c r="B710"/>
      <c r="C710"/>
      <c r="D710"/>
      <c r="E710"/>
      <c r="F710"/>
      <c r="G710"/>
      <c r="H710"/>
      <c r="I710"/>
      <c r="J710"/>
      <c r="K710"/>
      <c r="L710"/>
      <c r="M710"/>
    </row>
    <row r="711" spans="1:13" x14ac:dyDescent="0.4">
      <c r="A711"/>
      <c r="B711"/>
      <c r="C711"/>
      <c r="D711"/>
      <c r="E711"/>
      <c r="F711"/>
      <c r="G711"/>
      <c r="H711"/>
      <c r="I711"/>
      <c r="J711"/>
      <c r="K711"/>
      <c r="L711"/>
      <c r="M711"/>
    </row>
    <row r="712" spans="1:13" x14ac:dyDescent="0.4">
      <c r="A712"/>
      <c r="B712"/>
      <c r="C712"/>
      <c r="D712"/>
      <c r="E712"/>
      <c r="F712"/>
      <c r="G712"/>
      <c r="H712"/>
      <c r="I712"/>
      <c r="J712"/>
      <c r="K712"/>
      <c r="L712"/>
      <c r="M712"/>
    </row>
    <row r="713" spans="1:13" x14ac:dyDescent="0.4">
      <c r="A713"/>
      <c r="B713"/>
      <c r="C713"/>
      <c r="D713"/>
      <c r="E713"/>
      <c r="F713"/>
      <c r="G713"/>
      <c r="H713"/>
      <c r="I713"/>
      <c r="J713"/>
      <c r="K713"/>
      <c r="L713"/>
      <c r="M713"/>
    </row>
    <row r="714" spans="1:13" x14ac:dyDescent="0.4">
      <c r="A714"/>
      <c r="B714"/>
      <c r="C714"/>
      <c r="D714"/>
      <c r="E714"/>
      <c r="F714"/>
      <c r="G714"/>
      <c r="H714"/>
      <c r="I714"/>
      <c r="J714"/>
      <c r="K714"/>
      <c r="L714"/>
      <c r="M714"/>
    </row>
    <row r="715" spans="1:13" x14ac:dyDescent="0.4">
      <c r="A715"/>
      <c r="B715"/>
      <c r="C715"/>
      <c r="D715"/>
      <c r="E715"/>
      <c r="F715"/>
      <c r="G715"/>
      <c r="H715"/>
      <c r="I715"/>
      <c r="J715"/>
      <c r="K715"/>
      <c r="L715"/>
      <c r="M715"/>
    </row>
    <row r="716" spans="1:13" x14ac:dyDescent="0.4">
      <c r="A716"/>
      <c r="B716"/>
      <c r="C716"/>
      <c r="D716"/>
      <c r="E716"/>
      <c r="F716"/>
      <c r="G716"/>
      <c r="H716"/>
      <c r="I716"/>
      <c r="J716"/>
      <c r="K716"/>
      <c r="L716"/>
      <c r="M716"/>
    </row>
    <row r="717" spans="1:13" x14ac:dyDescent="0.4">
      <c r="A717"/>
      <c r="B717"/>
      <c r="C717"/>
      <c r="D717"/>
      <c r="E717"/>
      <c r="F717"/>
      <c r="G717"/>
      <c r="H717"/>
      <c r="I717"/>
      <c r="J717"/>
      <c r="K717"/>
      <c r="L717"/>
      <c r="M717"/>
    </row>
    <row r="718" spans="1:13" x14ac:dyDescent="0.4">
      <c r="A718"/>
      <c r="B718"/>
      <c r="C718"/>
      <c r="D718"/>
      <c r="E718"/>
      <c r="F718"/>
      <c r="G718"/>
      <c r="H718"/>
      <c r="I718"/>
      <c r="J718"/>
      <c r="K718"/>
      <c r="L718"/>
      <c r="M718"/>
    </row>
    <row r="719" spans="1:13" x14ac:dyDescent="0.4">
      <c r="A719"/>
      <c r="B719"/>
      <c r="C719"/>
      <c r="D719"/>
      <c r="E719"/>
      <c r="F719"/>
      <c r="G719"/>
      <c r="H719"/>
      <c r="I719"/>
      <c r="J719"/>
      <c r="K719"/>
      <c r="L719"/>
      <c r="M719"/>
    </row>
    <row r="720" spans="1:13" x14ac:dyDescent="0.4">
      <c r="A720"/>
      <c r="B720"/>
      <c r="C720"/>
      <c r="D720"/>
      <c r="E720"/>
      <c r="F720"/>
      <c r="G720"/>
      <c r="H720"/>
      <c r="I720"/>
      <c r="J720"/>
      <c r="K720"/>
      <c r="L720"/>
      <c r="M720"/>
    </row>
    <row r="721" spans="1:13" x14ac:dyDescent="0.4">
      <c r="A721"/>
      <c r="B721"/>
      <c r="C721"/>
      <c r="D721"/>
      <c r="E721"/>
      <c r="F721"/>
      <c r="G721"/>
      <c r="H721"/>
      <c r="I721"/>
      <c r="J721"/>
      <c r="K721"/>
      <c r="L721"/>
      <c r="M721"/>
    </row>
    <row r="722" spans="1:13" x14ac:dyDescent="0.4">
      <c r="A722"/>
      <c r="B722"/>
      <c r="C722"/>
      <c r="D722"/>
      <c r="E722"/>
      <c r="F722"/>
      <c r="G722"/>
      <c r="H722"/>
      <c r="I722"/>
      <c r="J722"/>
      <c r="K722"/>
      <c r="L722"/>
      <c r="M722"/>
    </row>
    <row r="723" spans="1:13" x14ac:dyDescent="0.4">
      <c r="A723"/>
      <c r="B723"/>
      <c r="C723"/>
      <c r="D723"/>
      <c r="E723"/>
      <c r="F723"/>
      <c r="G723"/>
      <c r="H723"/>
      <c r="I723"/>
      <c r="J723"/>
      <c r="K723"/>
      <c r="L723"/>
      <c r="M723"/>
    </row>
    <row r="724" spans="1:13" x14ac:dyDescent="0.4">
      <c r="A724"/>
      <c r="B724"/>
      <c r="C724"/>
      <c r="D724"/>
      <c r="E724"/>
      <c r="F724"/>
      <c r="G724"/>
      <c r="H724"/>
      <c r="I724"/>
      <c r="J724"/>
      <c r="K724"/>
      <c r="L724"/>
      <c r="M724"/>
    </row>
    <row r="725" spans="1:13" x14ac:dyDescent="0.4">
      <c r="A725"/>
      <c r="B725"/>
      <c r="C725"/>
      <c r="D725"/>
      <c r="E725"/>
      <c r="F725"/>
      <c r="G725"/>
      <c r="H725"/>
      <c r="I725"/>
      <c r="J725"/>
      <c r="K725"/>
      <c r="L725"/>
      <c r="M725"/>
    </row>
    <row r="726" spans="1:13" x14ac:dyDescent="0.4">
      <c r="A726"/>
      <c r="B726"/>
      <c r="C726"/>
      <c r="D726"/>
      <c r="E726"/>
      <c r="F726"/>
      <c r="G726"/>
      <c r="H726"/>
      <c r="I726"/>
      <c r="J726"/>
      <c r="K726"/>
      <c r="L726"/>
      <c r="M726"/>
    </row>
    <row r="727" spans="1:13" x14ac:dyDescent="0.4">
      <c r="A727"/>
      <c r="B727"/>
      <c r="C727"/>
      <c r="D727"/>
      <c r="E727"/>
      <c r="F727"/>
      <c r="G727"/>
      <c r="H727"/>
      <c r="I727"/>
      <c r="J727"/>
      <c r="K727"/>
      <c r="L727"/>
      <c r="M727"/>
    </row>
    <row r="728" spans="1:13" x14ac:dyDescent="0.4">
      <c r="A728"/>
      <c r="B728"/>
      <c r="C728"/>
      <c r="D728"/>
      <c r="E728"/>
      <c r="F728"/>
      <c r="G728"/>
      <c r="H728"/>
      <c r="I728"/>
      <c r="J728"/>
      <c r="K728"/>
      <c r="L728"/>
      <c r="M728"/>
    </row>
    <row r="729" spans="1:13" x14ac:dyDescent="0.4">
      <c r="A729"/>
      <c r="B729"/>
      <c r="C729"/>
      <c r="D729"/>
      <c r="E729"/>
      <c r="F729"/>
      <c r="G729"/>
      <c r="H729"/>
      <c r="I729"/>
      <c r="J729"/>
      <c r="K729"/>
      <c r="L729"/>
      <c r="M729"/>
    </row>
    <row r="730" spans="1:13" x14ac:dyDescent="0.4">
      <c r="A730"/>
      <c r="B730"/>
      <c r="C730"/>
      <c r="D730"/>
      <c r="E730"/>
      <c r="F730"/>
      <c r="G730"/>
      <c r="H730"/>
      <c r="I730"/>
      <c r="J730"/>
      <c r="K730"/>
      <c r="L730"/>
      <c r="M730"/>
    </row>
    <row r="731" spans="1:13" x14ac:dyDescent="0.4">
      <c r="A731"/>
      <c r="B731"/>
      <c r="C731"/>
      <c r="D731"/>
      <c r="E731"/>
      <c r="F731"/>
      <c r="G731"/>
      <c r="H731"/>
      <c r="I731"/>
      <c r="J731"/>
      <c r="K731"/>
      <c r="L731"/>
      <c r="M731"/>
    </row>
    <row r="732" spans="1:13" x14ac:dyDescent="0.4">
      <c r="A732"/>
      <c r="B732"/>
      <c r="C732"/>
      <c r="D732"/>
      <c r="E732"/>
      <c r="F732"/>
      <c r="G732"/>
      <c r="H732"/>
      <c r="I732"/>
      <c r="J732"/>
      <c r="K732"/>
      <c r="L732"/>
      <c r="M732"/>
    </row>
    <row r="733" spans="1:13" x14ac:dyDescent="0.4">
      <c r="A733"/>
      <c r="B733"/>
      <c r="C733"/>
      <c r="D733"/>
      <c r="E733"/>
      <c r="F733"/>
      <c r="G733"/>
      <c r="H733"/>
      <c r="I733"/>
      <c r="J733"/>
      <c r="K733"/>
      <c r="L733"/>
      <c r="M733"/>
    </row>
    <row r="734" spans="1:13" x14ac:dyDescent="0.4">
      <c r="A734"/>
      <c r="B734"/>
      <c r="C734"/>
      <c r="D734"/>
      <c r="E734"/>
      <c r="F734"/>
      <c r="G734"/>
      <c r="H734"/>
      <c r="I734"/>
      <c r="J734"/>
      <c r="K734"/>
      <c r="L734"/>
      <c r="M734"/>
    </row>
    <row r="735" spans="1:13" x14ac:dyDescent="0.4">
      <c r="A735"/>
      <c r="B735"/>
      <c r="C735"/>
      <c r="D735"/>
      <c r="E735"/>
      <c r="F735"/>
      <c r="G735"/>
      <c r="H735"/>
      <c r="I735"/>
      <c r="J735"/>
      <c r="K735"/>
      <c r="L735"/>
      <c r="M735"/>
    </row>
    <row r="736" spans="1:13" x14ac:dyDescent="0.4">
      <c r="A736"/>
      <c r="B736"/>
      <c r="C736"/>
      <c r="D736"/>
      <c r="E736"/>
      <c r="F736"/>
      <c r="G736"/>
      <c r="H736"/>
      <c r="I736"/>
      <c r="J736"/>
      <c r="K736"/>
      <c r="L736"/>
      <c r="M736"/>
    </row>
    <row r="737" spans="1:13" x14ac:dyDescent="0.4">
      <c r="A737"/>
      <c r="B737"/>
      <c r="C737"/>
      <c r="D737"/>
      <c r="E737"/>
      <c r="F737"/>
      <c r="G737"/>
      <c r="H737"/>
      <c r="I737"/>
      <c r="J737"/>
      <c r="K737"/>
      <c r="L737"/>
      <c r="M737"/>
    </row>
    <row r="738" spans="1:13" x14ac:dyDescent="0.4">
      <c r="A738"/>
      <c r="B738"/>
      <c r="C738"/>
      <c r="D738"/>
      <c r="E738"/>
      <c r="F738"/>
      <c r="G738"/>
      <c r="H738"/>
      <c r="I738"/>
      <c r="J738"/>
      <c r="K738"/>
      <c r="L738"/>
      <c r="M738"/>
    </row>
    <row r="739" spans="1:13" x14ac:dyDescent="0.4">
      <c r="A739"/>
      <c r="B739"/>
      <c r="C739"/>
      <c r="D739"/>
      <c r="E739"/>
      <c r="F739"/>
      <c r="G739"/>
      <c r="H739"/>
      <c r="I739"/>
      <c r="J739"/>
      <c r="K739"/>
      <c r="L739"/>
      <c r="M739"/>
    </row>
    <row r="740" spans="1:13" x14ac:dyDescent="0.4">
      <c r="A740"/>
      <c r="B740"/>
      <c r="C740"/>
      <c r="D740"/>
      <c r="E740"/>
      <c r="F740"/>
      <c r="G740"/>
      <c r="H740"/>
      <c r="I740"/>
      <c r="J740"/>
      <c r="K740"/>
      <c r="L740"/>
      <c r="M740"/>
    </row>
    <row r="741" spans="1:13" x14ac:dyDescent="0.4">
      <c r="A741"/>
      <c r="B741"/>
      <c r="C741"/>
      <c r="D741"/>
      <c r="E741"/>
      <c r="F741"/>
      <c r="G741"/>
      <c r="H741"/>
      <c r="I741"/>
      <c r="J741"/>
      <c r="K741"/>
      <c r="L741"/>
      <c r="M741"/>
    </row>
    <row r="742" spans="1:13" x14ac:dyDescent="0.4">
      <c r="A742"/>
      <c r="B742"/>
      <c r="C742"/>
      <c r="D742"/>
      <c r="E742"/>
      <c r="F742"/>
      <c r="G742"/>
      <c r="H742"/>
      <c r="I742"/>
      <c r="J742"/>
      <c r="K742"/>
      <c r="L742"/>
      <c r="M742"/>
    </row>
    <row r="743" spans="1:13" x14ac:dyDescent="0.4">
      <c r="A743"/>
      <c r="B743"/>
      <c r="C743"/>
      <c r="D743"/>
      <c r="E743"/>
      <c r="F743"/>
      <c r="G743"/>
      <c r="H743"/>
      <c r="I743"/>
      <c r="J743"/>
      <c r="K743"/>
      <c r="L743"/>
      <c r="M743"/>
    </row>
    <row r="744" spans="1:13" x14ac:dyDescent="0.4">
      <c r="A744"/>
      <c r="B744"/>
      <c r="C744"/>
      <c r="D744"/>
      <c r="E744"/>
      <c r="F744"/>
      <c r="G744"/>
      <c r="H744"/>
      <c r="I744"/>
      <c r="J744"/>
      <c r="K744"/>
      <c r="L744"/>
      <c r="M744"/>
    </row>
    <row r="745" spans="1:13" x14ac:dyDescent="0.4">
      <c r="A745"/>
      <c r="B745"/>
      <c r="C745"/>
      <c r="D745"/>
      <c r="E745"/>
      <c r="F745"/>
      <c r="G745"/>
      <c r="H745"/>
      <c r="I745"/>
      <c r="J745"/>
      <c r="K745"/>
      <c r="L745"/>
      <c r="M745"/>
    </row>
    <row r="746" spans="1:13" x14ac:dyDescent="0.4">
      <c r="A746"/>
      <c r="B746"/>
      <c r="C746"/>
      <c r="D746"/>
      <c r="E746"/>
      <c r="F746"/>
      <c r="G746"/>
      <c r="H746"/>
      <c r="I746"/>
      <c r="J746"/>
      <c r="K746"/>
      <c r="L746"/>
      <c r="M746"/>
    </row>
    <row r="747" spans="1:13" x14ac:dyDescent="0.4">
      <c r="A747"/>
      <c r="B747"/>
      <c r="C747"/>
      <c r="D747"/>
      <c r="E747"/>
      <c r="F747"/>
      <c r="G747"/>
      <c r="H747"/>
      <c r="I747"/>
      <c r="J747"/>
      <c r="K747"/>
      <c r="L747"/>
      <c r="M747"/>
    </row>
    <row r="748" spans="1:13" x14ac:dyDescent="0.4">
      <c r="A748"/>
      <c r="B748"/>
      <c r="C748"/>
      <c r="D748"/>
      <c r="E748"/>
      <c r="F748"/>
      <c r="G748"/>
      <c r="H748"/>
      <c r="I748"/>
      <c r="J748"/>
      <c r="K748"/>
      <c r="L748"/>
      <c r="M748"/>
    </row>
    <row r="749" spans="1:13" x14ac:dyDescent="0.4">
      <c r="A749"/>
      <c r="B749"/>
      <c r="C749"/>
      <c r="D749"/>
      <c r="E749"/>
      <c r="F749"/>
      <c r="G749"/>
      <c r="H749"/>
      <c r="I749"/>
      <c r="J749"/>
      <c r="K749"/>
      <c r="L749"/>
      <c r="M749"/>
    </row>
    <row r="750" spans="1:13" x14ac:dyDescent="0.4">
      <c r="A750"/>
      <c r="B750"/>
      <c r="C750"/>
      <c r="D750"/>
      <c r="E750"/>
      <c r="F750"/>
      <c r="G750"/>
      <c r="H750"/>
      <c r="I750"/>
      <c r="J750"/>
      <c r="K750"/>
      <c r="L750"/>
      <c r="M750"/>
    </row>
    <row r="751" spans="1:13" x14ac:dyDescent="0.4">
      <c r="A751"/>
      <c r="B751"/>
      <c r="C751"/>
      <c r="D751"/>
      <c r="E751"/>
      <c r="F751"/>
      <c r="G751"/>
      <c r="H751"/>
      <c r="I751"/>
      <c r="J751"/>
      <c r="K751"/>
      <c r="L751"/>
      <c r="M751"/>
    </row>
    <row r="752" spans="1:13" x14ac:dyDescent="0.4">
      <c r="A752"/>
      <c r="B752"/>
      <c r="C752"/>
      <c r="D752"/>
      <c r="E752"/>
      <c r="F752"/>
      <c r="G752"/>
      <c r="H752"/>
      <c r="I752"/>
      <c r="J752"/>
      <c r="K752"/>
      <c r="L752"/>
      <c r="M752"/>
    </row>
    <row r="753" spans="1:13" x14ac:dyDescent="0.4">
      <c r="A753"/>
      <c r="B753"/>
      <c r="C753"/>
      <c r="D753"/>
      <c r="E753"/>
      <c r="F753"/>
      <c r="G753"/>
      <c r="H753"/>
      <c r="I753"/>
      <c r="J753"/>
      <c r="K753"/>
      <c r="L753"/>
      <c r="M753"/>
    </row>
    <row r="754" spans="1:13" x14ac:dyDescent="0.4">
      <c r="A754"/>
      <c r="B754"/>
      <c r="C754"/>
      <c r="D754"/>
      <c r="E754"/>
      <c r="F754"/>
      <c r="G754"/>
      <c r="H754"/>
      <c r="I754"/>
      <c r="J754"/>
      <c r="K754"/>
      <c r="L754"/>
      <c r="M754"/>
    </row>
    <row r="755" spans="1:13" x14ac:dyDescent="0.4">
      <c r="A755"/>
      <c r="B755"/>
      <c r="C755"/>
      <c r="D755"/>
      <c r="E755"/>
      <c r="F755"/>
      <c r="G755"/>
      <c r="H755"/>
      <c r="I755"/>
      <c r="J755"/>
      <c r="K755"/>
      <c r="L755"/>
      <c r="M755"/>
    </row>
    <row r="756" spans="1:13" x14ac:dyDescent="0.4">
      <c r="A756"/>
      <c r="B756"/>
      <c r="C756"/>
      <c r="D756"/>
      <c r="E756"/>
      <c r="F756"/>
      <c r="G756"/>
      <c r="H756"/>
      <c r="I756"/>
      <c r="J756"/>
      <c r="K756"/>
      <c r="L756"/>
      <c r="M756"/>
    </row>
    <row r="757" spans="1:13" x14ac:dyDescent="0.4">
      <c r="A757"/>
      <c r="B757"/>
      <c r="C757"/>
      <c r="D757"/>
      <c r="E757"/>
      <c r="F757"/>
      <c r="G757"/>
      <c r="H757"/>
      <c r="I757"/>
      <c r="J757"/>
      <c r="K757"/>
      <c r="L757"/>
      <c r="M757"/>
    </row>
    <row r="758" spans="1:13" x14ac:dyDescent="0.4">
      <c r="A758"/>
      <c r="B758"/>
      <c r="C758"/>
      <c r="D758"/>
      <c r="E758"/>
      <c r="F758"/>
      <c r="G758"/>
      <c r="H758"/>
      <c r="I758"/>
      <c r="J758"/>
      <c r="K758"/>
      <c r="L758"/>
      <c r="M758"/>
    </row>
    <row r="759" spans="1:13" x14ac:dyDescent="0.4">
      <c r="A759"/>
      <c r="B759"/>
      <c r="C759"/>
      <c r="D759"/>
      <c r="E759"/>
      <c r="F759"/>
      <c r="G759"/>
      <c r="H759"/>
      <c r="I759"/>
      <c r="J759"/>
      <c r="K759"/>
      <c r="L759"/>
      <c r="M759"/>
    </row>
    <row r="760" spans="1:13" x14ac:dyDescent="0.4">
      <c r="A760"/>
      <c r="B760"/>
      <c r="C760"/>
      <c r="D760"/>
      <c r="E760"/>
      <c r="F760"/>
      <c r="G760"/>
      <c r="H760"/>
      <c r="I760"/>
      <c r="J760"/>
      <c r="K760"/>
      <c r="L760"/>
      <c r="M760"/>
    </row>
    <row r="761" spans="1:13" x14ac:dyDescent="0.4">
      <c r="A761"/>
      <c r="B761"/>
      <c r="C761"/>
      <c r="D761"/>
      <c r="E761"/>
      <c r="F761"/>
      <c r="G761"/>
      <c r="H761"/>
      <c r="I761"/>
      <c r="J761"/>
      <c r="K761"/>
      <c r="L761"/>
      <c r="M761"/>
    </row>
    <row r="762" spans="1:13" x14ac:dyDescent="0.4">
      <c r="A762"/>
      <c r="B762"/>
      <c r="C762"/>
      <c r="D762"/>
      <c r="E762"/>
      <c r="F762"/>
      <c r="G762"/>
      <c r="H762"/>
      <c r="I762"/>
      <c r="J762"/>
      <c r="K762"/>
      <c r="L762"/>
      <c r="M762"/>
    </row>
    <row r="763" spans="1:13" x14ac:dyDescent="0.4">
      <c r="A763"/>
      <c r="B763"/>
      <c r="C763"/>
      <c r="D763"/>
      <c r="E763"/>
      <c r="F763"/>
      <c r="G763"/>
      <c r="H763"/>
      <c r="I763"/>
      <c r="J763"/>
      <c r="K763"/>
      <c r="L763"/>
      <c r="M763"/>
    </row>
    <row r="764" spans="1:13" x14ac:dyDescent="0.4">
      <c r="A764"/>
      <c r="B764"/>
      <c r="C764"/>
      <c r="D764"/>
      <c r="E764"/>
      <c r="F764"/>
      <c r="G764"/>
      <c r="H764"/>
      <c r="I764"/>
      <c r="J764"/>
      <c r="K764"/>
      <c r="L764"/>
      <c r="M764"/>
    </row>
    <row r="765" spans="1:13" x14ac:dyDescent="0.4">
      <c r="A765"/>
      <c r="B765"/>
      <c r="C765"/>
      <c r="D765"/>
      <c r="E765"/>
      <c r="F765"/>
      <c r="G765"/>
      <c r="H765"/>
      <c r="I765"/>
      <c r="J765"/>
      <c r="K765"/>
      <c r="L765"/>
      <c r="M765"/>
    </row>
    <row r="766" spans="1:13" x14ac:dyDescent="0.4">
      <c r="A766"/>
      <c r="B766"/>
      <c r="C766"/>
      <c r="D766"/>
      <c r="E766"/>
      <c r="F766"/>
      <c r="G766"/>
      <c r="H766"/>
      <c r="I766"/>
      <c r="J766"/>
      <c r="K766"/>
      <c r="L766"/>
      <c r="M766"/>
    </row>
    <row r="767" spans="1:13" x14ac:dyDescent="0.4">
      <c r="A767"/>
      <c r="B767"/>
      <c r="C767"/>
      <c r="D767"/>
      <c r="E767"/>
      <c r="F767"/>
      <c r="G767"/>
      <c r="H767"/>
      <c r="I767"/>
      <c r="J767"/>
      <c r="K767"/>
      <c r="L767"/>
      <c r="M767"/>
    </row>
    <row r="768" spans="1:13" x14ac:dyDescent="0.4">
      <c r="A768"/>
      <c r="B768"/>
      <c r="C768"/>
      <c r="D768"/>
      <c r="E768"/>
      <c r="F768"/>
      <c r="G768"/>
      <c r="H768"/>
      <c r="I768"/>
      <c r="J768"/>
      <c r="K768"/>
      <c r="L768"/>
      <c r="M768"/>
    </row>
    <row r="769" spans="1:13" x14ac:dyDescent="0.4">
      <c r="A769"/>
      <c r="B769"/>
      <c r="C769"/>
      <c r="D769"/>
      <c r="E769"/>
      <c r="F769"/>
      <c r="G769"/>
      <c r="H769"/>
      <c r="I769"/>
      <c r="J769"/>
      <c r="K769"/>
      <c r="L769"/>
      <c r="M769"/>
    </row>
    <row r="770" spans="1:13" x14ac:dyDescent="0.4">
      <c r="A770"/>
      <c r="B770"/>
      <c r="C770"/>
      <c r="D770"/>
      <c r="E770"/>
      <c r="F770"/>
      <c r="G770"/>
      <c r="H770"/>
      <c r="I770"/>
      <c r="J770"/>
      <c r="K770"/>
      <c r="L770"/>
      <c r="M770"/>
    </row>
    <row r="771" spans="1:13" x14ac:dyDescent="0.4">
      <c r="A771"/>
      <c r="B771"/>
      <c r="C771"/>
      <c r="D771"/>
      <c r="E771"/>
      <c r="F771"/>
      <c r="G771"/>
      <c r="H771"/>
      <c r="I771"/>
      <c r="J771"/>
      <c r="K771"/>
      <c r="L771"/>
      <c r="M771"/>
    </row>
    <row r="772" spans="1:13" x14ac:dyDescent="0.4">
      <c r="A772"/>
      <c r="B772"/>
      <c r="C772"/>
      <c r="D772"/>
      <c r="E772"/>
      <c r="F772"/>
      <c r="G772"/>
      <c r="H772"/>
      <c r="I772"/>
      <c r="J772"/>
      <c r="K772"/>
      <c r="L772"/>
      <c r="M772"/>
    </row>
    <row r="773" spans="1:13" x14ac:dyDescent="0.4">
      <c r="A773"/>
      <c r="B773"/>
      <c r="C773"/>
      <c r="D773"/>
      <c r="E773"/>
      <c r="F773"/>
      <c r="G773"/>
      <c r="H773"/>
      <c r="I773"/>
      <c r="J773"/>
      <c r="K773"/>
      <c r="L773"/>
      <c r="M773"/>
    </row>
    <row r="774" spans="1:13" x14ac:dyDescent="0.4">
      <c r="A774"/>
      <c r="B774"/>
      <c r="C774"/>
      <c r="D774"/>
      <c r="E774"/>
      <c r="F774"/>
      <c r="G774"/>
      <c r="H774"/>
      <c r="I774"/>
      <c r="J774"/>
      <c r="K774"/>
      <c r="L774"/>
      <c r="M774"/>
    </row>
    <row r="775" spans="1:13" x14ac:dyDescent="0.4">
      <c r="A775"/>
      <c r="B775"/>
      <c r="C775"/>
      <c r="D775"/>
      <c r="E775"/>
      <c r="F775"/>
      <c r="G775"/>
      <c r="H775"/>
      <c r="I775"/>
      <c r="J775"/>
      <c r="K775"/>
      <c r="L775"/>
      <c r="M775"/>
    </row>
    <row r="776" spans="1:13" x14ac:dyDescent="0.4">
      <c r="A776"/>
      <c r="B776"/>
      <c r="C776"/>
      <c r="D776"/>
      <c r="E776"/>
      <c r="F776"/>
      <c r="G776"/>
      <c r="H776"/>
      <c r="I776"/>
      <c r="J776"/>
      <c r="K776"/>
      <c r="L776"/>
      <c r="M776"/>
    </row>
    <row r="777" spans="1:13" x14ac:dyDescent="0.4">
      <c r="A777"/>
      <c r="B777"/>
      <c r="C777"/>
      <c r="D777"/>
      <c r="E777"/>
      <c r="F777"/>
      <c r="G777"/>
      <c r="H777"/>
      <c r="I777"/>
      <c r="J777"/>
      <c r="K777"/>
      <c r="L777"/>
      <c r="M777"/>
    </row>
    <row r="778" spans="1:13" x14ac:dyDescent="0.4">
      <c r="A778"/>
      <c r="B778"/>
      <c r="C778"/>
      <c r="D778"/>
      <c r="E778"/>
      <c r="F778"/>
      <c r="G778"/>
      <c r="H778"/>
      <c r="I778"/>
      <c r="J778"/>
      <c r="K778"/>
      <c r="L778"/>
      <c r="M778"/>
    </row>
    <row r="779" spans="1:13" x14ac:dyDescent="0.4">
      <c r="A779"/>
      <c r="B779"/>
      <c r="C779"/>
      <c r="D779"/>
      <c r="E779"/>
      <c r="F779"/>
      <c r="G779"/>
      <c r="H779"/>
      <c r="I779"/>
      <c r="J779"/>
      <c r="K779"/>
      <c r="L779"/>
      <c r="M779"/>
    </row>
    <row r="780" spans="1:13" x14ac:dyDescent="0.4">
      <c r="A780"/>
      <c r="B780"/>
      <c r="C780"/>
      <c r="D780"/>
      <c r="E780"/>
      <c r="F780"/>
      <c r="G780"/>
      <c r="H780"/>
      <c r="I780"/>
      <c r="J780"/>
      <c r="K780"/>
      <c r="L780"/>
      <c r="M780"/>
    </row>
    <row r="781" spans="1:13" x14ac:dyDescent="0.4">
      <c r="A781"/>
      <c r="B781"/>
      <c r="C781"/>
      <c r="D781"/>
      <c r="E781"/>
      <c r="F781"/>
      <c r="G781"/>
      <c r="H781"/>
      <c r="I781"/>
      <c r="J781"/>
      <c r="K781"/>
      <c r="L781"/>
      <c r="M781"/>
    </row>
    <row r="782" spans="1:13" x14ac:dyDescent="0.4">
      <c r="A782"/>
      <c r="B782"/>
      <c r="C782"/>
      <c r="D782"/>
      <c r="E782"/>
      <c r="F782"/>
      <c r="G782"/>
      <c r="H782"/>
      <c r="I782"/>
      <c r="J782"/>
      <c r="K782"/>
      <c r="L782"/>
      <c r="M782"/>
    </row>
    <row r="783" spans="1:13" x14ac:dyDescent="0.4">
      <c r="A783"/>
      <c r="B783"/>
      <c r="C783"/>
      <c r="D783"/>
      <c r="E783"/>
      <c r="F783"/>
      <c r="G783"/>
      <c r="H783"/>
      <c r="I783"/>
      <c r="J783"/>
      <c r="K783"/>
      <c r="L783"/>
      <c r="M783"/>
    </row>
    <row r="784" spans="1:13" x14ac:dyDescent="0.4">
      <c r="A784"/>
      <c r="B784"/>
      <c r="C784"/>
      <c r="D784"/>
      <c r="E784"/>
      <c r="F784"/>
      <c r="G784"/>
      <c r="H784"/>
      <c r="I784"/>
      <c r="J784"/>
      <c r="K784"/>
      <c r="L784"/>
      <c r="M784"/>
    </row>
    <row r="785" spans="1:13" x14ac:dyDescent="0.4">
      <c r="A785"/>
      <c r="B785"/>
      <c r="C785"/>
      <c r="D785"/>
      <c r="E785"/>
      <c r="F785"/>
      <c r="G785"/>
      <c r="H785"/>
      <c r="I785"/>
      <c r="J785"/>
      <c r="K785"/>
      <c r="L785"/>
      <c r="M785"/>
    </row>
    <row r="786" spans="1:13" x14ac:dyDescent="0.4">
      <c r="A786"/>
      <c r="B786"/>
      <c r="C786"/>
      <c r="D786"/>
      <c r="E786"/>
      <c r="F786"/>
      <c r="G786"/>
      <c r="H786"/>
      <c r="I786"/>
      <c r="J786"/>
      <c r="K786"/>
      <c r="L786"/>
      <c r="M786"/>
    </row>
    <row r="787" spans="1:13" x14ac:dyDescent="0.4">
      <c r="A787"/>
      <c r="B787"/>
      <c r="C787"/>
      <c r="D787"/>
      <c r="E787"/>
      <c r="F787"/>
      <c r="G787"/>
      <c r="H787"/>
      <c r="I787"/>
      <c r="J787"/>
      <c r="K787"/>
      <c r="L787"/>
      <c r="M787"/>
    </row>
    <row r="788" spans="1:13" x14ac:dyDescent="0.4">
      <c r="A788"/>
      <c r="B788"/>
      <c r="C788"/>
      <c r="D788"/>
      <c r="E788"/>
      <c r="F788"/>
      <c r="G788"/>
      <c r="H788"/>
      <c r="I788"/>
      <c r="J788"/>
      <c r="K788"/>
      <c r="L788"/>
      <c r="M788"/>
    </row>
    <row r="789" spans="1:13" x14ac:dyDescent="0.4">
      <c r="A789"/>
      <c r="B789"/>
      <c r="C789"/>
      <c r="D789"/>
      <c r="E789"/>
      <c r="F789"/>
      <c r="G789"/>
      <c r="H789"/>
      <c r="I789"/>
      <c r="J789"/>
      <c r="K789"/>
      <c r="L789"/>
      <c r="M789"/>
    </row>
    <row r="790" spans="1:13" x14ac:dyDescent="0.4">
      <c r="A790"/>
      <c r="B790"/>
      <c r="C790"/>
      <c r="D790"/>
      <c r="E790"/>
      <c r="F790"/>
      <c r="G790"/>
      <c r="H790"/>
      <c r="I790"/>
      <c r="J790"/>
      <c r="K790"/>
      <c r="L790"/>
      <c r="M790"/>
    </row>
    <row r="791" spans="1:13" x14ac:dyDescent="0.4">
      <c r="A791"/>
      <c r="B791"/>
      <c r="C791"/>
      <c r="D791"/>
      <c r="E791"/>
      <c r="F791"/>
      <c r="G791"/>
      <c r="H791"/>
      <c r="I791"/>
      <c r="J791"/>
      <c r="K791"/>
      <c r="L791"/>
      <c r="M791"/>
    </row>
    <row r="792" spans="1:13" x14ac:dyDescent="0.4">
      <c r="A792"/>
      <c r="B792"/>
      <c r="C792"/>
      <c r="D792"/>
      <c r="E792"/>
      <c r="F792"/>
      <c r="G792"/>
      <c r="H792"/>
      <c r="I792"/>
      <c r="J792"/>
      <c r="K792"/>
      <c r="L792"/>
      <c r="M792"/>
    </row>
    <row r="793" spans="1:13" x14ac:dyDescent="0.4">
      <c r="A793"/>
      <c r="B793"/>
      <c r="C793"/>
      <c r="D793"/>
      <c r="E793"/>
      <c r="F793"/>
      <c r="G793"/>
      <c r="H793"/>
      <c r="I793"/>
      <c r="J793"/>
      <c r="K793"/>
      <c r="L793"/>
      <c r="M793"/>
    </row>
    <row r="794" spans="1:13" x14ac:dyDescent="0.4">
      <c r="A794"/>
      <c r="B794"/>
      <c r="C794"/>
      <c r="D794"/>
      <c r="E794"/>
      <c r="F794"/>
      <c r="G794"/>
      <c r="H794"/>
      <c r="I794"/>
      <c r="J794"/>
      <c r="K794"/>
      <c r="L794"/>
      <c r="M794"/>
    </row>
    <row r="795" spans="1:13" x14ac:dyDescent="0.4">
      <c r="A795"/>
      <c r="B795"/>
      <c r="C795"/>
      <c r="D795"/>
      <c r="E795"/>
      <c r="F795"/>
      <c r="G795"/>
      <c r="H795"/>
      <c r="I795"/>
      <c r="J795"/>
      <c r="K795"/>
      <c r="L795"/>
      <c r="M795"/>
    </row>
    <row r="796" spans="1:13" x14ac:dyDescent="0.4">
      <c r="A796"/>
      <c r="B796"/>
      <c r="C796"/>
      <c r="D796"/>
      <c r="E796"/>
      <c r="F796"/>
      <c r="G796"/>
      <c r="H796"/>
      <c r="I796"/>
      <c r="J796"/>
      <c r="K796"/>
      <c r="L796"/>
      <c r="M796"/>
    </row>
    <row r="797" spans="1:13" x14ac:dyDescent="0.4">
      <c r="A797"/>
      <c r="B797"/>
      <c r="C797"/>
      <c r="D797"/>
      <c r="E797"/>
      <c r="F797"/>
      <c r="G797"/>
      <c r="H797"/>
      <c r="I797"/>
      <c r="J797"/>
      <c r="K797"/>
      <c r="L797"/>
      <c r="M797"/>
    </row>
    <row r="798" spans="1:13" x14ac:dyDescent="0.4">
      <c r="A798"/>
      <c r="B798"/>
      <c r="C798"/>
      <c r="D798"/>
      <c r="E798"/>
      <c r="F798"/>
      <c r="G798"/>
      <c r="H798"/>
      <c r="I798"/>
      <c r="J798"/>
      <c r="K798"/>
      <c r="L798"/>
      <c r="M798"/>
    </row>
    <row r="799" spans="1:13" x14ac:dyDescent="0.4">
      <c r="A799"/>
      <c r="B799"/>
      <c r="C799"/>
      <c r="D799"/>
      <c r="E799"/>
      <c r="F799"/>
      <c r="G799"/>
      <c r="H799"/>
      <c r="I799"/>
      <c r="J799"/>
      <c r="K799"/>
      <c r="L799"/>
      <c r="M799"/>
    </row>
    <row r="800" spans="1:13" x14ac:dyDescent="0.4">
      <c r="A800"/>
      <c r="B800"/>
      <c r="C800"/>
      <c r="D800"/>
      <c r="E800"/>
      <c r="F800"/>
      <c r="G800"/>
      <c r="H800"/>
      <c r="I800"/>
      <c r="J800"/>
      <c r="K800"/>
      <c r="L800"/>
      <c r="M800"/>
    </row>
    <row r="801" spans="1:13" x14ac:dyDescent="0.4">
      <c r="A801"/>
      <c r="B801"/>
      <c r="C801"/>
      <c r="D801"/>
      <c r="E801"/>
      <c r="F801"/>
      <c r="G801"/>
      <c r="H801"/>
      <c r="I801"/>
      <c r="J801"/>
      <c r="K801"/>
      <c r="L801"/>
      <c r="M801"/>
    </row>
    <row r="802" spans="1:13" x14ac:dyDescent="0.4">
      <c r="A802"/>
      <c r="B802"/>
      <c r="C802"/>
      <c r="D802"/>
      <c r="E802"/>
      <c r="F802"/>
      <c r="G802"/>
      <c r="H802"/>
      <c r="I802"/>
      <c r="J802"/>
      <c r="K802"/>
      <c r="L802"/>
      <c r="M802"/>
    </row>
    <row r="803" spans="1:13" x14ac:dyDescent="0.4">
      <c r="A803"/>
      <c r="B803"/>
      <c r="C803"/>
      <c r="D803"/>
      <c r="E803"/>
      <c r="F803"/>
      <c r="G803"/>
      <c r="H803"/>
      <c r="I803"/>
      <c r="J803"/>
      <c r="K803"/>
      <c r="L803"/>
      <c r="M803"/>
    </row>
    <row r="804" spans="1:13" x14ac:dyDescent="0.4">
      <c r="A804"/>
      <c r="B804"/>
      <c r="C804"/>
      <c r="D804"/>
      <c r="E804"/>
      <c r="F804"/>
      <c r="G804"/>
      <c r="H804"/>
      <c r="I804"/>
      <c r="J804"/>
      <c r="K804"/>
      <c r="L804"/>
      <c r="M804"/>
    </row>
    <row r="805" spans="1:13" x14ac:dyDescent="0.4">
      <c r="A805"/>
      <c r="B805"/>
      <c r="C805"/>
      <c r="D805"/>
      <c r="E805"/>
      <c r="F805"/>
      <c r="G805"/>
      <c r="H805"/>
      <c r="I805"/>
      <c r="J805"/>
      <c r="K805"/>
      <c r="L805"/>
      <c r="M805"/>
    </row>
    <row r="806" spans="1:13" x14ac:dyDescent="0.4">
      <c r="A806"/>
      <c r="B806"/>
      <c r="C806"/>
      <c r="D806"/>
      <c r="E806"/>
      <c r="F806"/>
      <c r="G806"/>
      <c r="H806"/>
      <c r="I806"/>
      <c r="J806"/>
      <c r="K806"/>
      <c r="L806"/>
      <c r="M806"/>
    </row>
    <row r="807" spans="1:13" x14ac:dyDescent="0.4">
      <c r="A807"/>
      <c r="B807"/>
      <c r="C807"/>
      <c r="D807"/>
      <c r="E807"/>
      <c r="F807"/>
      <c r="G807"/>
      <c r="H807"/>
      <c r="I807"/>
      <c r="J807"/>
      <c r="K807"/>
      <c r="L807"/>
      <c r="M807"/>
    </row>
    <row r="808" spans="1:13" x14ac:dyDescent="0.4">
      <c r="A808"/>
      <c r="B808"/>
      <c r="C808"/>
      <c r="D808"/>
      <c r="E808"/>
      <c r="F808"/>
      <c r="G808"/>
      <c r="H808"/>
      <c r="I808"/>
      <c r="J808"/>
      <c r="K808"/>
      <c r="L808"/>
      <c r="M808"/>
    </row>
    <row r="809" spans="1:13" x14ac:dyDescent="0.4">
      <c r="A809"/>
      <c r="B809"/>
      <c r="C809"/>
      <c r="D809"/>
      <c r="E809"/>
      <c r="F809"/>
      <c r="G809"/>
      <c r="H809"/>
      <c r="I809"/>
      <c r="J809"/>
      <c r="K809"/>
      <c r="L809"/>
      <c r="M809"/>
    </row>
    <row r="810" spans="1:13" x14ac:dyDescent="0.4">
      <c r="A810"/>
      <c r="B810"/>
      <c r="C810"/>
      <c r="D810"/>
      <c r="E810"/>
      <c r="F810"/>
      <c r="G810"/>
      <c r="H810"/>
      <c r="I810"/>
      <c r="J810"/>
      <c r="K810"/>
      <c r="L810"/>
      <c r="M810"/>
    </row>
    <row r="811" spans="1:13" x14ac:dyDescent="0.4">
      <c r="A811"/>
      <c r="B811"/>
      <c r="C811"/>
      <c r="D811"/>
      <c r="E811"/>
      <c r="F811"/>
      <c r="G811"/>
      <c r="H811"/>
      <c r="I811"/>
      <c r="J811"/>
      <c r="K811"/>
      <c r="L811"/>
      <c r="M811"/>
    </row>
    <row r="812" spans="1:13" x14ac:dyDescent="0.4">
      <c r="A812"/>
      <c r="B812"/>
      <c r="C812"/>
      <c r="D812"/>
      <c r="E812"/>
      <c r="F812"/>
      <c r="G812"/>
      <c r="H812"/>
      <c r="I812"/>
      <c r="J812"/>
      <c r="K812"/>
      <c r="L812"/>
      <c r="M812"/>
    </row>
    <row r="813" spans="1:13" x14ac:dyDescent="0.4">
      <c r="A813"/>
      <c r="B813"/>
      <c r="C813"/>
      <c r="D813"/>
      <c r="E813"/>
      <c r="F813"/>
      <c r="G813"/>
      <c r="H813"/>
      <c r="I813"/>
      <c r="J813"/>
      <c r="K813"/>
      <c r="L813"/>
      <c r="M813"/>
    </row>
    <row r="814" spans="1:13" x14ac:dyDescent="0.4">
      <c r="A814"/>
      <c r="B814"/>
      <c r="C814"/>
      <c r="D814"/>
      <c r="E814"/>
      <c r="F814"/>
      <c r="G814"/>
      <c r="H814"/>
      <c r="I814"/>
      <c r="J814"/>
      <c r="K814"/>
      <c r="L814"/>
      <c r="M814"/>
    </row>
    <row r="815" spans="1:13" x14ac:dyDescent="0.4">
      <c r="A815"/>
      <c r="B815"/>
      <c r="C815"/>
      <c r="D815"/>
      <c r="E815"/>
      <c r="F815"/>
      <c r="G815"/>
      <c r="H815"/>
      <c r="I815"/>
      <c r="J815"/>
      <c r="K815"/>
      <c r="L815"/>
      <c r="M815"/>
    </row>
    <row r="816" spans="1:13" x14ac:dyDescent="0.4">
      <c r="A816"/>
      <c r="B816"/>
      <c r="C816"/>
      <c r="D816"/>
      <c r="E816"/>
      <c r="F816"/>
      <c r="G816"/>
      <c r="H816"/>
      <c r="I816"/>
      <c r="J816"/>
      <c r="K816"/>
      <c r="L816"/>
      <c r="M816"/>
    </row>
    <row r="817" spans="1:13" x14ac:dyDescent="0.4">
      <c r="A817"/>
      <c r="B817"/>
      <c r="C817"/>
      <c r="D817"/>
      <c r="E817"/>
      <c r="F817"/>
      <c r="G817"/>
      <c r="H817"/>
      <c r="I817"/>
      <c r="J817"/>
      <c r="K817"/>
      <c r="L817"/>
      <c r="M817"/>
    </row>
    <row r="818" spans="1:13" x14ac:dyDescent="0.4">
      <c r="A818"/>
      <c r="B818"/>
      <c r="C818"/>
      <c r="D818"/>
      <c r="E818"/>
      <c r="F818"/>
      <c r="G818"/>
      <c r="H818"/>
      <c r="I818"/>
      <c r="J818"/>
      <c r="K818"/>
      <c r="L818"/>
      <c r="M818"/>
    </row>
    <row r="819" spans="1:13" x14ac:dyDescent="0.4">
      <c r="A819"/>
      <c r="B819"/>
      <c r="C819"/>
      <c r="D819"/>
      <c r="E819"/>
      <c r="F819"/>
      <c r="G819"/>
      <c r="H819"/>
      <c r="I819"/>
      <c r="J819"/>
      <c r="K819"/>
      <c r="L819"/>
      <c r="M819"/>
    </row>
    <row r="820" spans="1:13" x14ac:dyDescent="0.4">
      <c r="A820"/>
      <c r="B820"/>
      <c r="C820"/>
      <c r="D820"/>
      <c r="E820"/>
      <c r="F820"/>
      <c r="G820"/>
      <c r="H820"/>
      <c r="I820"/>
      <c r="J820"/>
      <c r="K820"/>
      <c r="L820"/>
      <c r="M820"/>
    </row>
    <row r="821" spans="1:13" x14ac:dyDescent="0.4">
      <c r="A821"/>
      <c r="B821"/>
      <c r="C821"/>
      <c r="D821"/>
      <c r="E821"/>
      <c r="F821"/>
      <c r="G821"/>
      <c r="H821"/>
      <c r="I821"/>
      <c r="J821"/>
      <c r="K821"/>
      <c r="L821"/>
      <c r="M821"/>
    </row>
    <row r="822" spans="1:13" x14ac:dyDescent="0.4">
      <c r="A822"/>
      <c r="B822"/>
      <c r="C822"/>
      <c r="D822"/>
      <c r="E822"/>
      <c r="F822"/>
      <c r="G822"/>
      <c r="H822"/>
      <c r="I822"/>
      <c r="J822"/>
      <c r="K822"/>
      <c r="L822"/>
      <c r="M822"/>
    </row>
    <row r="823" spans="1:13" x14ac:dyDescent="0.4">
      <c r="A823"/>
      <c r="B823"/>
      <c r="C823"/>
      <c r="D823"/>
      <c r="E823"/>
      <c r="F823"/>
      <c r="G823"/>
      <c r="H823"/>
      <c r="I823"/>
      <c r="J823"/>
      <c r="K823"/>
      <c r="L823"/>
      <c r="M823"/>
    </row>
    <row r="824" spans="1:13" x14ac:dyDescent="0.4">
      <c r="A824"/>
      <c r="B824"/>
      <c r="C824"/>
      <c r="D824"/>
      <c r="E824"/>
      <c r="F824"/>
      <c r="G824"/>
      <c r="H824"/>
      <c r="I824"/>
      <c r="J824"/>
      <c r="K824"/>
      <c r="L824"/>
      <c r="M824"/>
    </row>
    <row r="825" spans="1:13" x14ac:dyDescent="0.4">
      <c r="A825"/>
      <c r="B825"/>
      <c r="C825"/>
      <c r="D825"/>
      <c r="E825"/>
      <c r="F825"/>
      <c r="G825"/>
      <c r="H825"/>
      <c r="I825"/>
      <c r="J825"/>
      <c r="K825"/>
      <c r="L825"/>
      <c r="M825"/>
    </row>
    <row r="826" spans="1:13" x14ac:dyDescent="0.4">
      <c r="A826"/>
      <c r="B826"/>
      <c r="C826"/>
      <c r="D826"/>
      <c r="E826"/>
      <c r="F826"/>
      <c r="G826"/>
      <c r="H826"/>
      <c r="I826"/>
      <c r="J826"/>
      <c r="K826"/>
      <c r="L826"/>
      <c r="M826"/>
    </row>
    <row r="827" spans="1:13" x14ac:dyDescent="0.4">
      <c r="A827"/>
      <c r="B827"/>
      <c r="C827"/>
      <c r="D827"/>
      <c r="E827"/>
      <c r="F827"/>
      <c r="G827"/>
      <c r="H827"/>
      <c r="I827"/>
      <c r="J827"/>
      <c r="K827"/>
      <c r="L827"/>
      <c r="M827"/>
    </row>
    <row r="828" spans="1:13" x14ac:dyDescent="0.4">
      <c r="A828"/>
      <c r="B828"/>
      <c r="C828"/>
      <c r="D828"/>
      <c r="E828"/>
      <c r="F828"/>
      <c r="G828"/>
      <c r="H828"/>
      <c r="I828"/>
      <c r="J828"/>
      <c r="K828"/>
      <c r="L828"/>
      <c r="M828"/>
    </row>
    <row r="829" spans="1:13" x14ac:dyDescent="0.4">
      <c r="A829"/>
      <c r="B829"/>
      <c r="C829"/>
      <c r="D829"/>
      <c r="E829"/>
      <c r="F829"/>
      <c r="G829"/>
      <c r="H829"/>
      <c r="I829"/>
      <c r="J829"/>
      <c r="K829"/>
      <c r="L829"/>
      <c r="M829"/>
    </row>
    <row r="830" spans="1:13" x14ac:dyDescent="0.4">
      <c r="A830"/>
      <c r="B830"/>
      <c r="C830"/>
      <c r="D830"/>
      <c r="E830"/>
      <c r="F830"/>
      <c r="G830"/>
      <c r="H830"/>
      <c r="I830"/>
      <c r="J830"/>
      <c r="K830"/>
      <c r="L830"/>
      <c r="M830"/>
    </row>
    <row r="831" spans="1:13" x14ac:dyDescent="0.4">
      <c r="A831"/>
      <c r="B831"/>
      <c r="C831"/>
      <c r="D831"/>
      <c r="E831"/>
      <c r="F831"/>
      <c r="G831"/>
      <c r="H831"/>
      <c r="I831"/>
      <c r="J831"/>
      <c r="K831"/>
      <c r="L831"/>
      <c r="M831"/>
    </row>
    <row r="832" spans="1:13" x14ac:dyDescent="0.4">
      <c r="A832"/>
      <c r="B832"/>
      <c r="C832"/>
      <c r="D832"/>
      <c r="E832"/>
      <c r="F832"/>
      <c r="G832"/>
      <c r="H832"/>
      <c r="I832"/>
      <c r="J832"/>
      <c r="K832"/>
      <c r="L832"/>
      <c r="M832"/>
    </row>
    <row r="833" spans="1:13" x14ac:dyDescent="0.4">
      <c r="A833"/>
      <c r="B833"/>
      <c r="C833"/>
      <c r="D833"/>
      <c r="E833"/>
      <c r="F833"/>
      <c r="G833"/>
      <c r="H833"/>
      <c r="I833"/>
      <c r="J833"/>
      <c r="K833"/>
      <c r="L833"/>
      <c r="M833"/>
    </row>
    <row r="834" spans="1:13" x14ac:dyDescent="0.4">
      <c r="A834"/>
      <c r="B834"/>
      <c r="C834"/>
      <c r="D834"/>
      <c r="E834"/>
      <c r="F834"/>
      <c r="G834"/>
      <c r="H834"/>
      <c r="I834"/>
      <c r="J834"/>
      <c r="K834"/>
      <c r="L834"/>
      <c r="M834"/>
    </row>
    <row r="835" spans="1:13" x14ac:dyDescent="0.4">
      <c r="A835"/>
      <c r="B835"/>
      <c r="C835"/>
      <c r="D835"/>
      <c r="E835"/>
      <c r="F835"/>
      <c r="G835"/>
      <c r="H835"/>
      <c r="I835"/>
      <c r="J835"/>
      <c r="K835"/>
      <c r="L835"/>
      <c r="M835"/>
    </row>
    <row r="836" spans="1:13" x14ac:dyDescent="0.4">
      <c r="A836"/>
      <c r="B836"/>
      <c r="C836"/>
      <c r="D836"/>
      <c r="E836"/>
      <c r="F836"/>
      <c r="G836"/>
      <c r="H836"/>
      <c r="I836"/>
      <c r="J836"/>
      <c r="K836"/>
      <c r="L836"/>
      <c r="M836"/>
    </row>
    <row r="837" spans="1:13" x14ac:dyDescent="0.4">
      <c r="A837"/>
      <c r="B837"/>
      <c r="C837"/>
      <c r="D837"/>
      <c r="E837"/>
      <c r="F837"/>
      <c r="G837"/>
      <c r="H837"/>
      <c r="I837"/>
      <c r="J837"/>
      <c r="K837"/>
      <c r="L837"/>
      <c r="M837"/>
    </row>
    <row r="838" spans="1:13" x14ac:dyDescent="0.4">
      <c r="A838"/>
      <c r="B838"/>
      <c r="C838"/>
      <c r="D838"/>
      <c r="E838"/>
      <c r="F838"/>
      <c r="G838"/>
      <c r="H838"/>
      <c r="I838"/>
      <c r="J838"/>
      <c r="K838"/>
      <c r="L838"/>
      <c r="M838"/>
    </row>
    <row r="839" spans="1:13" x14ac:dyDescent="0.4">
      <c r="A839"/>
      <c r="B839"/>
      <c r="C839"/>
      <c r="D839"/>
      <c r="E839"/>
      <c r="F839"/>
      <c r="G839"/>
      <c r="H839"/>
      <c r="I839"/>
      <c r="J839"/>
      <c r="K839"/>
      <c r="L839"/>
      <c r="M839"/>
    </row>
    <row r="840" spans="1:13" x14ac:dyDescent="0.4">
      <c r="A840"/>
      <c r="B840"/>
      <c r="C840"/>
      <c r="D840"/>
      <c r="E840"/>
      <c r="F840"/>
      <c r="G840"/>
      <c r="H840"/>
      <c r="I840"/>
      <c r="J840"/>
      <c r="K840"/>
      <c r="L840"/>
      <c r="M840"/>
    </row>
    <row r="841" spans="1:13" x14ac:dyDescent="0.4">
      <c r="A841"/>
      <c r="B841"/>
      <c r="C841"/>
      <c r="D841"/>
      <c r="E841"/>
      <c r="F841"/>
      <c r="G841"/>
      <c r="H841"/>
      <c r="I841"/>
      <c r="J841"/>
      <c r="K841"/>
      <c r="L841"/>
      <c r="M841"/>
    </row>
    <row r="842" spans="1:13" x14ac:dyDescent="0.4">
      <c r="A842"/>
      <c r="B842"/>
      <c r="C842"/>
      <c r="D842"/>
      <c r="E842"/>
      <c r="F842"/>
      <c r="G842"/>
      <c r="H842"/>
      <c r="I842"/>
      <c r="J842"/>
      <c r="K842"/>
      <c r="L842"/>
      <c r="M842"/>
    </row>
    <row r="843" spans="1:13" x14ac:dyDescent="0.4">
      <c r="A843"/>
      <c r="B843"/>
      <c r="C843"/>
      <c r="D843"/>
      <c r="E843"/>
      <c r="F843"/>
      <c r="G843"/>
      <c r="H843"/>
      <c r="I843"/>
      <c r="J843"/>
      <c r="K843"/>
      <c r="L843"/>
      <c r="M843"/>
    </row>
    <row r="844" spans="1:13" x14ac:dyDescent="0.4">
      <c r="A844"/>
      <c r="B844"/>
      <c r="C844"/>
      <c r="D844"/>
      <c r="E844"/>
      <c r="F844"/>
      <c r="G844"/>
      <c r="H844"/>
      <c r="I844"/>
      <c r="J844"/>
      <c r="K844"/>
      <c r="L844"/>
      <c r="M844"/>
    </row>
    <row r="845" spans="1:13" x14ac:dyDescent="0.4">
      <c r="A845"/>
      <c r="B845"/>
      <c r="C845"/>
      <c r="D845"/>
      <c r="E845"/>
      <c r="F845"/>
      <c r="G845"/>
      <c r="H845"/>
      <c r="I845"/>
      <c r="J845"/>
      <c r="K845"/>
      <c r="L845"/>
      <c r="M845"/>
    </row>
    <row r="846" spans="1:13" x14ac:dyDescent="0.4">
      <c r="A846"/>
      <c r="B846"/>
      <c r="C846"/>
      <c r="D846"/>
      <c r="E846"/>
      <c r="F846"/>
      <c r="G846"/>
      <c r="H846"/>
      <c r="I846"/>
      <c r="J846"/>
      <c r="K846"/>
      <c r="L846"/>
      <c r="M846"/>
    </row>
    <row r="847" spans="1:13" x14ac:dyDescent="0.4">
      <c r="A847"/>
      <c r="B847"/>
      <c r="C847"/>
      <c r="D847"/>
      <c r="E847"/>
      <c r="F847"/>
      <c r="G847"/>
      <c r="H847"/>
      <c r="I847"/>
      <c r="J847"/>
      <c r="K847"/>
      <c r="L847"/>
      <c r="M847"/>
    </row>
    <row r="848" spans="1:13" x14ac:dyDescent="0.4">
      <c r="A848"/>
      <c r="B848"/>
      <c r="C848"/>
      <c r="D848"/>
      <c r="E848"/>
      <c r="F848"/>
      <c r="G848"/>
      <c r="H848"/>
      <c r="I848"/>
      <c r="J848"/>
      <c r="K848"/>
      <c r="L848"/>
      <c r="M848"/>
    </row>
    <row r="849" spans="1:13" x14ac:dyDescent="0.4">
      <c r="A849"/>
      <c r="B849"/>
      <c r="C849"/>
      <c r="D849"/>
      <c r="E849"/>
      <c r="F849"/>
      <c r="G849"/>
      <c r="H849"/>
      <c r="I849"/>
      <c r="J849"/>
      <c r="K849"/>
      <c r="L849"/>
      <c r="M849"/>
    </row>
    <row r="850" spans="1:13" x14ac:dyDescent="0.4">
      <c r="A850"/>
      <c r="B850"/>
      <c r="C850"/>
      <c r="D850"/>
      <c r="E850"/>
      <c r="F850"/>
      <c r="G850"/>
      <c r="H850"/>
      <c r="I850"/>
      <c r="J850"/>
      <c r="K850"/>
      <c r="L850"/>
      <c r="M850"/>
    </row>
    <row r="851" spans="1:13" x14ac:dyDescent="0.4">
      <c r="A851"/>
      <c r="B851"/>
      <c r="C851"/>
      <c r="D851"/>
      <c r="E851"/>
      <c r="F851"/>
      <c r="G851"/>
      <c r="H851"/>
      <c r="I851"/>
      <c r="J851"/>
      <c r="K851"/>
      <c r="L851"/>
      <c r="M851"/>
    </row>
    <row r="852" spans="1:13" x14ac:dyDescent="0.4">
      <c r="A852"/>
      <c r="B852"/>
      <c r="C852"/>
      <c r="D852"/>
      <c r="E852"/>
      <c r="F852"/>
      <c r="G852"/>
      <c r="H852"/>
      <c r="I852"/>
      <c r="J852"/>
      <c r="K852"/>
      <c r="L852"/>
      <c r="M852"/>
    </row>
    <row r="853" spans="1:13" x14ac:dyDescent="0.4">
      <c r="A853"/>
      <c r="B853"/>
      <c r="C853"/>
      <c r="D853"/>
      <c r="E853"/>
      <c r="F853"/>
      <c r="G853"/>
      <c r="H853"/>
      <c r="I853"/>
      <c r="J853"/>
      <c r="K853"/>
      <c r="L853"/>
      <c r="M853"/>
    </row>
    <row r="854" spans="1:13" x14ac:dyDescent="0.4">
      <c r="A854"/>
      <c r="B854"/>
      <c r="C854"/>
      <c r="D854"/>
      <c r="E854"/>
      <c r="F854"/>
      <c r="G854"/>
      <c r="H854"/>
      <c r="I854"/>
      <c r="J854"/>
      <c r="K854"/>
      <c r="L854"/>
      <c r="M854"/>
    </row>
    <row r="855" spans="1:13" x14ac:dyDescent="0.4">
      <c r="A855"/>
      <c r="B855"/>
      <c r="C855"/>
      <c r="D855"/>
      <c r="E855"/>
      <c r="F855"/>
      <c r="G855"/>
      <c r="H855"/>
      <c r="I855"/>
      <c r="J855"/>
      <c r="K855"/>
      <c r="L855"/>
      <c r="M855"/>
    </row>
    <row r="856" spans="1:13" x14ac:dyDescent="0.4">
      <c r="A856"/>
      <c r="B856"/>
      <c r="C856"/>
      <c r="D856"/>
      <c r="E856"/>
      <c r="F856"/>
      <c r="G856"/>
      <c r="H856"/>
      <c r="I856"/>
      <c r="J856"/>
      <c r="K856"/>
      <c r="L856"/>
      <c r="M856"/>
    </row>
    <row r="857" spans="1:13" x14ac:dyDescent="0.4">
      <c r="A857"/>
      <c r="B857"/>
      <c r="C857"/>
      <c r="D857"/>
      <c r="E857"/>
      <c r="F857"/>
      <c r="G857"/>
      <c r="H857"/>
      <c r="I857"/>
      <c r="J857"/>
      <c r="K857"/>
      <c r="L857"/>
      <c r="M857"/>
    </row>
    <row r="858" spans="1:13" x14ac:dyDescent="0.4">
      <c r="A858"/>
      <c r="B858"/>
      <c r="C858"/>
      <c r="D858"/>
      <c r="E858"/>
      <c r="F858"/>
      <c r="G858"/>
      <c r="H858"/>
      <c r="I858"/>
      <c r="J858"/>
      <c r="K858"/>
      <c r="L858"/>
      <c r="M858"/>
    </row>
    <row r="859" spans="1:13" x14ac:dyDescent="0.4">
      <c r="A859"/>
      <c r="B859"/>
      <c r="C859"/>
      <c r="D859"/>
      <c r="E859"/>
      <c r="F859"/>
      <c r="G859"/>
      <c r="H859"/>
      <c r="I859"/>
      <c r="J859"/>
      <c r="K859"/>
      <c r="L859"/>
      <c r="M859"/>
    </row>
    <row r="860" spans="1:13" x14ac:dyDescent="0.4">
      <c r="A860"/>
      <c r="B860"/>
      <c r="C860"/>
      <c r="D860"/>
      <c r="E860"/>
      <c r="F860"/>
      <c r="G860"/>
      <c r="H860"/>
      <c r="I860"/>
      <c r="J860"/>
      <c r="K860"/>
      <c r="L860"/>
      <c r="M860"/>
    </row>
    <row r="861" spans="1:13" x14ac:dyDescent="0.4">
      <c r="A861"/>
      <c r="B861"/>
      <c r="C861"/>
      <c r="D861"/>
      <c r="E861"/>
      <c r="F861"/>
      <c r="G861"/>
      <c r="H861"/>
      <c r="I861"/>
      <c r="J861"/>
      <c r="K861"/>
      <c r="L861"/>
      <c r="M861"/>
    </row>
    <row r="862" spans="1:13" x14ac:dyDescent="0.4">
      <c r="A862"/>
      <c r="B862"/>
      <c r="C862"/>
      <c r="D862"/>
      <c r="E862"/>
      <c r="F862"/>
      <c r="G862"/>
      <c r="H862"/>
      <c r="I862"/>
      <c r="J862"/>
      <c r="K862"/>
      <c r="L862"/>
      <c r="M862"/>
    </row>
    <row r="863" spans="1:13" x14ac:dyDescent="0.4">
      <c r="A863"/>
      <c r="B863"/>
      <c r="C863"/>
      <c r="D863"/>
      <c r="E863"/>
      <c r="F863"/>
      <c r="G863"/>
      <c r="H863"/>
      <c r="I863"/>
      <c r="J863"/>
      <c r="K863"/>
      <c r="L863"/>
      <c r="M863"/>
    </row>
    <row r="864" spans="1:13" x14ac:dyDescent="0.4">
      <c r="A864"/>
      <c r="B864"/>
      <c r="C864"/>
      <c r="D864"/>
      <c r="E864"/>
      <c r="F864"/>
      <c r="G864"/>
      <c r="H864"/>
      <c r="I864"/>
      <c r="J864"/>
      <c r="K864"/>
      <c r="L864"/>
      <c r="M864"/>
    </row>
    <row r="865" spans="1:13" x14ac:dyDescent="0.4">
      <c r="A865"/>
      <c r="B865"/>
      <c r="C865"/>
      <c r="D865"/>
      <c r="E865"/>
      <c r="F865"/>
      <c r="G865"/>
      <c r="H865"/>
      <c r="I865"/>
      <c r="J865"/>
      <c r="K865"/>
      <c r="L865"/>
      <c r="M865"/>
    </row>
    <row r="866" spans="1:13" x14ac:dyDescent="0.4">
      <c r="A866"/>
      <c r="B866"/>
      <c r="C866"/>
      <c r="D866"/>
      <c r="E866"/>
      <c r="F866"/>
      <c r="G866"/>
      <c r="H866"/>
      <c r="I866"/>
      <c r="J866"/>
      <c r="K866"/>
      <c r="L866"/>
      <c r="M866"/>
    </row>
    <row r="867" spans="1:13" x14ac:dyDescent="0.4">
      <c r="A867"/>
      <c r="B867"/>
      <c r="C867"/>
      <c r="D867"/>
      <c r="E867"/>
      <c r="F867"/>
      <c r="G867"/>
      <c r="H867"/>
      <c r="I867"/>
      <c r="J867"/>
      <c r="K867"/>
      <c r="L867"/>
      <c r="M867"/>
    </row>
    <row r="868" spans="1:13" x14ac:dyDescent="0.4">
      <c r="A868"/>
      <c r="B868"/>
      <c r="C868"/>
      <c r="D868"/>
      <c r="E868"/>
      <c r="F868"/>
      <c r="G868"/>
      <c r="H868"/>
      <c r="I868"/>
      <c r="J868"/>
      <c r="K868"/>
      <c r="L868"/>
      <c r="M868"/>
    </row>
    <row r="869" spans="1:13" x14ac:dyDescent="0.4">
      <c r="A869"/>
      <c r="B869"/>
      <c r="C869"/>
      <c r="D869"/>
      <c r="E869"/>
      <c r="F869"/>
      <c r="G869"/>
      <c r="H869"/>
      <c r="I869"/>
      <c r="J869"/>
      <c r="K869"/>
      <c r="L869"/>
      <c r="M869"/>
    </row>
    <row r="870" spans="1:13" x14ac:dyDescent="0.4">
      <c r="A870"/>
      <c r="B870"/>
      <c r="C870"/>
      <c r="D870"/>
      <c r="E870"/>
      <c r="F870"/>
      <c r="G870"/>
      <c r="H870"/>
      <c r="I870"/>
      <c r="J870"/>
      <c r="K870"/>
      <c r="L870"/>
      <c r="M870"/>
    </row>
    <row r="871" spans="1:13" x14ac:dyDescent="0.4">
      <c r="A871"/>
      <c r="B871"/>
      <c r="C871"/>
      <c r="D871"/>
      <c r="E871"/>
      <c r="F871"/>
      <c r="G871"/>
      <c r="H871"/>
      <c r="I871"/>
      <c r="J871"/>
      <c r="K871"/>
      <c r="L871"/>
      <c r="M871"/>
    </row>
    <row r="872" spans="1:13" x14ac:dyDescent="0.4">
      <c r="A872"/>
      <c r="B872"/>
      <c r="C872"/>
      <c r="D872"/>
      <c r="E872"/>
      <c r="F872"/>
      <c r="G872"/>
      <c r="H872"/>
      <c r="I872"/>
      <c r="J872"/>
      <c r="K872"/>
      <c r="L872"/>
      <c r="M872"/>
    </row>
    <row r="873" spans="1:13" x14ac:dyDescent="0.4">
      <c r="A873"/>
      <c r="B873"/>
      <c r="C873"/>
      <c r="D873"/>
      <c r="E873"/>
      <c r="F873"/>
      <c r="G873"/>
      <c r="H873"/>
      <c r="I873"/>
      <c r="J873"/>
      <c r="K873"/>
      <c r="L873"/>
      <c r="M873"/>
    </row>
    <row r="874" spans="1:13" x14ac:dyDescent="0.4">
      <c r="A874"/>
      <c r="B874"/>
      <c r="C874"/>
      <c r="D874"/>
      <c r="E874"/>
      <c r="F874"/>
      <c r="G874"/>
      <c r="H874"/>
      <c r="I874"/>
      <c r="J874"/>
      <c r="K874"/>
      <c r="L874"/>
      <c r="M874"/>
    </row>
    <row r="875" spans="1:13" x14ac:dyDescent="0.4">
      <c r="A875"/>
      <c r="B875"/>
      <c r="C875"/>
      <c r="D875"/>
      <c r="E875"/>
      <c r="F875"/>
      <c r="G875"/>
      <c r="H875"/>
      <c r="I875"/>
      <c r="J875"/>
      <c r="K875"/>
      <c r="L875"/>
      <c r="M875"/>
    </row>
    <row r="876" spans="1:13" x14ac:dyDescent="0.4">
      <c r="A876"/>
      <c r="B876"/>
      <c r="C876"/>
      <c r="D876"/>
      <c r="E876"/>
      <c r="F876"/>
      <c r="G876"/>
      <c r="H876"/>
      <c r="I876"/>
      <c r="J876"/>
      <c r="K876"/>
      <c r="L876"/>
      <c r="M876"/>
    </row>
    <row r="877" spans="1:13" x14ac:dyDescent="0.4">
      <c r="A877"/>
      <c r="B877"/>
      <c r="C877"/>
      <c r="D877"/>
      <c r="E877"/>
      <c r="F877"/>
      <c r="G877"/>
      <c r="H877"/>
      <c r="I877"/>
      <c r="J877"/>
      <c r="K877"/>
      <c r="L877"/>
      <c r="M877"/>
    </row>
    <row r="878" spans="1:13" x14ac:dyDescent="0.4">
      <c r="A878"/>
      <c r="B878"/>
      <c r="C878"/>
      <c r="D878"/>
      <c r="E878"/>
      <c r="F878"/>
      <c r="G878"/>
      <c r="H878"/>
      <c r="I878"/>
      <c r="J878"/>
      <c r="K878"/>
      <c r="L878"/>
      <c r="M878"/>
    </row>
    <row r="879" spans="1:13" x14ac:dyDescent="0.4">
      <c r="A879"/>
      <c r="B879"/>
      <c r="C879"/>
      <c r="D879"/>
      <c r="E879"/>
      <c r="F879"/>
      <c r="G879"/>
      <c r="H879"/>
      <c r="I879"/>
      <c r="J879"/>
      <c r="K879"/>
      <c r="L879"/>
      <c r="M879"/>
    </row>
    <row r="880" spans="1:13" x14ac:dyDescent="0.4">
      <c r="A880"/>
      <c r="B880"/>
      <c r="C880"/>
      <c r="D880"/>
      <c r="E880"/>
      <c r="F880"/>
      <c r="G880"/>
      <c r="H880"/>
      <c r="I880"/>
      <c r="J880"/>
      <c r="K880"/>
      <c r="L880"/>
      <c r="M880"/>
    </row>
    <row r="881" spans="1:13" x14ac:dyDescent="0.4">
      <c r="A881"/>
      <c r="B881"/>
      <c r="C881"/>
      <c r="D881"/>
      <c r="E881"/>
      <c r="F881"/>
      <c r="G881"/>
      <c r="H881"/>
      <c r="I881"/>
      <c r="J881"/>
      <c r="K881"/>
      <c r="L881"/>
      <c r="M881"/>
    </row>
    <row r="882" spans="1:13" x14ac:dyDescent="0.4">
      <c r="A882"/>
      <c r="B882"/>
      <c r="C882"/>
      <c r="D882"/>
      <c r="E882"/>
      <c r="F882"/>
      <c r="G882"/>
      <c r="H882"/>
      <c r="I882"/>
      <c r="J882"/>
      <c r="K882"/>
      <c r="L882"/>
      <c r="M882"/>
    </row>
    <row r="883" spans="1:13" x14ac:dyDescent="0.4">
      <c r="A883"/>
      <c r="B883"/>
      <c r="C883"/>
      <c r="D883"/>
      <c r="E883"/>
      <c r="F883"/>
      <c r="G883"/>
      <c r="H883"/>
      <c r="I883"/>
      <c r="J883"/>
      <c r="K883"/>
      <c r="L883"/>
      <c r="M883"/>
    </row>
    <row r="884" spans="1:13" x14ac:dyDescent="0.4">
      <c r="A884"/>
      <c r="B884"/>
      <c r="C884"/>
      <c r="D884"/>
      <c r="E884"/>
      <c r="F884"/>
      <c r="G884"/>
      <c r="H884"/>
      <c r="I884"/>
      <c r="J884"/>
      <c r="K884"/>
      <c r="L884"/>
      <c r="M884"/>
    </row>
    <row r="885" spans="1:13" x14ac:dyDescent="0.4">
      <c r="A885"/>
      <c r="B885"/>
      <c r="C885"/>
      <c r="D885"/>
      <c r="E885"/>
      <c r="F885"/>
      <c r="G885"/>
      <c r="H885"/>
      <c r="I885"/>
      <c r="J885"/>
      <c r="K885"/>
      <c r="L885"/>
      <c r="M885"/>
    </row>
    <row r="886" spans="1:13" x14ac:dyDescent="0.4">
      <c r="A886"/>
      <c r="B886"/>
      <c r="C886"/>
      <c r="D886"/>
      <c r="E886"/>
      <c r="F886"/>
      <c r="G886"/>
      <c r="H886"/>
      <c r="I886"/>
      <c r="J886"/>
      <c r="K886"/>
      <c r="L886"/>
      <c r="M886"/>
    </row>
    <row r="887" spans="1:13" x14ac:dyDescent="0.4">
      <c r="A887"/>
      <c r="B887"/>
      <c r="C887"/>
      <c r="D887"/>
      <c r="E887"/>
      <c r="F887"/>
      <c r="G887"/>
      <c r="H887"/>
      <c r="I887"/>
      <c r="J887"/>
      <c r="K887"/>
      <c r="L887"/>
      <c r="M887"/>
    </row>
    <row r="888" spans="1:13" x14ac:dyDescent="0.4">
      <c r="A888"/>
      <c r="B888"/>
      <c r="C888"/>
      <c r="D888"/>
      <c r="E888"/>
      <c r="F888"/>
      <c r="G888"/>
      <c r="H888"/>
      <c r="I888"/>
      <c r="J888"/>
      <c r="K888"/>
      <c r="L888"/>
      <c r="M888"/>
    </row>
    <row r="889" spans="1:13" x14ac:dyDescent="0.4">
      <c r="A889"/>
      <c r="B889"/>
      <c r="C889"/>
      <c r="D889"/>
      <c r="E889"/>
      <c r="F889"/>
      <c r="G889"/>
      <c r="H889"/>
      <c r="I889"/>
      <c r="J889"/>
      <c r="K889"/>
      <c r="L889"/>
      <c r="M889"/>
    </row>
    <row r="890" spans="1:13" x14ac:dyDescent="0.4">
      <c r="A890"/>
      <c r="B890"/>
      <c r="C890"/>
      <c r="D890"/>
      <c r="E890"/>
      <c r="F890"/>
      <c r="G890"/>
      <c r="H890"/>
      <c r="I890"/>
      <c r="J890"/>
      <c r="K890"/>
      <c r="L890"/>
      <c r="M890"/>
    </row>
    <row r="891" spans="1:13" x14ac:dyDescent="0.4">
      <c r="A891"/>
      <c r="B891"/>
      <c r="C891"/>
      <c r="D891"/>
      <c r="E891"/>
      <c r="F891"/>
      <c r="G891"/>
      <c r="H891"/>
      <c r="I891"/>
      <c r="J891"/>
      <c r="K891"/>
      <c r="L891"/>
      <c r="M891"/>
    </row>
    <row r="892" spans="1:13" x14ac:dyDescent="0.4">
      <c r="A892"/>
      <c r="B892"/>
      <c r="C892"/>
      <c r="D892"/>
      <c r="E892"/>
      <c r="F892"/>
      <c r="G892"/>
      <c r="H892"/>
      <c r="I892"/>
      <c r="J892"/>
      <c r="K892"/>
      <c r="L892"/>
      <c r="M892"/>
    </row>
    <row r="893" spans="1:13" x14ac:dyDescent="0.4">
      <c r="A893"/>
      <c r="B893"/>
      <c r="C893"/>
      <c r="D893"/>
      <c r="E893"/>
      <c r="F893"/>
      <c r="G893"/>
      <c r="H893"/>
      <c r="I893"/>
      <c r="J893"/>
      <c r="K893"/>
      <c r="L893"/>
      <c r="M893"/>
    </row>
    <row r="894" spans="1:13" x14ac:dyDescent="0.4">
      <c r="A894"/>
      <c r="B894"/>
      <c r="C894"/>
      <c r="D894"/>
      <c r="E894"/>
      <c r="F894"/>
      <c r="G894"/>
      <c r="H894"/>
      <c r="I894"/>
      <c r="J894"/>
      <c r="K894"/>
      <c r="L894"/>
      <c r="M894"/>
    </row>
    <row r="895" spans="1:13" x14ac:dyDescent="0.4">
      <c r="A895"/>
      <c r="B895"/>
      <c r="C895"/>
      <c r="D895"/>
      <c r="E895"/>
      <c r="F895"/>
      <c r="G895"/>
      <c r="H895"/>
      <c r="I895"/>
      <c r="J895"/>
      <c r="K895"/>
      <c r="L895"/>
      <c r="M895"/>
    </row>
    <row r="896" spans="1:13" x14ac:dyDescent="0.4">
      <c r="A896"/>
      <c r="B896"/>
      <c r="C896"/>
      <c r="D896"/>
      <c r="E896"/>
      <c r="F896"/>
      <c r="G896"/>
      <c r="H896"/>
      <c r="I896"/>
      <c r="J896"/>
      <c r="K896"/>
      <c r="L896"/>
      <c r="M896"/>
    </row>
    <row r="897" spans="1:13" x14ac:dyDescent="0.4">
      <c r="A897"/>
      <c r="B897"/>
      <c r="C897"/>
      <c r="D897"/>
      <c r="E897"/>
      <c r="F897"/>
      <c r="G897"/>
      <c r="H897"/>
      <c r="I897"/>
      <c r="J897"/>
      <c r="K897"/>
      <c r="L897"/>
      <c r="M897"/>
    </row>
    <row r="898" spans="1:13" x14ac:dyDescent="0.4">
      <c r="A898"/>
      <c r="B898"/>
      <c r="C898"/>
      <c r="D898"/>
      <c r="E898"/>
      <c r="F898"/>
      <c r="G898"/>
      <c r="H898"/>
      <c r="I898"/>
      <c r="J898"/>
      <c r="K898"/>
      <c r="L898"/>
      <c r="M898"/>
    </row>
    <row r="899" spans="1:13" x14ac:dyDescent="0.4">
      <c r="A899"/>
      <c r="B899"/>
      <c r="C899"/>
      <c r="D899"/>
      <c r="E899"/>
      <c r="F899"/>
      <c r="G899"/>
      <c r="H899"/>
      <c r="I899"/>
      <c r="J899"/>
      <c r="K899"/>
      <c r="L899"/>
      <c r="M899"/>
    </row>
    <row r="900" spans="1:13" x14ac:dyDescent="0.4">
      <c r="A900"/>
      <c r="B900"/>
      <c r="C900"/>
      <c r="D900"/>
      <c r="E900"/>
      <c r="F900"/>
      <c r="G900"/>
      <c r="H900"/>
      <c r="I900"/>
      <c r="J900"/>
      <c r="K900"/>
      <c r="L900"/>
      <c r="M900"/>
    </row>
    <row r="901" spans="1:13" x14ac:dyDescent="0.4">
      <c r="A901"/>
      <c r="B901"/>
      <c r="C901"/>
      <c r="D901"/>
      <c r="E901"/>
      <c r="F901"/>
      <c r="G901"/>
      <c r="H901"/>
      <c r="I901"/>
      <c r="J901"/>
      <c r="K901"/>
      <c r="L901"/>
      <c r="M901"/>
    </row>
    <row r="902" spans="1:13" x14ac:dyDescent="0.4">
      <c r="A902"/>
      <c r="B902"/>
      <c r="C902"/>
      <c r="D902"/>
      <c r="E902"/>
      <c r="F902"/>
      <c r="G902"/>
      <c r="H902"/>
      <c r="I902"/>
      <c r="J902"/>
      <c r="K902"/>
      <c r="L902"/>
      <c r="M902"/>
    </row>
    <row r="903" spans="1:13" x14ac:dyDescent="0.4">
      <c r="A903"/>
      <c r="B903"/>
      <c r="C903"/>
      <c r="D903"/>
      <c r="E903"/>
      <c r="F903"/>
      <c r="G903"/>
      <c r="H903"/>
      <c r="I903"/>
      <c r="J903"/>
      <c r="K903"/>
      <c r="L903"/>
      <c r="M903"/>
    </row>
    <row r="904" spans="1:13" x14ac:dyDescent="0.4">
      <c r="A904"/>
      <c r="B904"/>
      <c r="C904"/>
      <c r="D904"/>
      <c r="E904"/>
      <c r="F904"/>
      <c r="G904"/>
      <c r="H904"/>
      <c r="I904"/>
      <c r="J904"/>
      <c r="K904"/>
      <c r="L904"/>
      <c r="M904"/>
    </row>
    <row r="905" spans="1:13" x14ac:dyDescent="0.4">
      <c r="A905"/>
      <c r="B905"/>
      <c r="C905"/>
      <c r="D905"/>
      <c r="E905"/>
      <c r="F905"/>
      <c r="G905"/>
      <c r="H905"/>
      <c r="I905"/>
      <c r="J905"/>
      <c r="K905"/>
      <c r="L905"/>
      <c r="M905"/>
    </row>
    <row r="906" spans="1:13" x14ac:dyDescent="0.4">
      <c r="A906"/>
      <c r="B906"/>
      <c r="C906"/>
      <c r="D906"/>
      <c r="E906"/>
      <c r="F906"/>
      <c r="G906"/>
      <c r="H906"/>
      <c r="I906"/>
      <c r="J906"/>
      <c r="K906"/>
      <c r="L906"/>
      <c r="M906"/>
    </row>
    <row r="907" spans="1:13" x14ac:dyDescent="0.4">
      <c r="A907"/>
      <c r="B907"/>
      <c r="C907"/>
      <c r="D907"/>
      <c r="E907"/>
      <c r="F907"/>
      <c r="G907"/>
      <c r="H907"/>
      <c r="I907"/>
      <c r="J907"/>
      <c r="K907"/>
      <c r="L907"/>
      <c r="M907"/>
    </row>
    <row r="908" spans="1:13" x14ac:dyDescent="0.4">
      <c r="A908"/>
      <c r="B908"/>
      <c r="C908"/>
      <c r="D908"/>
      <c r="E908"/>
      <c r="F908"/>
      <c r="G908"/>
      <c r="H908"/>
      <c r="I908"/>
      <c r="J908"/>
      <c r="K908"/>
      <c r="L908"/>
      <c r="M908"/>
    </row>
    <row r="909" spans="1:13" x14ac:dyDescent="0.4">
      <c r="A909"/>
      <c r="B909"/>
      <c r="C909"/>
      <c r="D909"/>
      <c r="E909"/>
      <c r="F909"/>
      <c r="G909"/>
      <c r="H909"/>
      <c r="I909"/>
      <c r="J909"/>
      <c r="K909"/>
      <c r="L909"/>
      <c r="M909"/>
    </row>
    <row r="910" spans="1:13" x14ac:dyDescent="0.4">
      <c r="A910"/>
      <c r="B910"/>
      <c r="C910"/>
      <c r="D910"/>
      <c r="E910"/>
      <c r="F910"/>
      <c r="G910"/>
      <c r="H910"/>
      <c r="I910"/>
      <c r="J910"/>
      <c r="K910"/>
      <c r="L910"/>
      <c r="M910"/>
    </row>
    <row r="911" spans="1:13" x14ac:dyDescent="0.4">
      <c r="A911"/>
      <c r="B911"/>
      <c r="C911"/>
      <c r="D911"/>
      <c r="E911"/>
      <c r="F911"/>
      <c r="G911"/>
      <c r="H911"/>
      <c r="I911"/>
      <c r="J911"/>
      <c r="K911"/>
      <c r="L911"/>
      <c r="M911"/>
    </row>
    <row r="912" spans="1:13" x14ac:dyDescent="0.4">
      <c r="A912"/>
      <c r="B912"/>
      <c r="C912"/>
      <c r="D912"/>
      <c r="E912"/>
      <c r="F912"/>
      <c r="G912"/>
      <c r="H912"/>
      <c r="I912"/>
      <c r="J912"/>
      <c r="K912"/>
      <c r="L912"/>
      <c r="M912"/>
    </row>
    <row r="913" spans="1:13" x14ac:dyDescent="0.4">
      <c r="A913"/>
      <c r="B913"/>
      <c r="C913"/>
      <c r="D913"/>
      <c r="E913"/>
      <c r="F913"/>
      <c r="G913"/>
      <c r="H913"/>
      <c r="I913"/>
      <c r="J913"/>
      <c r="K913"/>
      <c r="L913"/>
      <c r="M913"/>
    </row>
    <row r="914" spans="1:13" x14ac:dyDescent="0.4">
      <c r="A914"/>
      <c r="B914"/>
      <c r="C914"/>
      <c r="D914"/>
      <c r="E914"/>
      <c r="F914"/>
      <c r="G914"/>
      <c r="H914"/>
      <c r="I914"/>
      <c r="J914"/>
      <c r="K914"/>
      <c r="L914"/>
      <c r="M914"/>
    </row>
    <row r="915" spans="1:13" x14ac:dyDescent="0.4">
      <c r="A915"/>
      <c r="B915"/>
      <c r="C915"/>
      <c r="D915"/>
      <c r="E915"/>
      <c r="F915"/>
      <c r="G915"/>
      <c r="H915"/>
      <c r="I915"/>
      <c r="J915"/>
      <c r="K915"/>
      <c r="L915"/>
      <c r="M915"/>
    </row>
    <row r="916" spans="1:13" x14ac:dyDescent="0.4">
      <c r="A916"/>
      <c r="B916"/>
      <c r="C916"/>
      <c r="D916"/>
      <c r="E916"/>
      <c r="F916"/>
      <c r="G916"/>
      <c r="H916"/>
      <c r="I916"/>
      <c r="J916"/>
      <c r="K916"/>
      <c r="L916"/>
      <c r="M916"/>
    </row>
    <row r="917" spans="1:13" x14ac:dyDescent="0.4">
      <c r="A917"/>
      <c r="B917"/>
      <c r="C917"/>
      <c r="D917"/>
      <c r="E917"/>
      <c r="F917"/>
      <c r="G917"/>
      <c r="H917"/>
      <c r="I917"/>
      <c r="J917"/>
      <c r="K917"/>
      <c r="L917"/>
      <c r="M917"/>
    </row>
    <row r="918" spans="1:13" x14ac:dyDescent="0.4">
      <c r="A918"/>
      <c r="B918"/>
      <c r="C918"/>
      <c r="D918"/>
      <c r="E918"/>
      <c r="F918"/>
      <c r="G918"/>
      <c r="H918"/>
      <c r="I918"/>
      <c r="J918"/>
      <c r="K918"/>
      <c r="L918"/>
      <c r="M918"/>
    </row>
    <row r="919" spans="1:13" x14ac:dyDescent="0.4">
      <c r="A919"/>
      <c r="B919"/>
      <c r="C919"/>
      <c r="D919"/>
      <c r="E919"/>
      <c r="F919"/>
      <c r="G919"/>
      <c r="H919"/>
      <c r="I919"/>
      <c r="J919"/>
      <c r="K919"/>
      <c r="L919"/>
      <c r="M919"/>
    </row>
    <row r="920" spans="1:13" x14ac:dyDescent="0.4">
      <c r="A920"/>
      <c r="B920"/>
      <c r="C920"/>
      <c r="D920"/>
      <c r="E920"/>
      <c r="F920"/>
      <c r="G920"/>
      <c r="H920"/>
      <c r="I920"/>
      <c r="J920"/>
      <c r="K920"/>
      <c r="L920"/>
      <c r="M920"/>
    </row>
    <row r="921" spans="1:13" x14ac:dyDescent="0.4">
      <c r="A921"/>
      <c r="B921"/>
      <c r="C921"/>
      <c r="D921"/>
      <c r="E921"/>
      <c r="F921"/>
      <c r="G921"/>
      <c r="H921"/>
      <c r="I921"/>
      <c r="J921"/>
      <c r="K921"/>
      <c r="L921"/>
      <c r="M921"/>
    </row>
    <row r="922" spans="1:13" x14ac:dyDescent="0.4">
      <c r="A922"/>
      <c r="B922"/>
      <c r="C922"/>
      <c r="D922"/>
      <c r="E922"/>
      <c r="F922"/>
      <c r="G922"/>
      <c r="H922"/>
      <c r="I922"/>
      <c r="J922"/>
      <c r="K922"/>
      <c r="L922"/>
      <c r="M922"/>
    </row>
    <row r="923" spans="1:13" x14ac:dyDescent="0.4">
      <c r="A923"/>
      <c r="B923"/>
      <c r="C923"/>
      <c r="D923"/>
      <c r="E923"/>
      <c r="F923"/>
      <c r="G923"/>
      <c r="H923"/>
      <c r="I923"/>
      <c r="J923"/>
      <c r="K923"/>
      <c r="L923"/>
      <c r="M923"/>
    </row>
    <row r="924" spans="1:13" x14ac:dyDescent="0.4">
      <c r="A924"/>
      <c r="B924"/>
      <c r="C924"/>
      <c r="D924"/>
      <c r="E924"/>
      <c r="F924"/>
      <c r="G924"/>
      <c r="H924"/>
      <c r="I924"/>
      <c r="J924"/>
      <c r="K924"/>
      <c r="L924"/>
      <c r="M924"/>
    </row>
    <row r="925" spans="1:13" x14ac:dyDescent="0.4">
      <c r="A925"/>
      <c r="B925"/>
      <c r="C925"/>
      <c r="D925"/>
      <c r="E925"/>
      <c r="F925"/>
      <c r="G925"/>
      <c r="H925"/>
      <c r="I925"/>
      <c r="J925"/>
      <c r="K925"/>
      <c r="L925"/>
      <c r="M925"/>
    </row>
    <row r="926" spans="1:13" x14ac:dyDescent="0.4">
      <c r="A926"/>
      <c r="B926"/>
      <c r="C926"/>
      <c r="D926"/>
      <c r="E926"/>
      <c r="F926"/>
      <c r="G926"/>
      <c r="H926"/>
      <c r="I926"/>
      <c r="J926"/>
      <c r="K926"/>
      <c r="L926"/>
      <c r="M926"/>
    </row>
    <row r="927" spans="1:13" x14ac:dyDescent="0.4">
      <c r="A927"/>
      <c r="B927"/>
      <c r="C927"/>
      <c r="D927"/>
      <c r="E927"/>
      <c r="F927"/>
      <c r="G927"/>
      <c r="H927"/>
      <c r="I927"/>
      <c r="J927"/>
      <c r="K927"/>
      <c r="L927"/>
      <c r="M927"/>
    </row>
    <row r="928" spans="1:13" x14ac:dyDescent="0.4">
      <c r="A928"/>
      <c r="B928"/>
      <c r="C928"/>
      <c r="D928"/>
      <c r="E928"/>
      <c r="F928"/>
      <c r="G928"/>
      <c r="H928"/>
      <c r="I928"/>
      <c r="J928"/>
      <c r="K928"/>
      <c r="L928"/>
      <c r="M928"/>
    </row>
    <row r="929" spans="1:13" x14ac:dyDescent="0.4">
      <c r="A929"/>
      <c r="B929"/>
      <c r="C929"/>
      <c r="D929"/>
      <c r="E929"/>
      <c r="F929"/>
      <c r="G929"/>
      <c r="H929"/>
      <c r="I929"/>
      <c r="J929"/>
      <c r="K929"/>
      <c r="L929"/>
      <c r="M929"/>
    </row>
    <row r="930" spans="1:13" x14ac:dyDescent="0.4">
      <c r="A930"/>
      <c r="B930"/>
      <c r="C930"/>
      <c r="D930"/>
      <c r="E930"/>
      <c r="F930"/>
      <c r="G930"/>
      <c r="H930"/>
      <c r="I930"/>
      <c r="J930"/>
      <c r="K930"/>
      <c r="L930"/>
      <c r="M930"/>
    </row>
    <row r="931" spans="1:13" x14ac:dyDescent="0.4">
      <c r="A931"/>
      <c r="B931"/>
      <c r="C931"/>
      <c r="D931"/>
      <c r="E931"/>
      <c r="F931"/>
      <c r="G931"/>
      <c r="H931"/>
      <c r="I931"/>
      <c r="J931"/>
      <c r="K931"/>
      <c r="L931"/>
      <c r="M931"/>
    </row>
    <row r="932" spans="1:13" x14ac:dyDescent="0.4">
      <c r="A932"/>
      <c r="B932"/>
      <c r="C932"/>
      <c r="D932"/>
      <c r="E932"/>
      <c r="F932"/>
      <c r="G932"/>
      <c r="H932"/>
      <c r="I932"/>
      <c r="J932"/>
      <c r="K932"/>
      <c r="L932"/>
      <c r="M932"/>
    </row>
    <row r="933" spans="1:13" x14ac:dyDescent="0.4">
      <c r="A933"/>
      <c r="B933"/>
      <c r="C933"/>
      <c r="D933"/>
      <c r="E933"/>
      <c r="F933"/>
      <c r="G933"/>
      <c r="H933"/>
      <c r="I933"/>
      <c r="J933"/>
      <c r="K933"/>
      <c r="L933"/>
      <c r="M933"/>
    </row>
    <row r="934" spans="1:13" x14ac:dyDescent="0.4">
      <c r="A934"/>
      <c r="B934"/>
      <c r="C934"/>
      <c r="D934"/>
      <c r="E934"/>
      <c r="F934"/>
      <c r="G934"/>
      <c r="H934"/>
      <c r="I934"/>
      <c r="J934"/>
      <c r="K934"/>
      <c r="L934"/>
      <c r="M934"/>
    </row>
    <row r="935" spans="1:13" x14ac:dyDescent="0.4">
      <c r="A935"/>
      <c r="B935"/>
      <c r="C935"/>
      <c r="D935"/>
      <c r="E935"/>
      <c r="F935"/>
      <c r="G935"/>
      <c r="H935"/>
      <c r="I935"/>
      <c r="J935"/>
      <c r="K935"/>
      <c r="L935"/>
      <c r="M935"/>
    </row>
    <row r="936" spans="1:13" x14ac:dyDescent="0.4">
      <c r="A936"/>
      <c r="B936"/>
      <c r="C936"/>
      <c r="D936"/>
      <c r="E936"/>
      <c r="F936"/>
      <c r="G936"/>
      <c r="H936"/>
      <c r="I936"/>
      <c r="J936"/>
      <c r="K936"/>
      <c r="L936"/>
      <c r="M936"/>
    </row>
    <row r="937" spans="1:13" x14ac:dyDescent="0.4">
      <c r="A937"/>
      <c r="B937"/>
      <c r="C937"/>
      <c r="D937"/>
      <c r="E937"/>
      <c r="F937"/>
      <c r="G937"/>
      <c r="H937"/>
      <c r="I937"/>
      <c r="J937"/>
      <c r="K937"/>
      <c r="L937"/>
      <c r="M937"/>
    </row>
    <row r="938" spans="1:13" x14ac:dyDescent="0.4">
      <c r="A938"/>
      <c r="B938"/>
      <c r="C938"/>
      <c r="D938"/>
      <c r="E938"/>
      <c r="F938"/>
      <c r="G938"/>
      <c r="H938"/>
      <c r="I938"/>
      <c r="J938"/>
      <c r="K938"/>
      <c r="L938"/>
      <c r="M938"/>
    </row>
    <row r="939" spans="1:13" x14ac:dyDescent="0.4">
      <c r="A939"/>
      <c r="B939"/>
      <c r="C939"/>
      <c r="D939"/>
      <c r="E939"/>
      <c r="F939"/>
      <c r="G939"/>
      <c r="H939"/>
      <c r="I939"/>
      <c r="J939"/>
      <c r="K939"/>
      <c r="L939"/>
      <c r="M939"/>
    </row>
    <row r="940" spans="1:13" x14ac:dyDescent="0.4">
      <c r="A940"/>
      <c r="B940"/>
      <c r="C940"/>
      <c r="D940"/>
      <c r="E940"/>
      <c r="F940"/>
      <c r="G940"/>
      <c r="H940"/>
      <c r="I940"/>
      <c r="J940"/>
      <c r="K940"/>
      <c r="L940"/>
      <c r="M940"/>
    </row>
    <row r="941" spans="1:13" x14ac:dyDescent="0.4">
      <c r="A941"/>
      <c r="B941"/>
      <c r="C941"/>
      <c r="D941"/>
      <c r="E941"/>
      <c r="F941"/>
      <c r="G941"/>
      <c r="H941"/>
      <c r="I941"/>
      <c r="J941"/>
      <c r="K941"/>
      <c r="L941"/>
      <c r="M941"/>
    </row>
    <row r="942" spans="1:13" x14ac:dyDescent="0.4">
      <c r="A942"/>
      <c r="B942"/>
      <c r="C942"/>
      <c r="D942"/>
      <c r="E942"/>
      <c r="F942"/>
      <c r="G942"/>
      <c r="H942"/>
      <c r="I942"/>
      <c r="J942"/>
      <c r="K942"/>
      <c r="L942"/>
      <c r="M942"/>
    </row>
    <row r="943" spans="1:13" x14ac:dyDescent="0.4">
      <c r="A943"/>
      <c r="B943"/>
      <c r="C943"/>
      <c r="D943"/>
      <c r="E943"/>
      <c r="F943"/>
      <c r="G943"/>
      <c r="H943"/>
      <c r="I943"/>
      <c r="J943"/>
      <c r="K943"/>
      <c r="L943"/>
      <c r="M943"/>
    </row>
    <row r="944" spans="1:13" x14ac:dyDescent="0.4">
      <c r="A944"/>
      <c r="B944"/>
      <c r="C944"/>
      <c r="D944"/>
      <c r="E944"/>
      <c r="F944"/>
      <c r="G944"/>
      <c r="H944"/>
      <c r="I944"/>
      <c r="J944"/>
      <c r="K944"/>
      <c r="L944"/>
      <c r="M944"/>
    </row>
    <row r="945" spans="1:13" x14ac:dyDescent="0.4">
      <c r="A945"/>
      <c r="B945"/>
      <c r="C945"/>
      <c r="D945"/>
      <c r="E945"/>
      <c r="F945"/>
      <c r="G945"/>
      <c r="H945"/>
      <c r="I945"/>
      <c r="J945"/>
      <c r="K945"/>
      <c r="L945"/>
      <c r="M945"/>
    </row>
    <row r="946" spans="1:13" x14ac:dyDescent="0.4">
      <c r="A946"/>
      <c r="B946"/>
      <c r="C946"/>
      <c r="D946"/>
      <c r="E946"/>
      <c r="F946"/>
      <c r="G946"/>
      <c r="H946"/>
      <c r="I946"/>
      <c r="J946"/>
      <c r="K946"/>
      <c r="L946"/>
      <c r="M946"/>
    </row>
    <row r="947" spans="1:13" x14ac:dyDescent="0.4">
      <c r="A947"/>
      <c r="B947"/>
      <c r="C947"/>
      <c r="D947"/>
      <c r="E947"/>
      <c r="F947"/>
      <c r="G947"/>
      <c r="H947"/>
      <c r="I947"/>
      <c r="J947"/>
      <c r="K947"/>
      <c r="L947"/>
      <c r="M947"/>
    </row>
    <row r="948" spans="1:13" x14ac:dyDescent="0.4">
      <c r="A948"/>
      <c r="B948"/>
      <c r="C948"/>
      <c r="D948"/>
      <c r="E948"/>
      <c r="F948"/>
      <c r="G948"/>
      <c r="H948"/>
      <c r="I948"/>
      <c r="J948"/>
      <c r="K948"/>
      <c r="L948"/>
      <c r="M948"/>
    </row>
    <row r="949" spans="1:13" x14ac:dyDescent="0.4">
      <c r="A949"/>
      <c r="B949"/>
      <c r="C949"/>
      <c r="D949"/>
      <c r="E949"/>
      <c r="F949"/>
      <c r="G949"/>
      <c r="H949"/>
      <c r="I949"/>
      <c r="J949"/>
      <c r="K949"/>
      <c r="L949"/>
      <c r="M949"/>
    </row>
    <row r="950" spans="1:13" x14ac:dyDescent="0.4">
      <c r="A950"/>
      <c r="B950"/>
      <c r="C950"/>
      <c r="D950"/>
      <c r="E950"/>
      <c r="F950"/>
      <c r="G950"/>
      <c r="H950"/>
      <c r="I950"/>
      <c r="J950"/>
      <c r="K950"/>
      <c r="L950"/>
      <c r="M950"/>
    </row>
    <row r="951" spans="1:13" x14ac:dyDescent="0.4">
      <c r="A951"/>
      <c r="B951"/>
      <c r="C951"/>
      <c r="D951"/>
      <c r="E951"/>
      <c r="F951"/>
      <c r="G951"/>
      <c r="H951"/>
      <c r="I951"/>
      <c r="J951"/>
      <c r="K951"/>
      <c r="L951"/>
      <c r="M951"/>
    </row>
    <row r="952" spans="1:13" x14ac:dyDescent="0.4">
      <c r="A952"/>
      <c r="B952"/>
      <c r="C952"/>
      <c r="D952"/>
      <c r="E952"/>
      <c r="F952"/>
      <c r="G952"/>
      <c r="H952"/>
      <c r="I952"/>
      <c r="J952"/>
      <c r="K952"/>
      <c r="L952"/>
      <c r="M952"/>
    </row>
    <row r="953" spans="1:13" x14ac:dyDescent="0.4">
      <c r="A953"/>
      <c r="B953"/>
      <c r="C953"/>
      <c r="D953"/>
      <c r="E953"/>
      <c r="F953"/>
      <c r="G953"/>
      <c r="H953"/>
      <c r="I953"/>
      <c r="J953"/>
      <c r="K953"/>
      <c r="L953"/>
      <c r="M953"/>
    </row>
    <row r="954" spans="1:13" x14ac:dyDescent="0.4">
      <c r="A954"/>
      <c r="B954"/>
      <c r="C954"/>
      <c r="D954"/>
      <c r="E954"/>
      <c r="F954"/>
      <c r="G954"/>
      <c r="H954"/>
      <c r="I954"/>
      <c r="J954"/>
      <c r="K954"/>
      <c r="L954"/>
      <c r="M954"/>
    </row>
    <row r="955" spans="1:13" x14ac:dyDescent="0.4">
      <c r="A955"/>
      <c r="B955"/>
      <c r="C955"/>
      <c r="D955"/>
      <c r="E955"/>
      <c r="F955"/>
      <c r="G955"/>
      <c r="H955"/>
      <c r="I955"/>
      <c r="J955"/>
      <c r="K955"/>
      <c r="L955"/>
      <c r="M955"/>
    </row>
    <row r="956" spans="1:13" x14ac:dyDescent="0.4">
      <c r="A956"/>
      <c r="B956"/>
      <c r="C956"/>
      <c r="D956"/>
      <c r="E956"/>
      <c r="F956"/>
      <c r="G956"/>
      <c r="H956"/>
      <c r="I956"/>
      <c r="J956"/>
      <c r="K956"/>
      <c r="L956"/>
      <c r="M956"/>
    </row>
    <row r="957" spans="1:13" x14ac:dyDescent="0.4">
      <c r="A957"/>
      <c r="B957"/>
      <c r="C957"/>
      <c r="D957"/>
      <c r="E957"/>
      <c r="F957"/>
      <c r="G957"/>
      <c r="H957"/>
      <c r="I957"/>
      <c r="J957"/>
      <c r="K957"/>
      <c r="L957"/>
      <c r="M957"/>
    </row>
    <row r="958" spans="1:13" x14ac:dyDescent="0.4">
      <c r="A958"/>
      <c r="B958"/>
      <c r="C958"/>
      <c r="D958"/>
      <c r="E958"/>
      <c r="F958"/>
      <c r="G958"/>
      <c r="H958"/>
      <c r="I958"/>
      <c r="J958"/>
      <c r="K958"/>
      <c r="L958"/>
      <c r="M958"/>
    </row>
    <row r="959" spans="1:13" x14ac:dyDescent="0.4">
      <c r="A959"/>
      <c r="B959"/>
      <c r="C959"/>
      <c r="D959"/>
      <c r="E959"/>
      <c r="F959"/>
      <c r="G959"/>
      <c r="H959"/>
      <c r="I959"/>
      <c r="J959"/>
      <c r="K959"/>
      <c r="L959"/>
      <c r="M959"/>
    </row>
    <row r="960" spans="1:13" x14ac:dyDescent="0.4">
      <c r="A960"/>
      <c r="B960"/>
      <c r="C960"/>
      <c r="D960"/>
      <c r="E960"/>
      <c r="F960"/>
      <c r="G960"/>
      <c r="H960"/>
      <c r="I960"/>
      <c r="J960"/>
      <c r="K960"/>
      <c r="L960"/>
      <c r="M960"/>
    </row>
    <row r="961" spans="1:13" x14ac:dyDescent="0.4">
      <c r="A961"/>
      <c r="B961"/>
      <c r="C961"/>
      <c r="D961"/>
      <c r="E961"/>
      <c r="F961"/>
      <c r="G961"/>
      <c r="H961"/>
      <c r="I961"/>
      <c r="J961"/>
      <c r="K961"/>
      <c r="L961"/>
      <c r="M961"/>
    </row>
    <row r="962" spans="1:13" x14ac:dyDescent="0.4">
      <c r="A962"/>
      <c r="B962"/>
      <c r="C962"/>
      <c r="D962"/>
      <c r="E962"/>
      <c r="F962"/>
      <c r="G962"/>
      <c r="H962"/>
      <c r="I962"/>
      <c r="J962"/>
      <c r="K962"/>
      <c r="L962"/>
      <c r="M962"/>
    </row>
    <row r="963" spans="1:13" x14ac:dyDescent="0.4">
      <c r="A963"/>
      <c r="B963"/>
      <c r="C963"/>
      <c r="D963"/>
      <c r="E963"/>
      <c r="F963"/>
      <c r="G963"/>
      <c r="H963"/>
      <c r="I963"/>
      <c r="J963"/>
      <c r="K963"/>
      <c r="L963"/>
      <c r="M963"/>
    </row>
    <row r="964" spans="1:13" x14ac:dyDescent="0.4">
      <c r="A964"/>
      <c r="B964"/>
      <c r="C964"/>
      <c r="D964"/>
      <c r="E964"/>
      <c r="F964"/>
      <c r="G964"/>
      <c r="H964"/>
      <c r="I964"/>
      <c r="J964"/>
      <c r="K964"/>
      <c r="L964"/>
      <c r="M964"/>
    </row>
    <row r="965" spans="1:13" x14ac:dyDescent="0.4">
      <c r="A965"/>
      <c r="B965"/>
      <c r="C965"/>
      <c r="D965"/>
      <c r="E965"/>
      <c r="F965"/>
      <c r="G965"/>
      <c r="H965"/>
      <c r="I965"/>
      <c r="J965"/>
      <c r="K965"/>
      <c r="L965"/>
      <c r="M965"/>
    </row>
    <row r="966" spans="1:13" x14ac:dyDescent="0.4">
      <c r="A966"/>
      <c r="B966"/>
      <c r="C966"/>
      <c r="D966"/>
      <c r="E966"/>
      <c r="F966"/>
      <c r="G966"/>
      <c r="H966"/>
      <c r="I966"/>
      <c r="J966"/>
      <c r="K966"/>
      <c r="L966"/>
      <c r="M966"/>
    </row>
    <row r="967" spans="1:13" x14ac:dyDescent="0.4">
      <c r="A967"/>
      <c r="B967"/>
      <c r="C967"/>
      <c r="D967"/>
      <c r="E967"/>
      <c r="F967"/>
      <c r="G967"/>
      <c r="H967"/>
      <c r="I967"/>
      <c r="J967"/>
      <c r="K967"/>
      <c r="L967"/>
      <c r="M967"/>
    </row>
    <row r="968" spans="1:13" x14ac:dyDescent="0.4">
      <c r="A968"/>
      <c r="B968"/>
      <c r="C968"/>
      <c r="D968"/>
      <c r="E968"/>
      <c r="F968"/>
      <c r="G968"/>
      <c r="H968"/>
      <c r="I968"/>
      <c r="J968"/>
      <c r="K968"/>
      <c r="L968"/>
      <c r="M968"/>
    </row>
    <row r="969" spans="1:13" x14ac:dyDescent="0.4">
      <c r="A969"/>
      <c r="B969"/>
      <c r="C969"/>
      <c r="D969"/>
      <c r="E969"/>
      <c r="F969"/>
      <c r="G969"/>
      <c r="H969"/>
      <c r="I969"/>
      <c r="J969"/>
      <c r="K969"/>
      <c r="L969"/>
      <c r="M969"/>
    </row>
    <row r="970" spans="1:13" x14ac:dyDescent="0.4">
      <c r="A970"/>
      <c r="B970"/>
      <c r="C970"/>
      <c r="D970"/>
      <c r="E970"/>
      <c r="F970"/>
      <c r="G970"/>
      <c r="H970"/>
      <c r="I970"/>
      <c r="J970"/>
      <c r="K970"/>
      <c r="L970"/>
      <c r="M970"/>
    </row>
    <row r="971" spans="1:13" x14ac:dyDescent="0.4">
      <c r="A971"/>
      <c r="B971"/>
      <c r="C971"/>
      <c r="D971"/>
      <c r="E971"/>
      <c r="F971"/>
      <c r="G971"/>
      <c r="H971"/>
      <c r="I971"/>
      <c r="J971"/>
      <c r="K971"/>
      <c r="L971"/>
      <c r="M971"/>
    </row>
    <row r="972" spans="1:13" x14ac:dyDescent="0.4">
      <c r="A972"/>
      <c r="B972"/>
      <c r="C972"/>
      <c r="D972"/>
      <c r="E972"/>
      <c r="F972"/>
      <c r="G972"/>
      <c r="H972"/>
      <c r="I972"/>
      <c r="J972"/>
      <c r="K972"/>
      <c r="L972"/>
      <c r="M972"/>
    </row>
    <row r="973" spans="1:13" x14ac:dyDescent="0.4">
      <c r="A973"/>
      <c r="B973"/>
      <c r="C973"/>
      <c r="D973"/>
      <c r="E973"/>
      <c r="F973"/>
      <c r="G973"/>
      <c r="H973"/>
      <c r="I973"/>
      <c r="J973"/>
      <c r="K973"/>
      <c r="L973"/>
      <c r="M973"/>
    </row>
    <row r="974" spans="1:13" x14ac:dyDescent="0.4">
      <c r="A974"/>
      <c r="B974"/>
      <c r="C974"/>
      <c r="D974"/>
      <c r="E974"/>
      <c r="F974"/>
      <c r="G974"/>
      <c r="H974"/>
      <c r="I974"/>
      <c r="J974"/>
      <c r="K974"/>
      <c r="L974"/>
      <c r="M974"/>
    </row>
    <row r="975" spans="1:13" x14ac:dyDescent="0.4">
      <c r="A975"/>
      <c r="B975"/>
      <c r="C975"/>
      <c r="D975"/>
      <c r="E975"/>
      <c r="F975"/>
      <c r="G975"/>
      <c r="H975"/>
      <c r="I975"/>
      <c r="J975"/>
      <c r="K975"/>
      <c r="L975"/>
      <c r="M975"/>
    </row>
    <row r="976" spans="1:13" x14ac:dyDescent="0.4">
      <c r="A976"/>
      <c r="B976"/>
      <c r="C976"/>
      <c r="D976"/>
      <c r="E976"/>
      <c r="F976"/>
      <c r="G976"/>
      <c r="H976"/>
      <c r="I976"/>
      <c r="J976"/>
      <c r="K976"/>
      <c r="L976"/>
      <c r="M976"/>
    </row>
    <row r="977" spans="1:13" x14ac:dyDescent="0.4">
      <c r="A977"/>
      <c r="B977"/>
      <c r="C977"/>
      <c r="D977"/>
      <c r="E977"/>
      <c r="F977"/>
      <c r="G977"/>
      <c r="H977"/>
      <c r="I977"/>
      <c r="J977"/>
      <c r="K977"/>
      <c r="L977"/>
      <c r="M977"/>
    </row>
    <row r="978" spans="1:13" x14ac:dyDescent="0.4">
      <c r="A978"/>
      <c r="B978"/>
      <c r="C978"/>
      <c r="D978"/>
      <c r="E978"/>
      <c r="F978"/>
      <c r="G978"/>
      <c r="H978"/>
      <c r="I978"/>
      <c r="J978"/>
      <c r="K978"/>
      <c r="L978"/>
      <c r="M978"/>
    </row>
    <row r="979" spans="1:13" x14ac:dyDescent="0.4">
      <c r="A979"/>
      <c r="B979"/>
      <c r="C979"/>
      <c r="D979"/>
      <c r="E979"/>
      <c r="F979"/>
      <c r="G979"/>
      <c r="H979"/>
      <c r="I979"/>
      <c r="J979"/>
      <c r="K979"/>
      <c r="L979"/>
      <c r="M979"/>
    </row>
    <row r="980" spans="1:13" x14ac:dyDescent="0.4">
      <c r="A980"/>
      <c r="B980"/>
      <c r="C980"/>
      <c r="D980"/>
      <c r="E980"/>
      <c r="F980"/>
      <c r="G980"/>
      <c r="H980"/>
      <c r="I980"/>
      <c r="J980"/>
      <c r="K980"/>
      <c r="L980"/>
      <c r="M980"/>
    </row>
    <row r="981" spans="1:13" x14ac:dyDescent="0.4">
      <c r="A981"/>
      <c r="B981"/>
      <c r="C981"/>
      <c r="D981"/>
      <c r="E981"/>
      <c r="F981"/>
      <c r="G981"/>
      <c r="H981"/>
      <c r="I981"/>
      <c r="J981"/>
      <c r="K981"/>
      <c r="L981"/>
      <c r="M981"/>
    </row>
    <row r="982" spans="1:13" x14ac:dyDescent="0.4">
      <c r="A982"/>
      <c r="B982"/>
      <c r="C982"/>
      <c r="D982"/>
      <c r="E982"/>
      <c r="F982"/>
      <c r="G982"/>
      <c r="H982"/>
      <c r="I982"/>
      <c r="J982"/>
      <c r="K982"/>
      <c r="L982"/>
      <c r="M982"/>
    </row>
    <row r="983" spans="1:13" x14ac:dyDescent="0.4">
      <c r="A983"/>
      <c r="B983"/>
      <c r="C983"/>
      <c r="D983"/>
      <c r="E983"/>
      <c r="F983"/>
      <c r="G983"/>
      <c r="H983"/>
      <c r="I983"/>
      <c r="J983"/>
      <c r="K983"/>
      <c r="L983"/>
      <c r="M983"/>
    </row>
    <row r="984" spans="1:13" x14ac:dyDescent="0.4">
      <c r="A984"/>
      <c r="B984"/>
      <c r="C984"/>
      <c r="D984"/>
      <c r="E984"/>
      <c r="F984"/>
      <c r="G984"/>
      <c r="H984"/>
      <c r="I984"/>
      <c r="J984"/>
      <c r="K984"/>
      <c r="L984"/>
      <c r="M984"/>
    </row>
    <row r="985" spans="1:13" x14ac:dyDescent="0.4">
      <c r="A985"/>
      <c r="B985"/>
      <c r="C985"/>
      <c r="D985"/>
      <c r="E985"/>
      <c r="F985"/>
      <c r="G985"/>
      <c r="H985"/>
      <c r="I985"/>
      <c r="J985"/>
      <c r="K985"/>
      <c r="L985"/>
      <c r="M985"/>
    </row>
    <row r="986" spans="1:13" x14ac:dyDescent="0.4">
      <c r="A986"/>
      <c r="B986"/>
      <c r="C986"/>
      <c r="D986"/>
      <c r="E986"/>
      <c r="F986"/>
      <c r="G986"/>
      <c r="H986"/>
      <c r="I986"/>
      <c r="J986"/>
      <c r="K986"/>
      <c r="L986"/>
      <c r="M986"/>
    </row>
    <row r="987" spans="1:13" x14ac:dyDescent="0.4">
      <c r="A987"/>
      <c r="B987"/>
      <c r="C987"/>
      <c r="D987"/>
      <c r="E987"/>
      <c r="F987"/>
      <c r="G987"/>
      <c r="H987"/>
      <c r="I987"/>
      <c r="J987"/>
      <c r="K987"/>
      <c r="L987"/>
      <c r="M987"/>
    </row>
    <row r="988" spans="1:13" x14ac:dyDescent="0.4">
      <c r="A988"/>
      <c r="B988"/>
      <c r="C988"/>
      <c r="D988"/>
      <c r="E988"/>
      <c r="F988"/>
      <c r="G988"/>
      <c r="H988"/>
      <c r="I988"/>
      <c r="J988"/>
      <c r="K988"/>
      <c r="L988"/>
      <c r="M988"/>
    </row>
    <row r="989" spans="1:13" x14ac:dyDescent="0.4">
      <c r="A989"/>
      <c r="B989"/>
      <c r="C989"/>
      <c r="D989"/>
      <c r="E989"/>
      <c r="F989"/>
      <c r="G989"/>
      <c r="H989"/>
      <c r="I989"/>
      <c r="J989"/>
      <c r="K989"/>
      <c r="L989"/>
      <c r="M989"/>
    </row>
    <row r="990" spans="1:13" x14ac:dyDescent="0.4">
      <c r="A990"/>
      <c r="B990"/>
      <c r="C990"/>
      <c r="D990"/>
      <c r="E990"/>
      <c r="F990"/>
      <c r="G990"/>
      <c r="H990"/>
      <c r="I990"/>
      <c r="J990"/>
      <c r="K990"/>
      <c r="L990"/>
      <c r="M990"/>
    </row>
    <row r="991" spans="1:13" x14ac:dyDescent="0.4">
      <c r="A991"/>
      <c r="B991"/>
      <c r="C991"/>
      <c r="D991"/>
      <c r="E991"/>
      <c r="F991"/>
      <c r="G991"/>
      <c r="H991"/>
      <c r="I991"/>
      <c r="J991"/>
      <c r="K991"/>
      <c r="L991"/>
      <c r="M991"/>
    </row>
    <row r="992" spans="1:13" x14ac:dyDescent="0.4">
      <c r="A992"/>
      <c r="B992"/>
      <c r="C992"/>
      <c r="D992"/>
      <c r="E992"/>
      <c r="F992"/>
      <c r="G992"/>
      <c r="H992"/>
      <c r="I992"/>
      <c r="J992"/>
      <c r="K992"/>
      <c r="L992"/>
      <c r="M992"/>
    </row>
    <row r="993" spans="1:13" x14ac:dyDescent="0.4">
      <c r="A993"/>
      <c r="B993"/>
      <c r="C993"/>
      <c r="D993"/>
      <c r="E993"/>
      <c r="F993"/>
      <c r="G993"/>
      <c r="H993"/>
      <c r="I993"/>
      <c r="J993"/>
      <c r="K993"/>
      <c r="L993"/>
      <c r="M993"/>
    </row>
    <row r="994" spans="1:13" x14ac:dyDescent="0.4">
      <c r="A994"/>
      <c r="B994"/>
      <c r="C994"/>
      <c r="D994"/>
      <c r="E994"/>
      <c r="F994"/>
      <c r="G994"/>
      <c r="H994"/>
      <c r="I994"/>
      <c r="J994"/>
      <c r="K994"/>
      <c r="L994"/>
      <c r="M994"/>
    </row>
    <row r="995" spans="1:13" x14ac:dyDescent="0.4">
      <c r="A995"/>
      <c r="B995"/>
      <c r="C995"/>
      <c r="D995"/>
      <c r="E995"/>
      <c r="F995"/>
      <c r="G995"/>
      <c r="H995"/>
      <c r="I995"/>
      <c r="J995"/>
      <c r="K995"/>
      <c r="L995"/>
      <c r="M995"/>
    </row>
    <row r="996" spans="1:13" x14ac:dyDescent="0.4">
      <c r="A996"/>
      <c r="B996"/>
      <c r="C996"/>
      <c r="D996"/>
      <c r="E996"/>
      <c r="F996"/>
      <c r="G996"/>
      <c r="H996"/>
      <c r="I996"/>
      <c r="J996"/>
      <c r="K996"/>
      <c r="L996"/>
      <c r="M996"/>
    </row>
    <row r="997" spans="1:13" x14ac:dyDescent="0.4">
      <c r="A997"/>
      <c r="B997"/>
      <c r="C997"/>
      <c r="D997"/>
      <c r="E997"/>
      <c r="F997"/>
      <c r="G997"/>
      <c r="H997"/>
      <c r="I997"/>
      <c r="J997"/>
      <c r="K997"/>
      <c r="L997"/>
      <c r="M997"/>
    </row>
    <row r="998" spans="1:13" x14ac:dyDescent="0.4">
      <c r="A998"/>
      <c r="B998"/>
      <c r="C998"/>
      <c r="D998"/>
      <c r="E998"/>
      <c r="F998"/>
      <c r="G998"/>
      <c r="H998"/>
      <c r="I998"/>
      <c r="J998"/>
      <c r="K998"/>
      <c r="L998"/>
      <c r="M998"/>
    </row>
    <row r="999" spans="1:13" x14ac:dyDescent="0.4">
      <c r="A999"/>
      <c r="B999"/>
      <c r="C999"/>
      <c r="D999"/>
      <c r="E999"/>
      <c r="F999"/>
      <c r="G999"/>
      <c r="H999"/>
      <c r="I999"/>
      <c r="J999"/>
      <c r="K999"/>
      <c r="L999"/>
      <c r="M999"/>
    </row>
    <row r="1000" spans="1:13" x14ac:dyDescent="0.4">
      <c r="A1000"/>
      <c r="B1000"/>
      <c r="C1000"/>
      <c r="D1000"/>
      <c r="E1000"/>
      <c r="F1000"/>
      <c r="G1000"/>
      <c r="H1000"/>
      <c r="I1000"/>
      <c r="J1000"/>
      <c r="K1000"/>
      <c r="L1000"/>
      <c r="M1000"/>
    </row>
  </sheetData>
  <sheetProtection sheet="1" objects="1" scenarios="1"/>
  <mergeCells count="17">
    <mergeCell ref="M7:M8"/>
    <mergeCell ref="G7:G8"/>
    <mergeCell ref="A4:C4"/>
    <mergeCell ref="A6:C6"/>
    <mergeCell ref="F7:F8"/>
    <mergeCell ref="C7:C8"/>
    <mergeCell ref="B7:B8"/>
    <mergeCell ref="A7:A8"/>
    <mergeCell ref="D6:G6"/>
    <mergeCell ref="J6:M6"/>
    <mergeCell ref="L7:L8"/>
    <mergeCell ref="E7:E8"/>
    <mergeCell ref="D7:D8"/>
    <mergeCell ref="I7:I8"/>
    <mergeCell ref="H7:H8"/>
    <mergeCell ref="J7:J8"/>
    <mergeCell ref="K7:K8"/>
  </mergeCells>
  <phoneticPr fontId="2" type="noConversion"/>
  <pageMargins left="0.2" right="0.19" top="0.52" bottom="0.54" header="0.5" footer="0.5"/>
  <pageSetup paperSize="9" scale="74"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A1000"/>
  <sheetViews>
    <sheetView zoomScaleNormal="100" workbookViewId="0">
      <pane xSplit="3" ySplit="8" topLeftCell="D9" activePane="bottomRight" state="frozen"/>
      <selection pane="topRight" activeCell="D1" sqref="D1"/>
      <selection pane="bottomLeft" activeCell="A9" sqref="A9"/>
      <selection pane="bottomRight" activeCell="J9" sqref="J9"/>
    </sheetView>
  </sheetViews>
  <sheetFormatPr defaultColWidth="9.1640625" defaultRowHeight="12.3" x14ac:dyDescent="0.4"/>
  <cols>
    <col min="1" max="1" width="18.27734375" style="1" customWidth="1"/>
    <col min="2" max="3" width="23.44140625" style="1" customWidth="1"/>
    <col min="4" max="6" width="12.71875" style="1" customWidth="1"/>
    <col min="7" max="8" width="6.71875" style="1" customWidth="1"/>
    <col min="9" max="9" width="13.44140625" style="1" customWidth="1"/>
    <col min="10" max="10" width="14.71875" style="22" customWidth="1"/>
    <col min="11" max="18" width="11.71875" style="1" customWidth="1"/>
    <col min="19" max="20" width="12.71875" style="1" customWidth="1"/>
    <col min="21" max="21" width="15.71875" style="1" customWidth="1"/>
    <col min="22" max="22" width="12.71875" style="1" customWidth="1"/>
    <col min="23" max="23" width="16.5546875" style="1" customWidth="1"/>
    <col min="24" max="24" width="15.71875" style="1" customWidth="1"/>
    <col min="25" max="25" width="12.71875" style="1" customWidth="1"/>
    <col min="26" max="26" width="16.83203125" style="1" customWidth="1"/>
    <col min="27" max="27" width="15.71875" style="1" customWidth="1"/>
    <col min="28" max="16384" width="9.1640625" style="1"/>
  </cols>
  <sheetData>
    <row r="1" spans="1:27" ht="22.5" x14ac:dyDescent="0.75">
      <c r="A1" s="4" t="s">
        <v>75</v>
      </c>
      <c r="B1" s="5"/>
      <c r="C1" s="5"/>
      <c r="D1" s="5"/>
      <c r="E1" s="5"/>
      <c r="F1" s="5"/>
      <c r="G1" s="5"/>
      <c r="H1" s="5"/>
      <c r="I1" s="5"/>
      <c r="J1" s="20"/>
      <c r="K1" s="5"/>
      <c r="L1" s="5"/>
      <c r="M1" s="5"/>
      <c r="N1" s="5"/>
      <c r="O1" s="5"/>
      <c r="P1" s="5"/>
      <c r="Q1" s="5"/>
      <c r="R1" s="5"/>
      <c r="S1" s="5"/>
      <c r="T1" s="5"/>
      <c r="U1" s="5"/>
      <c r="V1" s="5"/>
      <c r="W1" s="5"/>
      <c r="X1" s="5"/>
      <c r="Y1" s="5"/>
      <c r="Z1" s="5"/>
      <c r="AA1" s="5"/>
    </row>
    <row r="2" spans="1:27" x14ac:dyDescent="0.4">
      <c r="A2" s="130" t="s">
        <v>64</v>
      </c>
      <c r="B2" s="5"/>
      <c r="C2" s="5"/>
      <c r="D2" s="5"/>
      <c r="E2" s="5"/>
      <c r="F2" s="5"/>
      <c r="G2" s="5"/>
      <c r="H2" s="5"/>
      <c r="I2" s="5"/>
      <c r="J2" s="20"/>
      <c r="K2" s="5"/>
      <c r="L2" s="5"/>
      <c r="M2" s="5"/>
      <c r="N2" s="5"/>
      <c r="O2" s="5"/>
      <c r="P2" s="5"/>
      <c r="Q2" s="5"/>
      <c r="R2" s="5"/>
      <c r="S2" s="5"/>
      <c r="T2" s="5"/>
      <c r="U2" s="5"/>
      <c r="V2" s="5"/>
      <c r="W2" s="5"/>
      <c r="X2" s="5"/>
      <c r="Y2" s="5"/>
      <c r="Z2" s="5"/>
      <c r="AA2" s="5"/>
    </row>
    <row r="3" spans="1:27" x14ac:dyDescent="0.4">
      <c r="A3" s="5"/>
      <c r="B3" s="5"/>
      <c r="C3" s="5"/>
      <c r="D3" s="5"/>
      <c r="E3" s="5"/>
      <c r="F3" s="5"/>
      <c r="G3" s="5"/>
      <c r="H3" s="5"/>
      <c r="I3" s="5"/>
      <c r="J3" s="20"/>
      <c r="K3" s="5"/>
      <c r="L3" s="5"/>
      <c r="M3" s="5"/>
      <c r="N3" s="5"/>
      <c r="O3" s="5"/>
      <c r="P3" s="5"/>
      <c r="Q3" s="5"/>
      <c r="R3" s="5"/>
      <c r="S3" s="5"/>
      <c r="T3" s="5"/>
      <c r="U3" s="5"/>
      <c r="V3" s="5"/>
      <c r="W3" s="5"/>
      <c r="X3" s="5"/>
      <c r="Y3" s="5"/>
      <c r="Z3" s="5"/>
      <c r="AA3" s="5"/>
    </row>
    <row r="4" spans="1:27" x14ac:dyDescent="0.4">
      <c r="A4" s="244" t="s">
        <v>7</v>
      </c>
      <c r="B4" s="244"/>
      <c r="C4" s="244"/>
      <c r="D4" s="6">
        <f>SUM(D$9:D$1000)</f>
        <v>867749</v>
      </c>
      <c r="E4" s="6">
        <f>SUM(E$9:E$1000)</f>
        <v>1735502</v>
      </c>
      <c r="F4" s="6">
        <f>SUM(F$9:F$1000)</f>
        <v>2603251</v>
      </c>
      <c r="G4" s="268"/>
      <c r="H4" s="269"/>
      <c r="I4" s="6">
        <f>SUM(I$9:I$1000)</f>
        <v>2081886</v>
      </c>
      <c r="J4" s="21"/>
      <c r="K4" s="49">
        <f>SUM(K$9:K$1000)</f>
        <v>867749</v>
      </c>
      <c r="L4" s="6">
        <f>SUM(L$9:L$1000)</f>
        <v>1002258</v>
      </c>
      <c r="M4" s="6">
        <f>SUM(M$9:M$1000)</f>
        <v>0</v>
      </c>
      <c r="N4" s="6">
        <f>SUM(N$9:N$1000)</f>
        <v>1870007</v>
      </c>
      <c r="O4" s="49">
        <f>SUM(O$9:O$1000)</f>
        <v>0</v>
      </c>
      <c r="P4" s="6">
        <f t="shared" ref="P4:AA4" si="0">SUM(P$9:P$1000)</f>
        <v>0</v>
      </c>
      <c r="Q4" s="6">
        <f t="shared" si="0"/>
        <v>0</v>
      </c>
      <c r="R4" s="6">
        <f t="shared" si="0"/>
        <v>0</v>
      </c>
      <c r="S4" s="6">
        <f t="shared" si="0"/>
        <v>0</v>
      </c>
      <c r="T4" s="6">
        <f t="shared" si="0"/>
        <v>2081886</v>
      </c>
      <c r="U4" s="6">
        <f t="shared" si="0"/>
        <v>10421</v>
      </c>
      <c r="V4" s="6">
        <f t="shared" si="0"/>
        <v>0</v>
      </c>
      <c r="W4" s="6">
        <f t="shared" si="0"/>
        <v>1002258</v>
      </c>
      <c r="X4" s="6">
        <f t="shared" si="0"/>
        <v>5017</v>
      </c>
      <c r="Y4" s="6">
        <f t="shared" si="0"/>
        <v>0</v>
      </c>
      <c r="Z4" s="6">
        <f t="shared" si="0"/>
        <v>0</v>
      </c>
      <c r="AA4" s="6">
        <f t="shared" si="0"/>
        <v>0</v>
      </c>
    </row>
    <row r="5" spans="1:27" ht="2.25" customHeight="1" x14ac:dyDescent="0.4">
      <c r="A5" s="5"/>
      <c r="B5" s="5"/>
      <c r="C5" s="5"/>
      <c r="D5" s="5"/>
      <c r="E5" s="5"/>
      <c r="F5" s="5"/>
      <c r="G5" s="5"/>
      <c r="H5" s="5"/>
      <c r="I5" s="5"/>
      <c r="J5" s="20"/>
      <c r="K5" s="5"/>
      <c r="L5" s="5"/>
      <c r="M5" s="5"/>
      <c r="N5" s="5"/>
      <c r="O5" s="5"/>
      <c r="P5" s="5"/>
      <c r="Q5" s="5"/>
      <c r="R5" s="5"/>
      <c r="S5" s="5"/>
      <c r="T5" s="5"/>
      <c r="U5" s="5"/>
      <c r="V5" s="5"/>
      <c r="W5" s="5"/>
      <c r="X5" s="5"/>
      <c r="Y5" s="5"/>
      <c r="Z5" s="5"/>
      <c r="AA5" s="5"/>
    </row>
    <row r="6" spans="1:27" ht="12.75" customHeight="1" x14ac:dyDescent="0.4">
      <c r="A6" s="216" t="s">
        <v>51</v>
      </c>
      <c r="B6" s="252"/>
      <c r="C6" s="217"/>
      <c r="D6" s="272" t="s">
        <v>89</v>
      </c>
      <c r="E6" s="273"/>
      <c r="F6" s="274"/>
      <c r="G6" s="270" t="s">
        <v>65</v>
      </c>
      <c r="H6" s="271"/>
      <c r="I6" s="282" t="s">
        <v>70</v>
      </c>
      <c r="J6" s="282" t="s">
        <v>71</v>
      </c>
      <c r="K6" s="285" t="s">
        <v>66</v>
      </c>
      <c r="L6" s="261"/>
      <c r="M6" s="261"/>
      <c r="N6" s="261"/>
      <c r="O6" s="261"/>
      <c r="P6" s="261"/>
      <c r="Q6" s="261"/>
      <c r="R6" s="262"/>
      <c r="S6" s="259" t="s">
        <v>17</v>
      </c>
      <c r="T6" s="259"/>
      <c r="U6" s="259"/>
      <c r="V6" s="261"/>
      <c r="W6" s="261"/>
      <c r="X6" s="262"/>
      <c r="Y6" s="263" t="s">
        <v>18</v>
      </c>
      <c r="Z6" s="264"/>
      <c r="AA6" s="265"/>
    </row>
    <row r="7" spans="1:27" ht="12" customHeight="1" x14ac:dyDescent="0.4">
      <c r="A7" s="275" t="s">
        <v>54</v>
      </c>
      <c r="B7" s="275" t="s">
        <v>55</v>
      </c>
      <c r="C7" s="275" t="s">
        <v>0</v>
      </c>
      <c r="D7" s="277" t="s">
        <v>57</v>
      </c>
      <c r="E7" s="277" t="s">
        <v>58</v>
      </c>
      <c r="F7" s="277" t="s">
        <v>2</v>
      </c>
      <c r="G7" s="277" t="s">
        <v>59</v>
      </c>
      <c r="H7" s="277" t="s">
        <v>4</v>
      </c>
      <c r="I7" s="286"/>
      <c r="J7" s="283"/>
      <c r="K7" s="279" t="s">
        <v>10</v>
      </c>
      <c r="L7" s="261"/>
      <c r="M7" s="261"/>
      <c r="N7" s="262"/>
      <c r="O7" s="279" t="s">
        <v>11</v>
      </c>
      <c r="P7" s="280"/>
      <c r="Q7" s="280"/>
      <c r="R7" s="281"/>
      <c r="S7" s="247" t="s">
        <v>73</v>
      </c>
      <c r="T7" s="266" t="s">
        <v>83</v>
      </c>
      <c r="U7" s="266" t="s">
        <v>76</v>
      </c>
      <c r="V7" s="247" t="s">
        <v>74</v>
      </c>
      <c r="W7" s="266" t="s">
        <v>84</v>
      </c>
      <c r="X7" s="266" t="s">
        <v>77</v>
      </c>
      <c r="Y7" s="247" t="s">
        <v>68</v>
      </c>
      <c r="Z7" s="266" t="s">
        <v>85</v>
      </c>
      <c r="AA7" s="266" t="s">
        <v>78</v>
      </c>
    </row>
    <row r="8" spans="1:27" ht="25.5" customHeight="1" x14ac:dyDescent="0.4">
      <c r="A8" s="276"/>
      <c r="B8" s="276"/>
      <c r="C8" s="276"/>
      <c r="D8" s="278"/>
      <c r="E8" s="278"/>
      <c r="F8" s="278"/>
      <c r="G8" s="278"/>
      <c r="H8" s="278"/>
      <c r="I8" s="287"/>
      <c r="J8" s="284"/>
      <c r="K8" s="132" t="s">
        <v>57</v>
      </c>
      <c r="L8" s="131" t="s">
        <v>58</v>
      </c>
      <c r="M8" s="131" t="s">
        <v>72</v>
      </c>
      <c r="N8" s="97" t="s">
        <v>2</v>
      </c>
      <c r="O8" s="132" t="s">
        <v>57</v>
      </c>
      <c r="P8" s="131" t="s">
        <v>58</v>
      </c>
      <c r="Q8" s="131" t="s">
        <v>72</v>
      </c>
      <c r="R8" s="97" t="s">
        <v>2</v>
      </c>
      <c r="S8" s="248"/>
      <c r="T8" s="267"/>
      <c r="U8" s="267"/>
      <c r="V8" s="248"/>
      <c r="W8" s="267"/>
      <c r="X8" s="267"/>
      <c r="Y8" s="248"/>
      <c r="Z8" s="267"/>
      <c r="AA8" s="267"/>
    </row>
    <row r="9" spans="1:27" x14ac:dyDescent="0.4">
      <c r="A9" s="12" t="str">
        <f>IF(AND(INTRO!$E$37="Non endémique",INTRO!$E$41="Non endémique")," ",IF(COUNTRY_INFO!A9=0," ",COUNTRY_INFO!A9))</f>
        <v>Mali</v>
      </c>
      <c r="B9" s="12" t="str">
        <f>IF(AND(INTRO!$E$37="Non endémique",INTRO!$E$41="Non endémique")," ",IF(COUNTRY_INFO!B9=0," ",COUNTRY_INFO!B9))</f>
        <v>Kayes</v>
      </c>
      <c r="C9" s="12" t="str">
        <f>IF(AND(INTRO!$E$37="Non endémique",INTRO!$E$41="Non endémique")," ",IF(COUNTRY_INFO!C9=0," ",COUNTRY_INFO!C9))</f>
        <v>Bafoulabe</v>
      </c>
      <c r="D9" s="13">
        <f>IF(AND(INTRO!$E$37="Non endémique",INTRO!$E$41="Non endémique"),0,IF(AND(OR(COUNTRY_INFO!$H9=0,COUNTRY_INFO!$H9=4,COUNTRY_INFO!$H9=99),OR(COUNTRY_INFO!$J9=0,COUNTRY_INFO!$J9=4)),0,COUNTRY_INFO!$E9))</f>
        <v>0</v>
      </c>
      <c r="E9" s="13">
        <f>IF(AND(INTRO!$E$37="Non endémique",INTRO!$E$41="Non endémique"),0,IF(AND(OR(COUNTRY_INFO!$H9=0,COUNTRY_INFO!$H9=4,COUNTRY_INFO!$H9=99),OR(COUNTRY_INFO!$J9=0,COUNTRY_INFO!$J9=4)),0,COUNTRY_INFO!$F9))</f>
        <v>0</v>
      </c>
      <c r="F9" s="13">
        <f t="shared" ref="F9:F40" si="1">SUM(D9:E9)</f>
        <v>0</v>
      </c>
      <c r="G9" s="14">
        <f>IF(AND(INTRO!$E$37="Non endémique",INTRO!$E$41="Non endémique"),0,COUNTRY_INFO!P9)</f>
        <v>0</v>
      </c>
      <c r="H9" s="14">
        <f>IF(AND(INTRO!$E$37="Non endémique",INTRO!$E$41="Non endémique"),0,COUNTRY_INFO!R9)</f>
        <v>0</v>
      </c>
      <c r="I9" s="13">
        <f>IF(INTRO!$E$39="Non endémique",IF($G9=1,DEC!I9,0),IF($G9=1,IVM!G9,0))</f>
        <v>0</v>
      </c>
      <c r="J9" s="27" t="s">
        <v>245</v>
      </c>
      <c r="K9" s="48">
        <f>IF($J9="ALB", IF(INTRO!$E$39="Non endémique",IF($H9&lt;&gt;0,$D9*($H9-$G9),0),$D9*$H9), 0)</f>
        <v>0</v>
      </c>
      <c r="L9" s="13">
        <f t="shared" ref="L9:L40" si="2">IF($J9="ALB", IF($H9&lt;&gt;0, IF($I9=0, $E9*$H9, $E9*($H9-$G9)),0), 0)</f>
        <v>0</v>
      </c>
      <c r="M9" s="3"/>
      <c r="N9" s="13">
        <f t="shared" ref="N9:N40" si="3">SUM(K9:M9)</f>
        <v>0</v>
      </c>
      <c r="O9" s="48">
        <f>IF($J9="MBD", IF(INTRO!$E$39="Non endémique",IF($H9&lt;&gt;0,$D9*($H9-$G9),0),$D9*$H9),0)</f>
        <v>0</v>
      </c>
      <c r="P9" s="13">
        <f t="shared" ref="P9:P40" si="4">IF($J9="MBD", IF($H9&lt;&gt;0,IF($I9=0, $E9*$H9, $E9*($H9-$G9)),0), 0 )</f>
        <v>0</v>
      </c>
      <c r="Q9" s="3"/>
      <c r="R9" s="13">
        <f t="shared" ref="R9:R40" si="5">SUM(O9:Q9)</f>
        <v>0</v>
      </c>
      <c r="S9" s="24"/>
      <c r="T9" s="15">
        <f t="shared" ref="T9:T40" si="6">IF($I9&gt;$S9, $I9-$S9,0)</f>
        <v>0</v>
      </c>
      <c r="U9" s="15">
        <f t="shared" ref="U9:U40" si="7">ROUNDUP($I9/200,0)</f>
        <v>0</v>
      </c>
      <c r="V9" s="24"/>
      <c r="W9" s="15">
        <f t="shared" ref="W9:W40" si="8">IF($L9&gt;$V9,$L9-$V9,0)</f>
        <v>0</v>
      </c>
      <c r="X9" s="15">
        <f t="shared" ref="X9:X40" si="9">ROUNDUP($L9/200,0)</f>
        <v>0</v>
      </c>
      <c r="Y9" s="24"/>
      <c r="Z9" s="15">
        <f t="shared" ref="Z9:Z40" si="10">IF($P9&gt;$Y9,$P9-$Y9,0)</f>
        <v>0</v>
      </c>
      <c r="AA9" s="15">
        <f t="shared" ref="AA9:AA40" si="11">ROUNDUP($P9/150,0)</f>
        <v>0</v>
      </c>
    </row>
    <row r="10" spans="1:27" x14ac:dyDescent="0.4">
      <c r="A10" s="12" t="str">
        <f>IF(AND(INTRO!$E$37="Non endémique",INTRO!$E$41="Non endémique")," ",IF(COUNTRY_INFO!A10=0," ",COUNTRY_INFO!A10))</f>
        <v>Mali</v>
      </c>
      <c r="B10" s="12" t="str">
        <f>IF(AND(INTRO!$E$37="Non endémique",INTRO!$E$41="Non endémique")," ",IF(COUNTRY_INFO!B10=0," ",COUNTRY_INFO!B10))</f>
        <v>Kayes</v>
      </c>
      <c r="C10" s="12" t="str">
        <f>IF(AND(INTRO!$E$37="Non endémique",INTRO!$E$41="Non endémique")," ",IF(COUNTRY_INFO!C10=0," ",COUNTRY_INFO!C10))</f>
        <v>Oussoubidiagna</v>
      </c>
      <c r="D10" s="13">
        <f>IF(AND(INTRO!$E$37="Non endémique",INTRO!$E$41="Non endémique"),0,IF(AND(OR(COUNTRY_INFO!$H10=0,COUNTRY_INFO!$H10=4,COUNTRY_INFO!$H10=99),OR(COUNTRY_INFO!$J10=0,COUNTRY_INFO!$J10=4)),0,COUNTRY_INFO!$E10))</f>
        <v>0</v>
      </c>
      <c r="E10" s="13">
        <f>IF(AND(INTRO!$E$37="Non endémique",INTRO!$E$41="Non endémique"),0,IF(AND(OR(COUNTRY_INFO!$H10=0,COUNTRY_INFO!$H10=4,COUNTRY_INFO!$H10=99),OR(COUNTRY_INFO!$J10=0,COUNTRY_INFO!$J10=4)),0,COUNTRY_INFO!$F10))</f>
        <v>0</v>
      </c>
      <c r="F10" s="13">
        <f t="shared" si="1"/>
        <v>0</v>
      </c>
      <c r="G10" s="14">
        <f>IF(AND(INTRO!$E$37="Non endémique",INTRO!$E$41="Non endémique"),0,COUNTRY_INFO!P10)</f>
        <v>0</v>
      </c>
      <c r="H10" s="14">
        <f>IF(AND(INTRO!$E$37="Non endémique",INTRO!$E$41="Non endémique"),0,COUNTRY_INFO!R10)</f>
        <v>0</v>
      </c>
      <c r="I10" s="13">
        <f>IF(INTRO!$E$39="Non endémique",IF($G10=1,DEC!I10,0),IF($G10=1,IVM!G10,0))</f>
        <v>0</v>
      </c>
      <c r="J10" s="27" t="s">
        <v>245</v>
      </c>
      <c r="K10" s="48">
        <f>IF($J10="ALB", IF(INTRO!$E$39="Non endémique",IF($H10&lt;&gt;0,$D10*($H10-$G10),0),$D10*$H10), 0)</f>
        <v>0</v>
      </c>
      <c r="L10" s="13">
        <f t="shared" si="2"/>
        <v>0</v>
      </c>
      <c r="M10" s="3"/>
      <c r="N10" s="13">
        <f t="shared" si="3"/>
        <v>0</v>
      </c>
      <c r="O10" s="48">
        <f>IF($J10="MBD", IF(INTRO!$E$39="Non endémique",IF($H10&lt;&gt;0,$D10*($H10-$G10),0),$D10*$H10),0)</f>
        <v>0</v>
      </c>
      <c r="P10" s="13">
        <f t="shared" si="4"/>
        <v>0</v>
      </c>
      <c r="Q10" s="3"/>
      <c r="R10" s="13">
        <f t="shared" si="5"/>
        <v>0</v>
      </c>
      <c r="S10" s="24"/>
      <c r="T10" s="15">
        <f t="shared" si="6"/>
        <v>0</v>
      </c>
      <c r="U10" s="15">
        <f t="shared" si="7"/>
        <v>0</v>
      </c>
      <c r="V10" s="24"/>
      <c r="W10" s="15">
        <f t="shared" si="8"/>
        <v>0</v>
      </c>
      <c r="X10" s="15">
        <f t="shared" si="9"/>
        <v>0</v>
      </c>
      <c r="Y10" s="24"/>
      <c r="Z10" s="15">
        <f t="shared" si="10"/>
        <v>0</v>
      </c>
      <c r="AA10" s="15">
        <f t="shared" si="11"/>
        <v>0</v>
      </c>
    </row>
    <row r="11" spans="1:27" x14ac:dyDescent="0.4">
      <c r="A11" s="12" t="str">
        <f>IF(AND(INTRO!$E$37="Non endémique",INTRO!$E$41="Non endémique")," ",IF(COUNTRY_INFO!A11=0," ",COUNTRY_INFO!A11))</f>
        <v>Mali</v>
      </c>
      <c r="B11" s="12" t="str">
        <f>IF(AND(INTRO!$E$37="Non endémique",INTRO!$E$41="Non endémique")," ",IF(COUNTRY_INFO!B11=0," ",COUNTRY_INFO!B11))</f>
        <v>Kayes</v>
      </c>
      <c r="C11" s="12" t="str">
        <f>IF(AND(INTRO!$E$37="Non endémique",INTRO!$E$41="Non endémique")," ",IF(COUNTRY_INFO!C11=0," ",COUNTRY_INFO!C11))</f>
        <v>Diema</v>
      </c>
      <c r="D11" s="13">
        <f>IF(AND(INTRO!$E$37="Non endémique",INTRO!$E$41="Non endémique"),0,IF(AND(OR(COUNTRY_INFO!$H11=0,COUNTRY_INFO!$H11=4,COUNTRY_INFO!$H11=99),OR(COUNTRY_INFO!$J11=0,COUNTRY_INFO!$J11=4)),0,COUNTRY_INFO!$E11))</f>
        <v>0</v>
      </c>
      <c r="E11" s="13">
        <f>IF(AND(INTRO!$E$37="Non endémique",INTRO!$E$41="Non endémique"),0,IF(AND(OR(COUNTRY_INFO!$H11=0,COUNTRY_INFO!$H11=4,COUNTRY_INFO!$H11=99),OR(COUNTRY_INFO!$J11=0,COUNTRY_INFO!$J11=4)),0,COUNTRY_INFO!$F11))</f>
        <v>0</v>
      </c>
      <c r="F11" s="13">
        <f t="shared" si="1"/>
        <v>0</v>
      </c>
      <c r="G11" s="14">
        <f>IF(AND(INTRO!$E$37="Non endémique",INTRO!$E$41="Non endémique"),0,COUNTRY_INFO!P11)</f>
        <v>0</v>
      </c>
      <c r="H11" s="14">
        <f>IF(AND(INTRO!$E$37="Non endémique",INTRO!$E$41="Non endémique"),0,COUNTRY_INFO!R11)</f>
        <v>0</v>
      </c>
      <c r="I11" s="13">
        <f>IF(INTRO!$E$39="Non endémique",IF($G11=1,DEC!I11,0),IF($G11=1,IVM!G11,0))</f>
        <v>0</v>
      </c>
      <c r="J11" s="27" t="s">
        <v>245</v>
      </c>
      <c r="K11" s="48">
        <f>IF($J11="ALB", IF(INTRO!$E$39="Non endémique",IF($H11&lt;&gt;0,$D11*($H11-$G11),0),$D11*$H11), 0)</f>
        <v>0</v>
      </c>
      <c r="L11" s="13">
        <f t="shared" si="2"/>
        <v>0</v>
      </c>
      <c r="M11" s="3"/>
      <c r="N11" s="13">
        <f t="shared" si="3"/>
        <v>0</v>
      </c>
      <c r="O11" s="48">
        <f>IF($J11="MBD", IF(INTRO!$E$39="Non endémique",IF($H11&lt;&gt;0,$D11*($H11-$G11),0),$D11*$H11),0)</f>
        <v>0</v>
      </c>
      <c r="P11" s="13">
        <f t="shared" si="4"/>
        <v>0</v>
      </c>
      <c r="Q11" s="3"/>
      <c r="R11" s="13">
        <f t="shared" si="5"/>
        <v>0</v>
      </c>
      <c r="S11" s="24"/>
      <c r="T11" s="15">
        <f t="shared" si="6"/>
        <v>0</v>
      </c>
      <c r="U11" s="15">
        <f t="shared" si="7"/>
        <v>0</v>
      </c>
      <c r="V11" s="24"/>
      <c r="W11" s="15">
        <f t="shared" si="8"/>
        <v>0</v>
      </c>
      <c r="X11" s="15">
        <f t="shared" si="9"/>
        <v>0</v>
      </c>
      <c r="Y11" s="24"/>
      <c r="Z11" s="15">
        <f t="shared" si="10"/>
        <v>0</v>
      </c>
      <c r="AA11" s="15">
        <f t="shared" si="11"/>
        <v>0</v>
      </c>
    </row>
    <row r="12" spans="1:27" x14ac:dyDescent="0.4">
      <c r="A12" s="12" t="str">
        <f>IF(AND(INTRO!$E$37="Non endémique",INTRO!$E$41="Non endémique")," ",IF(COUNTRY_INFO!A12=0," ",COUNTRY_INFO!A12))</f>
        <v>Mali</v>
      </c>
      <c r="B12" s="12" t="str">
        <f>IF(AND(INTRO!$E$37="Non endémique",INTRO!$E$41="Non endémique")," ",IF(COUNTRY_INFO!B12=0," ",COUNTRY_INFO!B12))</f>
        <v>Kayes</v>
      </c>
      <c r="C12" s="12" t="str">
        <f>IF(AND(INTRO!$E$37="Non endémique",INTRO!$E$41="Non endémique")," ",IF(COUNTRY_INFO!C12=0," ",COUNTRY_INFO!C12))</f>
        <v>Kayes</v>
      </c>
      <c r="D12" s="13">
        <f>IF(AND(INTRO!$E$37="Non endémique",INTRO!$E$41="Non endémique"),0,IF(AND(OR(COUNTRY_INFO!$H12=0,COUNTRY_INFO!$H12=4,COUNTRY_INFO!$H12=99),OR(COUNTRY_INFO!$J12=0,COUNTRY_INFO!$J12=4)),0,COUNTRY_INFO!$E12))</f>
        <v>0</v>
      </c>
      <c r="E12" s="13">
        <f>IF(AND(INTRO!$E$37="Non endémique",INTRO!$E$41="Non endémique"),0,IF(AND(OR(COUNTRY_INFO!$H12=0,COUNTRY_INFO!$H12=4,COUNTRY_INFO!$H12=99),OR(COUNTRY_INFO!$J12=0,COUNTRY_INFO!$J12=4)),0,COUNTRY_INFO!$F12))</f>
        <v>0</v>
      </c>
      <c r="F12" s="13">
        <f t="shared" si="1"/>
        <v>0</v>
      </c>
      <c r="G12" s="14">
        <f>IF(AND(INTRO!$E$37="Non endémique",INTRO!$E$41="Non endémique"),0,COUNTRY_INFO!P12)</f>
        <v>0</v>
      </c>
      <c r="H12" s="14">
        <f>IF(AND(INTRO!$E$37="Non endémique",INTRO!$E$41="Non endémique"),0,COUNTRY_INFO!R12)</f>
        <v>0</v>
      </c>
      <c r="I12" s="13">
        <f>IF(INTRO!$E$39="Non endémique",IF($G12=1,DEC!I12,0),IF($G12=1,IVM!G12,0))</f>
        <v>0</v>
      </c>
      <c r="J12" s="27" t="s">
        <v>245</v>
      </c>
      <c r="K12" s="48">
        <f>IF($J12="ALB", IF(INTRO!$E$39="Non endémique",IF($H12&lt;&gt;0,$D12*($H12-$G12),0),$D12*$H12), 0)</f>
        <v>0</v>
      </c>
      <c r="L12" s="13">
        <f t="shared" si="2"/>
        <v>0</v>
      </c>
      <c r="M12" s="3"/>
      <c r="N12" s="13">
        <f t="shared" si="3"/>
        <v>0</v>
      </c>
      <c r="O12" s="48">
        <f>IF($J12="MBD", IF(INTRO!$E$39="Non endémique",IF($H12&lt;&gt;0,$D12*($H12-$G12),0),$D12*$H12),0)</f>
        <v>0</v>
      </c>
      <c r="P12" s="13">
        <f t="shared" si="4"/>
        <v>0</v>
      </c>
      <c r="Q12" s="3"/>
      <c r="R12" s="13">
        <f t="shared" si="5"/>
        <v>0</v>
      </c>
      <c r="S12" s="24"/>
      <c r="T12" s="15">
        <f t="shared" si="6"/>
        <v>0</v>
      </c>
      <c r="U12" s="15">
        <f t="shared" si="7"/>
        <v>0</v>
      </c>
      <c r="V12" s="24"/>
      <c r="W12" s="15">
        <f t="shared" si="8"/>
        <v>0</v>
      </c>
      <c r="X12" s="15">
        <f t="shared" si="9"/>
        <v>0</v>
      </c>
      <c r="Y12" s="24"/>
      <c r="Z12" s="15">
        <f t="shared" si="10"/>
        <v>0</v>
      </c>
      <c r="AA12" s="15">
        <f t="shared" si="11"/>
        <v>0</v>
      </c>
    </row>
    <row r="13" spans="1:27" x14ac:dyDescent="0.4">
      <c r="A13" s="12" t="str">
        <f>IF(AND(INTRO!$E$37="Non endémique",INTRO!$E$41="Non endémique")," ",IF(COUNTRY_INFO!A13=0," ",COUNTRY_INFO!A13))</f>
        <v>Mali</v>
      </c>
      <c r="B13" s="12" t="str">
        <f>IF(AND(INTRO!$E$37="Non endémique",INTRO!$E$41="Non endémique")," ",IF(COUNTRY_INFO!B13=0," ",COUNTRY_INFO!B13))</f>
        <v>Kayes</v>
      </c>
      <c r="C13" s="12" t="str">
        <f>IF(AND(INTRO!$E$37="Non endémique",INTRO!$E$41="Non endémique")," ",IF(COUNTRY_INFO!C13=0," ",COUNTRY_INFO!C13))</f>
        <v>Kenieba</v>
      </c>
      <c r="D13" s="13">
        <f>IF(AND(INTRO!$E$37="Non endémique",INTRO!$E$41="Non endémique"),0,IF(AND(OR(COUNTRY_INFO!$H13=0,COUNTRY_INFO!$H13=4,COUNTRY_INFO!$H13=99),OR(COUNTRY_INFO!$J13=0,COUNTRY_INFO!$J13=4)),0,COUNTRY_INFO!$E13))</f>
        <v>0</v>
      </c>
      <c r="E13" s="13">
        <f>IF(AND(INTRO!$E$37="Non endémique",INTRO!$E$41="Non endémique"),0,IF(AND(OR(COUNTRY_INFO!$H13=0,COUNTRY_INFO!$H13=4,COUNTRY_INFO!$H13=99),OR(COUNTRY_INFO!$J13=0,COUNTRY_INFO!$J13=4)),0,COUNTRY_INFO!$F13))</f>
        <v>0</v>
      </c>
      <c r="F13" s="13">
        <f t="shared" si="1"/>
        <v>0</v>
      </c>
      <c r="G13" s="14">
        <f>IF(AND(INTRO!$E$37="Non endémique",INTRO!$E$41="Non endémique"),0,COUNTRY_INFO!P13)</f>
        <v>0</v>
      </c>
      <c r="H13" s="14">
        <f>IF(AND(INTRO!$E$37="Non endémique",INTRO!$E$41="Non endémique"),0,COUNTRY_INFO!R13)</f>
        <v>0</v>
      </c>
      <c r="I13" s="13">
        <f>IF(INTRO!$E$39="Non endémique",IF($G13=1,DEC!I13,0),IF($G13=1,IVM!G13,0))</f>
        <v>0</v>
      </c>
      <c r="J13" s="27" t="s">
        <v>245</v>
      </c>
      <c r="K13" s="48">
        <f>IF($J13="ALB", IF(INTRO!$E$39="Non endémique",IF($H13&lt;&gt;0,$D13*($H13-$G13),0),$D13*$H13), 0)</f>
        <v>0</v>
      </c>
      <c r="L13" s="13">
        <f t="shared" si="2"/>
        <v>0</v>
      </c>
      <c r="M13" s="3"/>
      <c r="N13" s="13">
        <f t="shared" si="3"/>
        <v>0</v>
      </c>
      <c r="O13" s="48">
        <f>IF($J13="MBD", IF(INTRO!$E$39="Non endémique",IF($H13&lt;&gt;0,$D13*($H13-$G13),0),$D13*$H13),0)</f>
        <v>0</v>
      </c>
      <c r="P13" s="13">
        <f t="shared" si="4"/>
        <v>0</v>
      </c>
      <c r="Q13" s="3"/>
      <c r="R13" s="13">
        <f t="shared" si="5"/>
        <v>0</v>
      </c>
      <c r="S13" s="24"/>
      <c r="T13" s="15">
        <f t="shared" si="6"/>
        <v>0</v>
      </c>
      <c r="U13" s="15">
        <f t="shared" si="7"/>
        <v>0</v>
      </c>
      <c r="V13" s="24"/>
      <c r="W13" s="15">
        <f t="shared" si="8"/>
        <v>0</v>
      </c>
      <c r="X13" s="15">
        <f t="shared" si="9"/>
        <v>0</v>
      </c>
      <c r="Y13" s="24"/>
      <c r="Z13" s="15">
        <f t="shared" si="10"/>
        <v>0</v>
      </c>
      <c r="AA13" s="15">
        <f t="shared" si="11"/>
        <v>0</v>
      </c>
    </row>
    <row r="14" spans="1:27" x14ac:dyDescent="0.4">
      <c r="A14" s="12" t="str">
        <f>IF(AND(INTRO!$E$37="Non endémique",INTRO!$E$41="Non endémique")," ",IF(COUNTRY_INFO!A14=0," ",COUNTRY_INFO!A14))</f>
        <v>Mali</v>
      </c>
      <c r="B14" s="12" t="str">
        <f>IF(AND(INTRO!$E$37="Non endémique",INTRO!$E$41="Non endémique")," ",IF(COUNTRY_INFO!B14=0," ",COUNTRY_INFO!B14))</f>
        <v>Kayes</v>
      </c>
      <c r="C14" s="12" t="str">
        <f>IF(AND(INTRO!$E$37="Non endémique",INTRO!$E$41="Non endémique")," ",IF(COUNTRY_INFO!C14=0," ",COUNTRY_INFO!C14))</f>
        <v>Kita</v>
      </c>
      <c r="D14" s="13">
        <f>IF(AND(INTRO!$E$37="Non endémique",INTRO!$E$41="Non endémique"),0,IF(AND(OR(COUNTRY_INFO!$H14=0,COUNTRY_INFO!$H14=4,COUNTRY_INFO!$H14=99),OR(COUNTRY_INFO!$J14=0,COUNTRY_INFO!$J14=4)),0,COUNTRY_INFO!$E14))</f>
        <v>0</v>
      </c>
      <c r="E14" s="13">
        <f>IF(AND(INTRO!$E$37="Non endémique",INTRO!$E$41="Non endémique"),0,IF(AND(OR(COUNTRY_INFO!$H14=0,COUNTRY_INFO!$H14=4,COUNTRY_INFO!$H14=99),OR(COUNTRY_INFO!$J14=0,COUNTRY_INFO!$J14=4)),0,COUNTRY_INFO!$F14))</f>
        <v>0</v>
      </c>
      <c r="F14" s="13">
        <f t="shared" si="1"/>
        <v>0</v>
      </c>
      <c r="G14" s="14">
        <f>IF(AND(INTRO!$E$37="Non endémique",INTRO!$E$41="Non endémique"),0,COUNTRY_INFO!P14)</f>
        <v>0</v>
      </c>
      <c r="H14" s="14">
        <f>IF(AND(INTRO!$E$37="Non endémique",INTRO!$E$41="Non endémique"),0,COUNTRY_INFO!R14)</f>
        <v>0</v>
      </c>
      <c r="I14" s="13">
        <f>IF(INTRO!$E$39="Non endémique",IF($G14=1,DEC!I14,0),IF($G14=1,IVM!G14,0))</f>
        <v>0</v>
      </c>
      <c r="J14" s="27" t="s">
        <v>245</v>
      </c>
      <c r="K14" s="48">
        <f>IF($J14="ALB", IF(INTRO!$E$39="Non endémique",IF($H14&lt;&gt;0,$D14*($H14-$G14),0),$D14*$H14), 0)</f>
        <v>0</v>
      </c>
      <c r="L14" s="13">
        <f t="shared" si="2"/>
        <v>0</v>
      </c>
      <c r="M14" s="3"/>
      <c r="N14" s="13">
        <f t="shared" si="3"/>
        <v>0</v>
      </c>
      <c r="O14" s="48">
        <f>IF($J14="MBD", IF(INTRO!$E$39="Non endémique",IF($H14&lt;&gt;0,$D14*($H14-$G14),0),$D14*$H14),0)</f>
        <v>0</v>
      </c>
      <c r="P14" s="13">
        <f t="shared" si="4"/>
        <v>0</v>
      </c>
      <c r="Q14" s="3"/>
      <c r="R14" s="13">
        <f t="shared" si="5"/>
        <v>0</v>
      </c>
      <c r="S14" s="24"/>
      <c r="T14" s="15">
        <f t="shared" si="6"/>
        <v>0</v>
      </c>
      <c r="U14" s="15">
        <f t="shared" si="7"/>
        <v>0</v>
      </c>
      <c r="V14" s="24"/>
      <c r="W14" s="15">
        <f t="shared" si="8"/>
        <v>0</v>
      </c>
      <c r="X14" s="15">
        <f t="shared" si="9"/>
        <v>0</v>
      </c>
      <c r="Y14" s="24"/>
      <c r="Z14" s="15">
        <f t="shared" si="10"/>
        <v>0</v>
      </c>
      <c r="AA14" s="15">
        <f t="shared" si="11"/>
        <v>0</v>
      </c>
    </row>
    <row r="15" spans="1:27" x14ac:dyDescent="0.4">
      <c r="A15" s="12" t="str">
        <f>IF(AND(INTRO!$E$37="Non endémique",INTRO!$E$41="Non endémique")," ",IF(COUNTRY_INFO!A15=0," ",COUNTRY_INFO!A15))</f>
        <v>Mali</v>
      </c>
      <c r="B15" s="12" t="str">
        <f>IF(AND(INTRO!$E$37="Non endémique",INTRO!$E$41="Non endémique")," ",IF(COUNTRY_INFO!B15=0," ",COUNTRY_INFO!B15))</f>
        <v>Kayes</v>
      </c>
      <c r="C15" s="12" t="str">
        <f>IF(AND(INTRO!$E$37="Non endémique",INTRO!$E$41="Non endémique")," ",IF(COUNTRY_INFO!C15=0," ",COUNTRY_INFO!C15))</f>
        <v>Sefeto</v>
      </c>
      <c r="D15" s="13">
        <f>IF(AND(INTRO!$E$37="Non endémique",INTRO!$E$41="Non endémique"),0,IF(AND(OR(COUNTRY_INFO!$H15=0,COUNTRY_INFO!$H15=4,COUNTRY_INFO!$H15=99),OR(COUNTRY_INFO!$J15=0,COUNTRY_INFO!$J15=4)),0,COUNTRY_INFO!$E15))</f>
        <v>0</v>
      </c>
      <c r="E15" s="13">
        <f>IF(AND(INTRO!$E$37="Non endémique",INTRO!$E$41="Non endémique"),0,IF(AND(OR(COUNTRY_INFO!$H15=0,COUNTRY_INFO!$H15=4,COUNTRY_INFO!$H15=99),OR(COUNTRY_INFO!$J15=0,COUNTRY_INFO!$J15=4)),0,COUNTRY_INFO!$F15))</f>
        <v>0</v>
      </c>
      <c r="F15" s="13">
        <f t="shared" si="1"/>
        <v>0</v>
      </c>
      <c r="G15" s="14">
        <f>IF(AND(INTRO!$E$37="Non endémique",INTRO!$E$41="Non endémique"),0,COUNTRY_INFO!P15)</f>
        <v>0</v>
      </c>
      <c r="H15" s="14">
        <f>IF(AND(INTRO!$E$37="Non endémique",INTRO!$E$41="Non endémique"),0,COUNTRY_INFO!R15)</f>
        <v>0</v>
      </c>
      <c r="I15" s="13">
        <f>IF(INTRO!$E$39="Non endémique",IF($G15=1,DEC!I15,0),IF($G15=1,IVM!G15,0))</f>
        <v>0</v>
      </c>
      <c r="J15" s="27" t="s">
        <v>245</v>
      </c>
      <c r="K15" s="48">
        <f>IF($J15="ALB", IF(INTRO!$E$39="Non endémique",IF($H15&lt;&gt;0,$D15*($H15-$G15),0),$D15*$H15), 0)</f>
        <v>0</v>
      </c>
      <c r="L15" s="13">
        <f t="shared" si="2"/>
        <v>0</v>
      </c>
      <c r="M15" s="3"/>
      <c r="N15" s="13">
        <f t="shared" si="3"/>
        <v>0</v>
      </c>
      <c r="O15" s="48">
        <f>IF($J15="MBD", IF(INTRO!$E$39="Non endémique",IF($H15&lt;&gt;0,$D15*($H15-$G15),0),$D15*$H15),0)</f>
        <v>0</v>
      </c>
      <c r="P15" s="13">
        <f t="shared" si="4"/>
        <v>0</v>
      </c>
      <c r="Q15" s="3"/>
      <c r="R15" s="13">
        <f t="shared" si="5"/>
        <v>0</v>
      </c>
      <c r="S15" s="24"/>
      <c r="T15" s="15">
        <f t="shared" si="6"/>
        <v>0</v>
      </c>
      <c r="U15" s="15">
        <f t="shared" si="7"/>
        <v>0</v>
      </c>
      <c r="V15" s="24"/>
      <c r="W15" s="15">
        <f t="shared" si="8"/>
        <v>0</v>
      </c>
      <c r="X15" s="15">
        <f t="shared" si="9"/>
        <v>0</v>
      </c>
      <c r="Y15" s="24"/>
      <c r="Z15" s="15">
        <f t="shared" si="10"/>
        <v>0</v>
      </c>
      <c r="AA15" s="15">
        <f t="shared" si="11"/>
        <v>0</v>
      </c>
    </row>
    <row r="16" spans="1:27" x14ac:dyDescent="0.4">
      <c r="A16" s="12" t="str">
        <f>IF(AND(INTRO!$E$37="Non endémique",INTRO!$E$41="Non endémique")," ",IF(COUNTRY_INFO!A16=0," ",COUNTRY_INFO!A16))</f>
        <v>Mali</v>
      </c>
      <c r="B16" s="12" t="str">
        <f>IF(AND(INTRO!$E$37="Non endémique",INTRO!$E$41="Non endémique")," ",IF(COUNTRY_INFO!B16=0," ",COUNTRY_INFO!B16))</f>
        <v>Kayes</v>
      </c>
      <c r="C16" s="12" t="str">
        <f>IF(AND(INTRO!$E$37="Non endémique",INTRO!$E$41="Non endémique")," ",IF(COUNTRY_INFO!C16=0," ",COUNTRY_INFO!C16))</f>
        <v>Sagabari</v>
      </c>
      <c r="D16" s="13">
        <f>IF(AND(INTRO!$E$37="Non endémique",INTRO!$E$41="Non endémique"),0,IF(AND(OR(COUNTRY_INFO!$H16=0,COUNTRY_INFO!$H16=4,COUNTRY_INFO!$H16=99),OR(COUNTRY_INFO!$J16=0,COUNTRY_INFO!$J16=4)),0,COUNTRY_INFO!$E16))</f>
        <v>0</v>
      </c>
      <c r="E16" s="13">
        <f>IF(AND(INTRO!$E$37="Non endémique",INTRO!$E$41="Non endémique"),0,IF(AND(OR(COUNTRY_INFO!$H16=0,COUNTRY_INFO!$H16=4,COUNTRY_INFO!$H16=99),OR(COUNTRY_INFO!$J16=0,COUNTRY_INFO!$J16=4)),0,COUNTRY_INFO!$F16))</f>
        <v>0</v>
      </c>
      <c r="F16" s="13">
        <f t="shared" si="1"/>
        <v>0</v>
      </c>
      <c r="G16" s="14">
        <f>IF(AND(INTRO!$E$37="Non endémique",INTRO!$E$41="Non endémique"),0,COUNTRY_INFO!P16)</f>
        <v>0</v>
      </c>
      <c r="H16" s="14">
        <f>IF(AND(INTRO!$E$37="Non endémique",INTRO!$E$41="Non endémique"),0,COUNTRY_INFO!R16)</f>
        <v>0</v>
      </c>
      <c r="I16" s="13">
        <f>IF(INTRO!$E$39="Non endémique",IF($G16=1,DEC!I16,0),IF($G16=1,IVM!G16,0))</f>
        <v>0</v>
      </c>
      <c r="J16" s="27" t="s">
        <v>245</v>
      </c>
      <c r="K16" s="48">
        <f>IF($J16="ALB", IF(INTRO!$E$39="Non endémique",IF($H16&lt;&gt;0,$D16*($H16-$G16),0),$D16*$H16), 0)</f>
        <v>0</v>
      </c>
      <c r="L16" s="13">
        <f t="shared" si="2"/>
        <v>0</v>
      </c>
      <c r="M16" s="3"/>
      <c r="N16" s="13">
        <f t="shared" si="3"/>
        <v>0</v>
      </c>
      <c r="O16" s="48">
        <f>IF($J16="MBD", IF(INTRO!$E$39="Non endémique",IF($H16&lt;&gt;0,$D16*($H16-$G16),0),$D16*$H16),0)</f>
        <v>0</v>
      </c>
      <c r="P16" s="13">
        <f t="shared" si="4"/>
        <v>0</v>
      </c>
      <c r="Q16" s="3"/>
      <c r="R16" s="13">
        <f t="shared" si="5"/>
        <v>0</v>
      </c>
      <c r="S16" s="24"/>
      <c r="T16" s="15">
        <f t="shared" si="6"/>
        <v>0</v>
      </c>
      <c r="U16" s="15">
        <f t="shared" si="7"/>
        <v>0</v>
      </c>
      <c r="V16" s="24"/>
      <c r="W16" s="15">
        <f t="shared" si="8"/>
        <v>0</v>
      </c>
      <c r="X16" s="15">
        <f t="shared" si="9"/>
        <v>0</v>
      </c>
      <c r="Y16" s="24"/>
      <c r="Z16" s="15">
        <f t="shared" si="10"/>
        <v>0</v>
      </c>
      <c r="AA16" s="15">
        <f t="shared" si="11"/>
        <v>0</v>
      </c>
    </row>
    <row r="17" spans="1:27" x14ac:dyDescent="0.4">
      <c r="A17" s="12" t="str">
        <f>IF(AND(INTRO!$E$37="Non endémique",INTRO!$E$41="Non endémique")," ",IF(COUNTRY_INFO!A17=0," ",COUNTRY_INFO!A17))</f>
        <v>Mali</v>
      </c>
      <c r="B17" s="12" t="str">
        <f>IF(AND(INTRO!$E$37="Non endémique",INTRO!$E$41="Non endémique")," ",IF(COUNTRY_INFO!B17=0," ",COUNTRY_INFO!B17))</f>
        <v>Kayes</v>
      </c>
      <c r="C17" s="12" t="str">
        <f>IF(AND(INTRO!$E$37="Non endémique",INTRO!$E$41="Non endémique")," ",IF(COUNTRY_INFO!C17=0," ",COUNTRY_INFO!C17))</f>
        <v>Nioro</v>
      </c>
      <c r="D17" s="13">
        <f>IF(AND(INTRO!$E$37="Non endémique",INTRO!$E$41="Non endémique"),0,IF(AND(OR(COUNTRY_INFO!$H17=0,COUNTRY_INFO!$H17=4,COUNTRY_INFO!$H17=99),OR(COUNTRY_INFO!$J17=0,COUNTRY_INFO!$J17=4)),0,COUNTRY_INFO!$E17))</f>
        <v>0</v>
      </c>
      <c r="E17" s="13">
        <f>IF(AND(INTRO!$E$37="Non endémique",INTRO!$E$41="Non endémique"),0,IF(AND(OR(COUNTRY_INFO!$H17=0,COUNTRY_INFO!$H17=4,COUNTRY_INFO!$H17=99),OR(COUNTRY_INFO!$J17=0,COUNTRY_INFO!$J17=4)),0,COUNTRY_INFO!$F17))</f>
        <v>0</v>
      </c>
      <c r="F17" s="13">
        <f t="shared" si="1"/>
        <v>0</v>
      </c>
      <c r="G17" s="14">
        <f>IF(AND(INTRO!$E$37="Non endémique",INTRO!$E$41="Non endémique"),0,COUNTRY_INFO!P17)</f>
        <v>0</v>
      </c>
      <c r="H17" s="14">
        <f>IF(AND(INTRO!$E$37="Non endémique",INTRO!$E$41="Non endémique"),0,COUNTRY_INFO!R17)</f>
        <v>0</v>
      </c>
      <c r="I17" s="13">
        <f>IF(INTRO!$E$39="Non endémique",IF($G17=1,DEC!I17,0),IF($G17=1,IVM!G17,0))</f>
        <v>0</v>
      </c>
      <c r="J17" s="27" t="s">
        <v>245</v>
      </c>
      <c r="K17" s="48">
        <f>IF($J17="ALB", IF(INTRO!$E$39="Non endémique",IF($H17&lt;&gt;0,$D17*($H17-$G17),0),$D17*$H17), 0)</f>
        <v>0</v>
      </c>
      <c r="L17" s="13">
        <f t="shared" si="2"/>
        <v>0</v>
      </c>
      <c r="M17" s="3"/>
      <c r="N17" s="13">
        <f t="shared" si="3"/>
        <v>0</v>
      </c>
      <c r="O17" s="48">
        <f>IF($J17="MBD", IF(INTRO!$E$39="Non endémique",IF($H17&lt;&gt;0,$D17*($H17-$G17),0),$D17*$H17),0)</f>
        <v>0</v>
      </c>
      <c r="P17" s="13">
        <f t="shared" si="4"/>
        <v>0</v>
      </c>
      <c r="Q17" s="3"/>
      <c r="R17" s="13">
        <f t="shared" si="5"/>
        <v>0</v>
      </c>
      <c r="S17" s="24"/>
      <c r="T17" s="15">
        <f t="shared" si="6"/>
        <v>0</v>
      </c>
      <c r="U17" s="15">
        <f t="shared" si="7"/>
        <v>0</v>
      </c>
      <c r="V17" s="24"/>
      <c r="W17" s="15">
        <f t="shared" si="8"/>
        <v>0</v>
      </c>
      <c r="X17" s="15">
        <f t="shared" si="9"/>
        <v>0</v>
      </c>
      <c r="Y17" s="24"/>
      <c r="Z17" s="15">
        <f t="shared" si="10"/>
        <v>0</v>
      </c>
      <c r="AA17" s="15">
        <f t="shared" si="11"/>
        <v>0</v>
      </c>
    </row>
    <row r="18" spans="1:27" x14ac:dyDescent="0.4">
      <c r="A18" s="12" t="str">
        <f>IF(AND(INTRO!$E$37="Non endémique",INTRO!$E$41="Non endémique")," ",IF(COUNTRY_INFO!A18=0," ",COUNTRY_INFO!A18))</f>
        <v>Mali</v>
      </c>
      <c r="B18" s="12" t="str">
        <f>IF(AND(INTRO!$E$37="Non endémique",INTRO!$E$41="Non endémique")," ",IF(COUNTRY_INFO!B18=0," ",COUNTRY_INFO!B18))</f>
        <v>Kayes</v>
      </c>
      <c r="C18" s="12" t="str">
        <f>IF(AND(INTRO!$E$37="Non endémique",INTRO!$E$41="Non endémique")," ",IF(COUNTRY_INFO!C18=0," ",COUNTRY_INFO!C18))</f>
        <v>Yelimane</v>
      </c>
      <c r="D18" s="13">
        <f>IF(AND(INTRO!$E$37="Non endémique",INTRO!$E$41="Non endémique"),0,IF(AND(OR(COUNTRY_INFO!$H18=0,COUNTRY_INFO!$H18=4,COUNTRY_INFO!$H18=99),OR(COUNTRY_INFO!$J18=0,COUNTRY_INFO!$J18=4)),0,COUNTRY_INFO!$E18))</f>
        <v>0</v>
      </c>
      <c r="E18" s="13">
        <f>IF(AND(INTRO!$E$37="Non endémique",INTRO!$E$41="Non endémique"),0,IF(AND(OR(COUNTRY_INFO!$H18=0,COUNTRY_INFO!$H18=4,COUNTRY_INFO!$H18=99),OR(COUNTRY_INFO!$J18=0,COUNTRY_INFO!$J18=4)),0,COUNTRY_INFO!$F18))</f>
        <v>0</v>
      </c>
      <c r="F18" s="13">
        <f t="shared" si="1"/>
        <v>0</v>
      </c>
      <c r="G18" s="14">
        <f>IF(AND(INTRO!$E$37="Non endémique",INTRO!$E$41="Non endémique"),0,COUNTRY_INFO!P18)</f>
        <v>0</v>
      </c>
      <c r="H18" s="14">
        <f>IF(AND(INTRO!$E$37="Non endémique",INTRO!$E$41="Non endémique"),0,COUNTRY_INFO!R18)</f>
        <v>0</v>
      </c>
      <c r="I18" s="13">
        <f>IF(INTRO!$E$39="Non endémique",IF($G18=1,DEC!I18,0),IF($G18=1,IVM!G18,0))</f>
        <v>0</v>
      </c>
      <c r="J18" s="27" t="s">
        <v>245</v>
      </c>
      <c r="K18" s="48">
        <f>IF($J18="ALB", IF(INTRO!$E$39="Non endémique",IF($H18&lt;&gt;0,$D18*($H18-$G18),0),$D18*$H18), 0)</f>
        <v>0</v>
      </c>
      <c r="L18" s="13">
        <f t="shared" si="2"/>
        <v>0</v>
      </c>
      <c r="M18" s="3"/>
      <c r="N18" s="13">
        <f t="shared" si="3"/>
        <v>0</v>
      </c>
      <c r="O18" s="48">
        <f>IF($J18="MBD", IF(INTRO!$E$39="Non endémique",IF($H18&lt;&gt;0,$D18*($H18-$G18),0),$D18*$H18),0)</f>
        <v>0</v>
      </c>
      <c r="P18" s="13">
        <f t="shared" si="4"/>
        <v>0</v>
      </c>
      <c r="Q18" s="3"/>
      <c r="R18" s="13">
        <f t="shared" si="5"/>
        <v>0</v>
      </c>
      <c r="S18" s="24"/>
      <c r="T18" s="15">
        <f t="shared" si="6"/>
        <v>0</v>
      </c>
      <c r="U18" s="15">
        <f t="shared" si="7"/>
        <v>0</v>
      </c>
      <c r="V18" s="24"/>
      <c r="W18" s="15">
        <f t="shared" si="8"/>
        <v>0</v>
      </c>
      <c r="X18" s="15">
        <f t="shared" si="9"/>
        <v>0</v>
      </c>
      <c r="Y18" s="24"/>
      <c r="Z18" s="15">
        <f t="shared" si="10"/>
        <v>0</v>
      </c>
      <c r="AA18" s="15">
        <f t="shared" si="11"/>
        <v>0</v>
      </c>
    </row>
    <row r="19" spans="1:27" x14ac:dyDescent="0.4">
      <c r="A19" s="12" t="str">
        <f>IF(AND(INTRO!$E$37="Non endémique",INTRO!$E$41="Non endémique")," ",IF(COUNTRY_INFO!A19=0," ",COUNTRY_INFO!A19))</f>
        <v>Mali</v>
      </c>
      <c r="B19" s="12" t="str">
        <f>IF(AND(INTRO!$E$37="Non endémique",INTRO!$E$41="Non endémique")," ",IF(COUNTRY_INFO!B19=0," ",COUNTRY_INFO!B19))</f>
        <v>Koulikoro</v>
      </c>
      <c r="C19" s="12" t="str">
        <f>IF(AND(INTRO!$E$37="Non endémique",INTRO!$E$41="Non endémique")," ",IF(COUNTRY_INFO!C19=0," ",COUNTRY_INFO!C19))</f>
        <v xml:space="preserve">Banamba </v>
      </c>
      <c r="D19" s="13">
        <f>IF(AND(INTRO!$E$37="Non endémique",INTRO!$E$41="Non endémique"),0,IF(AND(OR(COUNTRY_INFO!$H19=0,COUNTRY_INFO!$H19=4,COUNTRY_INFO!$H19=99),OR(COUNTRY_INFO!$J19=0,COUNTRY_INFO!$J19=4)),0,COUNTRY_INFO!$E19))</f>
        <v>0</v>
      </c>
      <c r="E19" s="13">
        <f>IF(AND(INTRO!$E$37="Non endémique",INTRO!$E$41="Non endémique"),0,IF(AND(OR(COUNTRY_INFO!$H19=0,COUNTRY_INFO!$H19=4,COUNTRY_INFO!$H19=99),OR(COUNTRY_INFO!$J19=0,COUNTRY_INFO!$J19=4)),0,COUNTRY_INFO!$F19))</f>
        <v>0</v>
      </c>
      <c r="F19" s="13">
        <f t="shared" si="1"/>
        <v>0</v>
      </c>
      <c r="G19" s="14">
        <f>IF(AND(INTRO!$E$37="Non endémique",INTRO!$E$41="Non endémique"),0,COUNTRY_INFO!P19)</f>
        <v>0</v>
      </c>
      <c r="H19" s="14">
        <f>IF(AND(INTRO!$E$37="Non endémique",INTRO!$E$41="Non endémique"),0,COUNTRY_INFO!R19)</f>
        <v>0</v>
      </c>
      <c r="I19" s="13">
        <f>IF(INTRO!$E$39="Non endémique",IF($G19=1,DEC!I19,0),IF($G19=1,IVM!G19,0))</f>
        <v>0</v>
      </c>
      <c r="J19" s="27" t="s">
        <v>245</v>
      </c>
      <c r="K19" s="48">
        <f>IF($J19="ALB", IF(INTRO!$E$39="Non endémique",IF($H19&lt;&gt;0,$D19*($H19-$G19),0),$D19*$H19), 0)</f>
        <v>0</v>
      </c>
      <c r="L19" s="13">
        <f t="shared" si="2"/>
        <v>0</v>
      </c>
      <c r="M19" s="3"/>
      <c r="N19" s="13">
        <f t="shared" si="3"/>
        <v>0</v>
      </c>
      <c r="O19" s="48">
        <f>IF($J19="MBD", IF(INTRO!$E$39="Non endémique",IF($H19&lt;&gt;0,$D19*($H19-$G19),0),$D19*$H19),0)</f>
        <v>0</v>
      </c>
      <c r="P19" s="13">
        <f t="shared" si="4"/>
        <v>0</v>
      </c>
      <c r="Q19" s="3"/>
      <c r="R19" s="13">
        <f t="shared" si="5"/>
        <v>0</v>
      </c>
      <c r="S19" s="24"/>
      <c r="T19" s="15">
        <f t="shared" si="6"/>
        <v>0</v>
      </c>
      <c r="U19" s="15">
        <f t="shared" si="7"/>
        <v>0</v>
      </c>
      <c r="V19" s="24"/>
      <c r="W19" s="15">
        <f t="shared" si="8"/>
        <v>0</v>
      </c>
      <c r="X19" s="15">
        <f t="shared" si="9"/>
        <v>0</v>
      </c>
      <c r="Y19" s="24"/>
      <c r="Z19" s="15">
        <f t="shared" si="10"/>
        <v>0</v>
      </c>
      <c r="AA19" s="15">
        <f t="shared" si="11"/>
        <v>0</v>
      </c>
    </row>
    <row r="20" spans="1:27" x14ac:dyDescent="0.4">
      <c r="A20" s="12" t="str">
        <f>IF(AND(INTRO!$E$37="Non endémique",INTRO!$E$41="Non endémique")," ",IF(COUNTRY_INFO!A20=0," ",COUNTRY_INFO!A20))</f>
        <v>Mali</v>
      </c>
      <c r="B20" s="12" t="str">
        <f>IF(AND(INTRO!$E$37="Non endémique",INTRO!$E$41="Non endémique")," ",IF(COUNTRY_INFO!B20=0," ",COUNTRY_INFO!B20))</f>
        <v>Koulikoro</v>
      </c>
      <c r="C20" s="12" t="str">
        <f>IF(AND(INTRO!$E$37="Non endémique",INTRO!$E$41="Non endémique")," ",IF(COUNTRY_INFO!C20=0," ",COUNTRY_INFO!C20))</f>
        <v>Dioila</v>
      </c>
      <c r="D20" s="13">
        <f>IF(AND(INTRO!$E$37="Non endémique",INTRO!$E$41="Non endémique"),0,IF(AND(OR(COUNTRY_INFO!$H20=0,COUNTRY_INFO!$H20=4,COUNTRY_INFO!$H20=99),OR(COUNTRY_INFO!$J20=0,COUNTRY_INFO!$J20=4)),0,COUNTRY_INFO!$E20))</f>
        <v>50065</v>
      </c>
      <c r="E20" s="13">
        <f>IF(AND(INTRO!$E$37="Non endémique",INTRO!$E$41="Non endémique"),0,IF(AND(OR(COUNTRY_INFO!$H20=0,COUNTRY_INFO!$H20=4,COUNTRY_INFO!$H20=99),OR(COUNTRY_INFO!$J20=0,COUNTRY_INFO!$J20=4)),0,COUNTRY_INFO!$F20))</f>
        <v>100130</v>
      </c>
      <c r="F20" s="13">
        <f t="shared" si="1"/>
        <v>150195</v>
      </c>
      <c r="G20" s="14">
        <f>IF(AND(INTRO!$E$37="Non endémique",INTRO!$E$41="Non endémique"),0,COUNTRY_INFO!P20)</f>
        <v>0</v>
      </c>
      <c r="H20" s="14">
        <f>IF(AND(INTRO!$E$37="Non endémique",INTRO!$E$41="Non endémique"),0,COUNTRY_INFO!R20)</f>
        <v>1</v>
      </c>
      <c r="I20" s="13">
        <f>IF(INTRO!$E$39="Non endémique",IF($G20=1,DEC!I20,0),IF($G20=1,IVM!G20,0))</f>
        <v>0</v>
      </c>
      <c r="J20" s="27" t="s">
        <v>245</v>
      </c>
      <c r="K20" s="48">
        <f>IF($J20="ALB", IF(INTRO!$E$39="Non endémique",IF($H20&lt;&gt;0,$D20*($H20-$G20),0),$D20*$H20), 0)</f>
        <v>50065</v>
      </c>
      <c r="L20" s="13">
        <f t="shared" si="2"/>
        <v>100130</v>
      </c>
      <c r="M20" s="3"/>
      <c r="N20" s="13">
        <f t="shared" si="3"/>
        <v>150195</v>
      </c>
      <c r="O20" s="48">
        <f>IF($J20="MBD", IF(INTRO!$E$39="Non endémique",IF($H20&lt;&gt;0,$D20*($H20-$G20),0),$D20*$H20),0)</f>
        <v>0</v>
      </c>
      <c r="P20" s="13">
        <f t="shared" si="4"/>
        <v>0</v>
      </c>
      <c r="Q20" s="3"/>
      <c r="R20" s="13">
        <f t="shared" si="5"/>
        <v>0</v>
      </c>
      <c r="S20" s="24"/>
      <c r="T20" s="15">
        <f t="shared" si="6"/>
        <v>0</v>
      </c>
      <c r="U20" s="15">
        <f t="shared" si="7"/>
        <v>0</v>
      </c>
      <c r="V20" s="24"/>
      <c r="W20" s="15">
        <f t="shared" si="8"/>
        <v>100130</v>
      </c>
      <c r="X20" s="15">
        <f t="shared" si="9"/>
        <v>501</v>
      </c>
      <c r="Y20" s="24"/>
      <c r="Z20" s="15">
        <f t="shared" si="10"/>
        <v>0</v>
      </c>
      <c r="AA20" s="15">
        <f t="shared" si="11"/>
        <v>0</v>
      </c>
    </row>
    <row r="21" spans="1:27" x14ac:dyDescent="0.4">
      <c r="A21" s="12" t="str">
        <f>IF(AND(INTRO!$E$37="Non endémique",INTRO!$E$41="Non endémique")," ",IF(COUNTRY_INFO!A21=0," ",COUNTRY_INFO!A21))</f>
        <v>Mali</v>
      </c>
      <c r="B21" s="12" t="str">
        <f>IF(AND(INTRO!$E$37="Non endémique",INTRO!$E$41="Non endémique")," ",IF(COUNTRY_INFO!B21=0," ",COUNTRY_INFO!B21))</f>
        <v>Koulikoro</v>
      </c>
      <c r="C21" s="12" t="str">
        <f>IF(AND(INTRO!$E$37="Non endémique",INTRO!$E$41="Non endémique")," ",IF(COUNTRY_INFO!C21=0," ",COUNTRY_INFO!C21))</f>
        <v>Fana</v>
      </c>
      <c r="D21" s="13">
        <f>IF(AND(INTRO!$E$37="Non endémique",INTRO!$E$41="Non endémique"),0,IF(AND(OR(COUNTRY_INFO!$H21=0,COUNTRY_INFO!$H21=4,COUNTRY_INFO!$H21=99),OR(COUNTRY_INFO!$J21=0,COUNTRY_INFO!$J21=4)),0,COUNTRY_INFO!$E21))</f>
        <v>0</v>
      </c>
      <c r="E21" s="13">
        <f>IF(AND(INTRO!$E$37="Non endémique",INTRO!$E$41="Non endémique"),0,IF(AND(OR(COUNTRY_INFO!$H21=0,COUNTRY_INFO!$H21=4,COUNTRY_INFO!$H21=99),OR(COUNTRY_INFO!$J21=0,COUNTRY_INFO!$J21=4)),0,COUNTRY_INFO!$F21))</f>
        <v>0</v>
      </c>
      <c r="F21" s="13">
        <f t="shared" si="1"/>
        <v>0</v>
      </c>
      <c r="G21" s="14">
        <f>IF(AND(INTRO!$E$37="Non endémique",INTRO!$E$41="Non endémique"),0,COUNTRY_INFO!P21)</f>
        <v>0</v>
      </c>
      <c r="H21" s="14">
        <f>IF(AND(INTRO!$E$37="Non endémique",INTRO!$E$41="Non endémique"),0,COUNTRY_INFO!R21)</f>
        <v>0</v>
      </c>
      <c r="I21" s="13">
        <f>IF(INTRO!$E$39="Non endémique",IF($G21=1,DEC!I21,0),IF($G21=1,IVM!G21,0))</f>
        <v>0</v>
      </c>
      <c r="J21" s="27" t="s">
        <v>245</v>
      </c>
      <c r="K21" s="48">
        <f>IF($J21="ALB", IF(INTRO!$E$39="Non endémique",IF($H21&lt;&gt;0,$D21*($H21-$G21),0),$D21*$H21), 0)</f>
        <v>0</v>
      </c>
      <c r="L21" s="13">
        <f t="shared" si="2"/>
        <v>0</v>
      </c>
      <c r="M21" s="3"/>
      <c r="N21" s="13">
        <f t="shared" si="3"/>
        <v>0</v>
      </c>
      <c r="O21" s="48">
        <f>IF($J21="MBD", IF(INTRO!$E$39="Non endémique",IF($H21&lt;&gt;0,$D21*($H21-$G21),0),$D21*$H21),0)</f>
        <v>0</v>
      </c>
      <c r="P21" s="13">
        <f t="shared" si="4"/>
        <v>0</v>
      </c>
      <c r="Q21" s="3"/>
      <c r="R21" s="13">
        <f t="shared" si="5"/>
        <v>0</v>
      </c>
      <c r="S21" s="24"/>
      <c r="T21" s="15">
        <f t="shared" si="6"/>
        <v>0</v>
      </c>
      <c r="U21" s="15">
        <f t="shared" si="7"/>
        <v>0</v>
      </c>
      <c r="V21" s="24"/>
      <c r="W21" s="15">
        <f t="shared" si="8"/>
        <v>0</v>
      </c>
      <c r="X21" s="15">
        <f t="shared" si="9"/>
        <v>0</v>
      </c>
      <c r="Y21" s="24"/>
      <c r="Z21" s="15">
        <f t="shared" si="10"/>
        <v>0</v>
      </c>
      <c r="AA21" s="15">
        <f t="shared" si="11"/>
        <v>0</v>
      </c>
    </row>
    <row r="22" spans="1:27" x14ac:dyDescent="0.4">
      <c r="A22" s="12" t="str">
        <f>IF(AND(INTRO!$E$37="Non endémique",INTRO!$E$41="Non endémique")," ",IF(COUNTRY_INFO!A22=0," ",COUNTRY_INFO!A22))</f>
        <v>Mali</v>
      </c>
      <c r="B22" s="12" t="str">
        <f>IF(AND(INTRO!$E$37="Non endémique",INTRO!$E$41="Non endémique")," ",IF(COUNTRY_INFO!B22=0," ",COUNTRY_INFO!B22))</f>
        <v>Koulikoro</v>
      </c>
      <c r="C22" s="12" t="str">
        <f>IF(AND(INTRO!$E$37="Non endémique",INTRO!$E$41="Non endémique")," ",IF(COUNTRY_INFO!C22=0," ",COUNTRY_INFO!C22))</f>
        <v>Kalaban Coro</v>
      </c>
      <c r="D22" s="13">
        <f>IF(AND(INTRO!$E$37="Non endémique",INTRO!$E$41="Non endémique"),0,IF(AND(OR(COUNTRY_INFO!$H22=0,COUNTRY_INFO!$H22=4,COUNTRY_INFO!$H22=99),OR(COUNTRY_INFO!$J22=0,COUNTRY_INFO!$J22=4)),0,COUNTRY_INFO!$E22))</f>
        <v>0</v>
      </c>
      <c r="E22" s="13">
        <f>IF(AND(INTRO!$E$37="Non endémique",INTRO!$E$41="Non endémique"),0,IF(AND(OR(COUNTRY_INFO!$H22=0,COUNTRY_INFO!$H22=4,COUNTRY_INFO!$H22=99),OR(COUNTRY_INFO!$J22=0,COUNTRY_INFO!$J22=4)),0,COUNTRY_INFO!$F22))</f>
        <v>0</v>
      </c>
      <c r="F22" s="13">
        <f t="shared" si="1"/>
        <v>0</v>
      </c>
      <c r="G22" s="14">
        <f>IF(AND(INTRO!$E$37="Non endémique",INTRO!$E$41="Non endémique"),0,COUNTRY_INFO!P22)</f>
        <v>0</v>
      </c>
      <c r="H22" s="14">
        <f>IF(AND(INTRO!$E$37="Non endémique",INTRO!$E$41="Non endémique"),0,COUNTRY_INFO!R22)</f>
        <v>0</v>
      </c>
      <c r="I22" s="13">
        <f>IF(INTRO!$E$39="Non endémique",IF($G22=1,DEC!I22,0),IF($G22=1,IVM!G22,0))</f>
        <v>0</v>
      </c>
      <c r="J22" s="27" t="s">
        <v>245</v>
      </c>
      <c r="K22" s="48">
        <f>IF($J22="ALB", IF(INTRO!$E$39="Non endémique",IF($H22&lt;&gt;0,$D22*($H22-$G22),0),$D22*$H22), 0)</f>
        <v>0</v>
      </c>
      <c r="L22" s="13">
        <f t="shared" si="2"/>
        <v>0</v>
      </c>
      <c r="M22" s="3"/>
      <c r="N22" s="13">
        <f t="shared" si="3"/>
        <v>0</v>
      </c>
      <c r="O22" s="48">
        <f>IF($J22="MBD", IF(INTRO!$E$39="Non endémique",IF($H22&lt;&gt;0,$D22*($H22-$G22),0),$D22*$H22),0)</f>
        <v>0</v>
      </c>
      <c r="P22" s="13">
        <f t="shared" si="4"/>
        <v>0</v>
      </c>
      <c r="Q22" s="3"/>
      <c r="R22" s="13">
        <f t="shared" si="5"/>
        <v>0</v>
      </c>
      <c r="S22" s="24"/>
      <c r="T22" s="15">
        <f t="shared" si="6"/>
        <v>0</v>
      </c>
      <c r="U22" s="15">
        <f t="shared" si="7"/>
        <v>0</v>
      </c>
      <c r="V22" s="24"/>
      <c r="W22" s="15">
        <f t="shared" si="8"/>
        <v>0</v>
      </c>
      <c r="X22" s="15">
        <f t="shared" si="9"/>
        <v>0</v>
      </c>
      <c r="Y22" s="24"/>
      <c r="Z22" s="15">
        <f t="shared" si="10"/>
        <v>0</v>
      </c>
      <c r="AA22" s="15">
        <f t="shared" si="11"/>
        <v>0</v>
      </c>
    </row>
    <row r="23" spans="1:27" x14ac:dyDescent="0.4">
      <c r="A23" s="12" t="str">
        <f>IF(AND(INTRO!$E$37="Non endémique",INTRO!$E$41="Non endémique")," ",IF(COUNTRY_INFO!A23=0," ",COUNTRY_INFO!A23))</f>
        <v>Mali</v>
      </c>
      <c r="B23" s="12" t="str">
        <f>IF(AND(INTRO!$E$37="Non endémique",INTRO!$E$41="Non endémique")," ",IF(COUNTRY_INFO!B23=0," ",COUNTRY_INFO!B23))</f>
        <v>Koulikoro</v>
      </c>
      <c r="C23" s="12" t="str">
        <f>IF(AND(INTRO!$E$37="Non endémique",INTRO!$E$41="Non endémique")," ",IF(COUNTRY_INFO!C23=0," ",COUNTRY_INFO!C23))</f>
        <v>Kangaba</v>
      </c>
      <c r="D23" s="13">
        <f>IF(AND(INTRO!$E$37="Non endémique",INTRO!$E$41="Non endémique"),0,IF(AND(OR(COUNTRY_INFO!$H23=0,COUNTRY_INFO!$H23=4,COUNTRY_INFO!$H23=99),OR(COUNTRY_INFO!$J23=0,COUNTRY_INFO!$J23=4)),0,COUNTRY_INFO!$E23))</f>
        <v>0</v>
      </c>
      <c r="E23" s="13">
        <f>IF(AND(INTRO!$E$37="Non endémique",INTRO!$E$41="Non endémique"),0,IF(AND(OR(COUNTRY_INFO!$H23=0,COUNTRY_INFO!$H23=4,COUNTRY_INFO!$H23=99),OR(COUNTRY_INFO!$J23=0,COUNTRY_INFO!$J23=4)),0,COUNTRY_INFO!$F23))</f>
        <v>0</v>
      </c>
      <c r="F23" s="13">
        <f t="shared" si="1"/>
        <v>0</v>
      </c>
      <c r="G23" s="14">
        <f>IF(AND(INTRO!$E$37="Non endémique",INTRO!$E$41="Non endémique"),0,COUNTRY_INFO!P23)</f>
        <v>0</v>
      </c>
      <c r="H23" s="14">
        <f>IF(AND(INTRO!$E$37="Non endémique",INTRO!$E$41="Non endémique"),0,COUNTRY_INFO!R23)</f>
        <v>0</v>
      </c>
      <c r="I23" s="13">
        <f>IF(INTRO!$E$39="Non endémique",IF($G23=1,DEC!I23,0),IF($G23=1,IVM!G23,0))</f>
        <v>0</v>
      </c>
      <c r="J23" s="27" t="s">
        <v>245</v>
      </c>
      <c r="K23" s="48">
        <f>IF($J23="ALB", IF(INTRO!$E$39="Non endémique",IF($H23&lt;&gt;0,$D23*($H23-$G23),0),$D23*$H23), 0)</f>
        <v>0</v>
      </c>
      <c r="L23" s="13">
        <f t="shared" si="2"/>
        <v>0</v>
      </c>
      <c r="M23" s="3"/>
      <c r="N23" s="13">
        <f t="shared" si="3"/>
        <v>0</v>
      </c>
      <c r="O23" s="48">
        <f>IF($J23="MBD", IF(INTRO!$E$39="Non endémique",IF($H23&lt;&gt;0,$D23*($H23-$G23),0),$D23*$H23),0)</f>
        <v>0</v>
      </c>
      <c r="P23" s="13">
        <f t="shared" si="4"/>
        <v>0</v>
      </c>
      <c r="Q23" s="3"/>
      <c r="R23" s="13">
        <f t="shared" si="5"/>
        <v>0</v>
      </c>
      <c r="S23" s="24"/>
      <c r="T23" s="15">
        <f t="shared" si="6"/>
        <v>0</v>
      </c>
      <c r="U23" s="15">
        <f t="shared" si="7"/>
        <v>0</v>
      </c>
      <c r="V23" s="24"/>
      <c r="W23" s="15">
        <f t="shared" si="8"/>
        <v>0</v>
      </c>
      <c r="X23" s="15">
        <f t="shared" si="9"/>
        <v>0</v>
      </c>
      <c r="Y23" s="24"/>
      <c r="Z23" s="15">
        <f t="shared" si="10"/>
        <v>0</v>
      </c>
      <c r="AA23" s="15">
        <f t="shared" si="11"/>
        <v>0</v>
      </c>
    </row>
    <row r="24" spans="1:27" x14ac:dyDescent="0.4">
      <c r="A24" s="12" t="str">
        <f>IF(AND(INTRO!$E$37="Non endémique",INTRO!$E$41="Non endémique")," ",IF(COUNTRY_INFO!A24=0," ",COUNTRY_INFO!A24))</f>
        <v>Mali</v>
      </c>
      <c r="B24" s="12" t="str">
        <f>IF(AND(INTRO!$E$37="Non endémique",INTRO!$E$41="Non endémique")," ",IF(COUNTRY_INFO!B24=0," ",COUNTRY_INFO!B24))</f>
        <v>Koulikoro</v>
      </c>
      <c r="C24" s="12" t="str">
        <f>IF(AND(INTRO!$E$37="Non endémique",INTRO!$E$41="Non endémique")," ",IF(COUNTRY_INFO!C24=0," ",COUNTRY_INFO!C24))</f>
        <v>Kati</v>
      </c>
      <c r="D24" s="13">
        <f>IF(AND(INTRO!$E$37="Non endémique",INTRO!$E$41="Non endémique"),0,IF(AND(OR(COUNTRY_INFO!$H24=0,COUNTRY_INFO!$H24=4,COUNTRY_INFO!$H24=99),OR(COUNTRY_INFO!$J24=0,COUNTRY_INFO!$J24=4)),0,COUNTRY_INFO!$E24))</f>
        <v>86423</v>
      </c>
      <c r="E24" s="13">
        <f>IF(AND(INTRO!$E$37="Non endémique",INTRO!$E$41="Non endémique"),0,IF(AND(OR(COUNTRY_INFO!$H24=0,COUNTRY_INFO!$H24=4,COUNTRY_INFO!$H24=99),OR(COUNTRY_INFO!$J24=0,COUNTRY_INFO!$J24=4)),0,COUNTRY_INFO!$F24))</f>
        <v>172847</v>
      </c>
      <c r="F24" s="13">
        <f t="shared" si="1"/>
        <v>259270</v>
      </c>
      <c r="G24" s="14">
        <f>IF(AND(INTRO!$E$37="Non endémique",INTRO!$E$41="Non endémique"),0,COUNTRY_INFO!P24)</f>
        <v>0</v>
      </c>
      <c r="H24" s="14">
        <f>IF(AND(INTRO!$E$37="Non endémique",INTRO!$E$41="Non endémique"),0,COUNTRY_INFO!R24)</f>
        <v>1</v>
      </c>
      <c r="I24" s="13">
        <f>IF(INTRO!$E$39="Non endémique",IF($G24=1,DEC!I24,0),IF($G24=1,IVM!G24,0))</f>
        <v>0</v>
      </c>
      <c r="J24" s="27" t="s">
        <v>245</v>
      </c>
      <c r="K24" s="48">
        <f>IF($J24="ALB", IF(INTRO!$E$39="Non endémique",IF($H24&lt;&gt;0,$D24*($H24-$G24),0),$D24*$H24), 0)</f>
        <v>86423</v>
      </c>
      <c r="L24" s="13">
        <f t="shared" si="2"/>
        <v>172847</v>
      </c>
      <c r="M24" s="3"/>
      <c r="N24" s="13">
        <f t="shared" si="3"/>
        <v>259270</v>
      </c>
      <c r="O24" s="48">
        <f>IF($J24="MBD", IF(INTRO!$E$39="Non endémique",IF($H24&lt;&gt;0,$D24*($H24-$G24),0),$D24*$H24),0)</f>
        <v>0</v>
      </c>
      <c r="P24" s="13">
        <f t="shared" si="4"/>
        <v>0</v>
      </c>
      <c r="Q24" s="3"/>
      <c r="R24" s="13">
        <f t="shared" si="5"/>
        <v>0</v>
      </c>
      <c r="S24" s="24"/>
      <c r="T24" s="15">
        <f t="shared" si="6"/>
        <v>0</v>
      </c>
      <c r="U24" s="15">
        <f t="shared" si="7"/>
        <v>0</v>
      </c>
      <c r="V24" s="24"/>
      <c r="W24" s="15">
        <f t="shared" si="8"/>
        <v>172847</v>
      </c>
      <c r="X24" s="15">
        <f t="shared" si="9"/>
        <v>865</v>
      </c>
      <c r="Y24" s="24"/>
      <c r="Z24" s="15">
        <f t="shared" si="10"/>
        <v>0</v>
      </c>
      <c r="AA24" s="15">
        <f t="shared" si="11"/>
        <v>0</v>
      </c>
    </row>
    <row r="25" spans="1:27" x14ac:dyDescent="0.4">
      <c r="A25" s="12" t="str">
        <f>IF(AND(INTRO!$E$37="Non endémique",INTRO!$E$41="Non endémique")," ",IF(COUNTRY_INFO!A25=0," ",COUNTRY_INFO!A25))</f>
        <v>Mali</v>
      </c>
      <c r="B25" s="12" t="str">
        <f>IF(AND(INTRO!$E$37="Non endémique",INTRO!$E$41="Non endémique")," ",IF(COUNTRY_INFO!B25=0," ",COUNTRY_INFO!B25))</f>
        <v>Koulikoro</v>
      </c>
      <c r="C25" s="12" t="str">
        <f>IF(AND(INTRO!$E$37="Non endémique",INTRO!$E$41="Non endémique")," ",IF(COUNTRY_INFO!C25=0," ",COUNTRY_INFO!C25))</f>
        <v>Kolokani</v>
      </c>
      <c r="D25" s="13">
        <f>IF(AND(INTRO!$E$37="Non endémique",INTRO!$E$41="Non endémique"),0,IF(AND(OR(COUNTRY_INFO!$H25=0,COUNTRY_INFO!$H25=4,COUNTRY_INFO!$H25=99),OR(COUNTRY_INFO!$J25=0,COUNTRY_INFO!$J25=4)),0,COUNTRY_INFO!$E25))</f>
        <v>44151</v>
      </c>
      <c r="E25" s="13">
        <f>IF(AND(INTRO!$E$37="Non endémique",INTRO!$E$41="Non endémique"),0,IF(AND(OR(COUNTRY_INFO!$H25=0,COUNTRY_INFO!$H25=4,COUNTRY_INFO!$H25=99),OR(COUNTRY_INFO!$J25=0,COUNTRY_INFO!$J25=4)),0,COUNTRY_INFO!$F25))</f>
        <v>88302</v>
      </c>
      <c r="F25" s="13">
        <f t="shared" si="1"/>
        <v>132453</v>
      </c>
      <c r="G25" s="14">
        <f>IF(AND(INTRO!$E$37="Non endémique",INTRO!$E$41="Non endémique"),0,COUNTRY_INFO!P25)</f>
        <v>0</v>
      </c>
      <c r="H25" s="14">
        <f>IF(AND(INTRO!$E$37="Non endémique",INTRO!$E$41="Non endémique"),0,COUNTRY_INFO!R25)</f>
        <v>1</v>
      </c>
      <c r="I25" s="13">
        <f>IF(INTRO!$E$39="Non endémique",IF($G25=1,DEC!I25,0),IF($G25=1,IVM!G25,0))</f>
        <v>0</v>
      </c>
      <c r="J25" s="27" t="s">
        <v>245</v>
      </c>
      <c r="K25" s="48">
        <f>IF($J25="ALB", IF(INTRO!$E$39="Non endémique",IF($H25&lt;&gt;0,$D25*($H25-$G25),0),$D25*$H25), 0)</f>
        <v>44151</v>
      </c>
      <c r="L25" s="13">
        <f t="shared" si="2"/>
        <v>88302</v>
      </c>
      <c r="M25" s="3"/>
      <c r="N25" s="13">
        <f t="shared" si="3"/>
        <v>132453</v>
      </c>
      <c r="O25" s="48">
        <f>IF($J25="MBD", IF(INTRO!$E$39="Non endémique",IF($H25&lt;&gt;0,$D25*($H25-$G25),0),$D25*$H25),0)</f>
        <v>0</v>
      </c>
      <c r="P25" s="13">
        <f t="shared" si="4"/>
        <v>0</v>
      </c>
      <c r="Q25" s="3"/>
      <c r="R25" s="13">
        <f t="shared" si="5"/>
        <v>0</v>
      </c>
      <c r="S25" s="24"/>
      <c r="T25" s="15">
        <f t="shared" si="6"/>
        <v>0</v>
      </c>
      <c r="U25" s="15">
        <f t="shared" si="7"/>
        <v>0</v>
      </c>
      <c r="V25" s="24"/>
      <c r="W25" s="15">
        <f t="shared" si="8"/>
        <v>88302</v>
      </c>
      <c r="X25" s="15">
        <f t="shared" si="9"/>
        <v>442</v>
      </c>
      <c r="Y25" s="24"/>
      <c r="Z25" s="15">
        <f t="shared" si="10"/>
        <v>0</v>
      </c>
      <c r="AA25" s="15">
        <f t="shared" si="11"/>
        <v>0</v>
      </c>
    </row>
    <row r="26" spans="1:27" x14ac:dyDescent="0.4">
      <c r="A26" s="12" t="str">
        <f>IF(AND(INTRO!$E$37="Non endémique",INTRO!$E$41="Non endémique")," ",IF(COUNTRY_INFO!A26=0," ",COUNTRY_INFO!A26))</f>
        <v>Mali</v>
      </c>
      <c r="B26" s="12" t="str">
        <f>IF(AND(INTRO!$E$37="Non endémique",INTRO!$E$41="Non endémique")," ",IF(COUNTRY_INFO!B26=0," ",COUNTRY_INFO!B26))</f>
        <v>Koulikoro</v>
      </c>
      <c r="C26" s="12" t="str">
        <f>IF(AND(INTRO!$E$37="Non endémique",INTRO!$E$41="Non endémique")," ",IF(COUNTRY_INFO!C26=0," ",COUNTRY_INFO!C26))</f>
        <v>Koulikoro</v>
      </c>
      <c r="D26" s="13">
        <f>IF(AND(INTRO!$E$37="Non endémique",INTRO!$E$41="Non endémique"),0,IF(AND(OR(COUNTRY_INFO!$H26=0,COUNTRY_INFO!$H26=4,COUNTRY_INFO!$H26=99),OR(COUNTRY_INFO!$J26=0,COUNTRY_INFO!$J26=4)),0,COUNTRY_INFO!$E26))</f>
        <v>0</v>
      </c>
      <c r="E26" s="13">
        <f>IF(AND(INTRO!$E$37="Non endémique",INTRO!$E$41="Non endémique"),0,IF(AND(OR(COUNTRY_INFO!$H26=0,COUNTRY_INFO!$H26=4,COUNTRY_INFO!$H26=99),OR(COUNTRY_INFO!$J26=0,COUNTRY_INFO!$J26=4)),0,COUNTRY_INFO!$F26))</f>
        <v>0</v>
      </c>
      <c r="F26" s="13">
        <f t="shared" si="1"/>
        <v>0</v>
      </c>
      <c r="G26" s="14">
        <f>IF(AND(INTRO!$E$37="Non endémique",INTRO!$E$41="Non endémique"),0,COUNTRY_INFO!P26)</f>
        <v>0</v>
      </c>
      <c r="H26" s="14">
        <f>IF(AND(INTRO!$E$37="Non endémique",INTRO!$E$41="Non endémique"),0,COUNTRY_INFO!R26)</f>
        <v>0</v>
      </c>
      <c r="I26" s="13">
        <f>IF(INTRO!$E$39="Non endémique",IF($G26=1,DEC!I26,0),IF($G26=1,IVM!G26,0))</f>
        <v>0</v>
      </c>
      <c r="J26" s="27" t="s">
        <v>245</v>
      </c>
      <c r="K26" s="48">
        <f>IF($J26="ALB", IF(INTRO!$E$39="Non endémique",IF($H26&lt;&gt;0,$D26*($H26-$G26),0),$D26*$H26), 0)</f>
        <v>0</v>
      </c>
      <c r="L26" s="13">
        <f t="shared" si="2"/>
        <v>0</v>
      </c>
      <c r="M26" s="3"/>
      <c r="N26" s="13">
        <f t="shared" si="3"/>
        <v>0</v>
      </c>
      <c r="O26" s="48">
        <f>IF($J26="MBD", IF(INTRO!$E$39="Non endémique",IF($H26&lt;&gt;0,$D26*($H26-$G26),0),$D26*$H26),0)</f>
        <v>0</v>
      </c>
      <c r="P26" s="13">
        <f t="shared" si="4"/>
        <v>0</v>
      </c>
      <c r="Q26" s="3"/>
      <c r="R26" s="13">
        <f t="shared" si="5"/>
        <v>0</v>
      </c>
      <c r="S26" s="24"/>
      <c r="T26" s="15">
        <f t="shared" si="6"/>
        <v>0</v>
      </c>
      <c r="U26" s="15">
        <f t="shared" si="7"/>
        <v>0</v>
      </c>
      <c r="V26" s="24"/>
      <c r="W26" s="15">
        <f t="shared" si="8"/>
        <v>0</v>
      </c>
      <c r="X26" s="15">
        <f t="shared" si="9"/>
        <v>0</v>
      </c>
      <c r="Y26" s="24"/>
      <c r="Z26" s="15">
        <f t="shared" si="10"/>
        <v>0</v>
      </c>
      <c r="AA26" s="15">
        <f t="shared" si="11"/>
        <v>0</v>
      </c>
    </row>
    <row r="27" spans="1:27" x14ac:dyDescent="0.4">
      <c r="A27" s="12" t="str">
        <f>IF(AND(INTRO!$E$37="Non endémique",INTRO!$E$41="Non endémique")," ",IF(COUNTRY_INFO!A27=0," ",COUNTRY_INFO!A27))</f>
        <v>Mali</v>
      </c>
      <c r="B27" s="12" t="str">
        <f>IF(AND(INTRO!$E$37="Non endémique",INTRO!$E$41="Non endémique")," ",IF(COUNTRY_INFO!B27=0," ",COUNTRY_INFO!B27))</f>
        <v>Koulikoro</v>
      </c>
      <c r="C27" s="12" t="str">
        <f>IF(AND(INTRO!$E$37="Non endémique",INTRO!$E$41="Non endémique")," ",IF(COUNTRY_INFO!C27=0," ",COUNTRY_INFO!C27))</f>
        <v>Nara</v>
      </c>
      <c r="D27" s="13">
        <f>IF(AND(INTRO!$E$37="Non endémique",INTRO!$E$41="Non endémique"),0,IF(AND(OR(COUNTRY_INFO!$H27=0,COUNTRY_INFO!$H27=4,COUNTRY_INFO!$H27=99),OR(COUNTRY_INFO!$J27=0,COUNTRY_INFO!$J27=4)),0,COUNTRY_INFO!$E27))</f>
        <v>0</v>
      </c>
      <c r="E27" s="13">
        <f>IF(AND(INTRO!$E$37="Non endémique",INTRO!$E$41="Non endémique"),0,IF(AND(OR(COUNTRY_INFO!$H27=0,COUNTRY_INFO!$H27=4,COUNTRY_INFO!$H27=99),OR(COUNTRY_INFO!$J27=0,COUNTRY_INFO!$J27=4)),0,COUNTRY_INFO!$F27))</f>
        <v>0</v>
      </c>
      <c r="F27" s="13">
        <f t="shared" si="1"/>
        <v>0</v>
      </c>
      <c r="G27" s="14">
        <f>IF(AND(INTRO!$E$37="Non endémique",INTRO!$E$41="Non endémique"),0,COUNTRY_INFO!P27)</f>
        <v>0</v>
      </c>
      <c r="H27" s="14">
        <f>IF(AND(INTRO!$E$37="Non endémique",INTRO!$E$41="Non endémique"),0,COUNTRY_INFO!R27)</f>
        <v>0</v>
      </c>
      <c r="I27" s="13">
        <f>IF(INTRO!$E$39="Non endémique",IF($G27=1,DEC!I27,0),IF($G27=1,IVM!G27,0))</f>
        <v>0</v>
      </c>
      <c r="J27" s="27" t="s">
        <v>245</v>
      </c>
      <c r="K27" s="48">
        <f>IF($J27="ALB", IF(INTRO!$E$39="Non endémique",IF($H27&lt;&gt;0,$D27*($H27-$G27),0),$D27*$H27), 0)</f>
        <v>0</v>
      </c>
      <c r="L27" s="13">
        <f t="shared" si="2"/>
        <v>0</v>
      </c>
      <c r="M27" s="3"/>
      <c r="N27" s="13">
        <f t="shared" si="3"/>
        <v>0</v>
      </c>
      <c r="O27" s="48">
        <f>IF($J27="MBD", IF(INTRO!$E$39="Non endémique",IF($H27&lt;&gt;0,$D27*($H27-$G27),0),$D27*$H27),0)</f>
        <v>0</v>
      </c>
      <c r="P27" s="13">
        <f t="shared" si="4"/>
        <v>0</v>
      </c>
      <c r="Q27" s="3"/>
      <c r="R27" s="13">
        <f t="shared" si="5"/>
        <v>0</v>
      </c>
      <c r="S27" s="24"/>
      <c r="T27" s="15">
        <f t="shared" si="6"/>
        <v>0</v>
      </c>
      <c r="U27" s="15">
        <f t="shared" si="7"/>
        <v>0</v>
      </c>
      <c r="V27" s="24"/>
      <c r="W27" s="15">
        <f t="shared" si="8"/>
        <v>0</v>
      </c>
      <c r="X27" s="15">
        <f t="shared" si="9"/>
        <v>0</v>
      </c>
      <c r="Y27" s="24"/>
      <c r="Z27" s="15">
        <f t="shared" si="10"/>
        <v>0</v>
      </c>
      <c r="AA27" s="15">
        <f t="shared" si="11"/>
        <v>0</v>
      </c>
    </row>
    <row r="28" spans="1:27" x14ac:dyDescent="0.4">
      <c r="A28" s="12" t="str">
        <f>IF(AND(INTRO!$E$37="Non endémique",INTRO!$E$41="Non endémique")," ",IF(COUNTRY_INFO!A28=0," ",COUNTRY_INFO!A28))</f>
        <v>Mali</v>
      </c>
      <c r="B28" s="12" t="str">
        <f>IF(AND(INTRO!$E$37="Non endémique",INTRO!$E$41="Non endémique")," ",IF(COUNTRY_INFO!B28=0," ",COUNTRY_INFO!B28))</f>
        <v>Koulikoro</v>
      </c>
      <c r="C28" s="12" t="str">
        <f>IF(AND(INTRO!$E$37="Non endémique",INTRO!$E$41="Non endémique")," ",IF(COUNTRY_INFO!C28=0," ",COUNTRY_INFO!C28))</f>
        <v>Ouelessebougou</v>
      </c>
      <c r="D28" s="13">
        <f>IF(AND(INTRO!$E$37="Non endémique",INTRO!$E$41="Non endémique"),0,IF(AND(OR(COUNTRY_INFO!$H28=0,COUNTRY_INFO!$H28=4,COUNTRY_INFO!$H28=99),OR(COUNTRY_INFO!$J28=0,COUNTRY_INFO!$J28=4)),0,COUNTRY_INFO!$E28))</f>
        <v>0</v>
      </c>
      <c r="E28" s="13">
        <f>IF(AND(INTRO!$E$37="Non endémique",INTRO!$E$41="Non endémique"),0,IF(AND(OR(COUNTRY_INFO!$H28=0,COUNTRY_INFO!$H28=4,COUNTRY_INFO!$H28=99),OR(COUNTRY_INFO!$J28=0,COUNTRY_INFO!$J28=4)),0,COUNTRY_INFO!$F28))</f>
        <v>0</v>
      </c>
      <c r="F28" s="13">
        <f t="shared" si="1"/>
        <v>0</v>
      </c>
      <c r="G28" s="14">
        <f>IF(AND(INTRO!$E$37="Non endémique",INTRO!$E$41="Non endémique"),0,COUNTRY_INFO!P28)</f>
        <v>0</v>
      </c>
      <c r="H28" s="14">
        <f>IF(AND(INTRO!$E$37="Non endémique",INTRO!$E$41="Non endémique"),0,COUNTRY_INFO!R28)</f>
        <v>0</v>
      </c>
      <c r="I28" s="13">
        <f>IF(INTRO!$E$39="Non endémique",IF($G28=1,DEC!I28,0),IF($G28=1,IVM!G28,0))</f>
        <v>0</v>
      </c>
      <c r="J28" s="27" t="s">
        <v>245</v>
      </c>
      <c r="K28" s="48">
        <f>IF($J28="ALB", IF(INTRO!$E$39="Non endémique",IF($H28&lt;&gt;0,$D28*($H28-$G28),0),$D28*$H28), 0)</f>
        <v>0</v>
      </c>
      <c r="L28" s="13">
        <f t="shared" si="2"/>
        <v>0</v>
      </c>
      <c r="M28" s="3"/>
      <c r="N28" s="13">
        <f t="shared" si="3"/>
        <v>0</v>
      </c>
      <c r="O28" s="48">
        <f>IF($J28="MBD", IF(INTRO!$E$39="Non endémique",IF($H28&lt;&gt;0,$D28*($H28-$G28),0),$D28*$H28),0)</f>
        <v>0</v>
      </c>
      <c r="P28" s="13">
        <f t="shared" si="4"/>
        <v>0</v>
      </c>
      <c r="Q28" s="3"/>
      <c r="R28" s="13">
        <f t="shared" si="5"/>
        <v>0</v>
      </c>
      <c r="S28" s="24"/>
      <c r="T28" s="15">
        <f t="shared" si="6"/>
        <v>0</v>
      </c>
      <c r="U28" s="15">
        <f t="shared" si="7"/>
        <v>0</v>
      </c>
      <c r="V28" s="24"/>
      <c r="W28" s="15">
        <f t="shared" si="8"/>
        <v>0</v>
      </c>
      <c r="X28" s="15">
        <f t="shared" si="9"/>
        <v>0</v>
      </c>
      <c r="Y28" s="24"/>
      <c r="Z28" s="15">
        <f t="shared" si="10"/>
        <v>0</v>
      </c>
      <c r="AA28" s="15">
        <f t="shared" si="11"/>
        <v>0</v>
      </c>
    </row>
    <row r="29" spans="1:27" x14ac:dyDescent="0.4">
      <c r="A29" s="12" t="str">
        <f>IF(AND(INTRO!$E$37="Non endémique",INTRO!$E$41="Non endémique")," ",IF(COUNTRY_INFO!A29=0," ",COUNTRY_INFO!A29))</f>
        <v>Mali</v>
      </c>
      <c r="B29" s="12" t="str">
        <f>IF(AND(INTRO!$E$37="Non endémique",INTRO!$E$41="Non endémique")," ",IF(COUNTRY_INFO!B29=0," ",COUNTRY_INFO!B29))</f>
        <v>Sikasso</v>
      </c>
      <c r="C29" s="12" t="str">
        <f>IF(AND(INTRO!$E$37="Non endémique",INTRO!$E$41="Non endémique")," ",IF(COUNTRY_INFO!C29=0," ",COUNTRY_INFO!C29))</f>
        <v>Bougouni</v>
      </c>
      <c r="D29" s="13">
        <f>IF(AND(INTRO!$E$37="Non endémique",INTRO!$E$41="Non endémique"),0,IF(AND(OR(COUNTRY_INFO!$H29=0,COUNTRY_INFO!$H29=4,COUNTRY_INFO!$H29=99),OR(COUNTRY_INFO!$J29=0,COUNTRY_INFO!$J29=4)),0,COUNTRY_INFO!$E29))</f>
        <v>0</v>
      </c>
      <c r="E29" s="13">
        <f>IF(AND(INTRO!$E$37="Non endémique",INTRO!$E$41="Non endémique"),0,IF(AND(OR(COUNTRY_INFO!$H29=0,COUNTRY_INFO!$H29=4,COUNTRY_INFO!$H29=99),OR(COUNTRY_INFO!$J29=0,COUNTRY_INFO!$J29=4)),0,COUNTRY_INFO!$F29))</f>
        <v>0</v>
      </c>
      <c r="F29" s="13">
        <f t="shared" si="1"/>
        <v>0</v>
      </c>
      <c r="G29" s="14">
        <f>IF(AND(INTRO!$E$37="Non endémique",INTRO!$E$41="Non endémique"),0,COUNTRY_INFO!P29)</f>
        <v>0</v>
      </c>
      <c r="H29" s="14">
        <f>IF(AND(INTRO!$E$37="Non endémique",INTRO!$E$41="Non endémique"),0,COUNTRY_INFO!R29)</f>
        <v>0</v>
      </c>
      <c r="I29" s="13">
        <f>IF(INTRO!$E$39="Non endémique",IF($G29=1,DEC!I29,0),IF($G29=1,IVM!G29,0))</f>
        <v>0</v>
      </c>
      <c r="J29" s="27" t="s">
        <v>245</v>
      </c>
      <c r="K29" s="48">
        <f>IF($J29="ALB", IF(INTRO!$E$39="Non endémique",IF($H29&lt;&gt;0,$D29*($H29-$G29),0),$D29*$H29), 0)</f>
        <v>0</v>
      </c>
      <c r="L29" s="13">
        <f t="shared" si="2"/>
        <v>0</v>
      </c>
      <c r="M29" s="3"/>
      <c r="N29" s="13">
        <f t="shared" si="3"/>
        <v>0</v>
      </c>
      <c r="O29" s="48">
        <f>IF($J29="MBD", IF(INTRO!$E$39="Non endémique",IF($H29&lt;&gt;0,$D29*($H29-$G29),0),$D29*$H29),0)</f>
        <v>0</v>
      </c>
      <c r="P29" s="13">
        <f t="shared" si="4"/>
        <v>0</v>
      </c>
      <c r="Q29" s="3"/>
      <c r="R29" s="13">
        <f t="shared" si="5"/>
        <v>0</v>
      </c>
      <c r="S29" s="24"/>
      <c r="T29" s="15">
        <f t="shared" si="6"/>
        <v>0</v>
      </c>
      <c r="U29" s="15">
        <f t="shared" si="7"/>
        <v>0</v>
      </c>
      <c r="V29" s="24"/>
      <c r="W29" s="15">
        <f t="shared" si="8"/>
        <v>0</v>
      </c>
      <c r="X29" s="15">
        <f t="shared" si="9"/>
        <v>0</v>
      </c>
      <c r="Y29" s="24"/>
      <c r="Z29" s="15">
        <f t="shared" si="10"/>
        <v>0</v>
      </c>
      <c r="AA29" s="15">
        <f t="shared" si="11"/>
        <v>0</v>
      </c>
    </row>
    <row r="30" spans="1:27" x14ac:dyDescent="0.4">
      <c r="A30" s="12" t="str">
        <f>IF(AND(INTRO!$E$37="Non endémique",INTRO!$E$41="Non endémique")," ",IF(COUNTRY_INFO!A30=0," ",COUNTRY_INFO!A30))</f>
        <v>Mali</v>
      </c>
      <c r="B30" s="12" t="str">
        <f>IF(AND(INTRO!$E$37="Non endémique",INTRO!$E$41="Non endémique")," ",IF(COUNTRY_INFO!B30=0," ",COUNTRY_INFO!B30))</f>
        <v>Sikasso</v>
      </c>
      <c r="C30" s="12" t="str">
        <f>IF(AND(INTRO!$E$37="Non endémique",INTRO!$E$41="Non endémique")," ",IF(COUNTRY_INFO!C30=0," ",COUNTRY_INFO!C30))</f>
        <v>Kadiolo</v>
      </c>
      <c r="D30" s="13">
        <f>IF(AND(INTRO!$E$37="Non endémique",INTRO!$E$41="Non endémique"),0,IF(AND(OR(COUNTRY_INFO!$H30=0,COUNTRY_INFO!$H30=4,COUNTRY_INFO!$H30=99),OR(COUNTRY_INFO!$J30=0,COUNTRY_INFO!$J30=4)),0,COUNTRY_INFO!$E30))</f>
        <v>0</v>
      </c>
      <c r="E30" s="13">
        <f>IF(AND(INTRO!$E$37="Non endémique",INTRO!$E$41="Non endémique"),0,IF(AND(OR(COUNTRY_INFO!$H30=0,COUNTRY_INFO!$H30=4,COUNTRY_INFO!$H30=99),OR(COUNTRY_INFO!$J30=0,COUNTRY_INFO!$J30=4)),0,COUNTRY_INFO!$F30))</f>
        <v>0</v>
      </c>
      <c r="F30" s="13">
        <f t="shared" si="1"/>
        <v>0</v>
      </c>
      <c r="G30" s="14">
        <f>IF(AND(INTRO!$E$37="Non endémique",INTRO!$E$41="Non endémique"),0,COUNTRY_INFO!P30)</f>
        <v>0</v>
      </c>
      <c r="H30" s="14">
        <f>IF(AND(INTRO!$E$37="Non endémique",INTRO!$E$41="Non endémique"),0,COUNTRY_INFO!R30)</f>
        <v>0</v>
      </c>
      <c r="I30" s="13">
        <f>IF(INTRO!$E$39="Non endémique",IF($G30=1,DEC!I30,0),IF($G30=1,IVM!G30,0))</f>
        <v>0</v>
      </c>
      <c r="J30" s="27" t="s">
        <v>245</v>
      </c>
      <c r="K30" s="48">
        <f>IF($J30="ALB", IF(INTRO!$E$39="Non endémique",IF($H30&lt;&gt;0,$D30*($H30-$G30),0),$D30*$H30), 0)</f>
        <v>0</v>
      </c>
      <c r="L30" s="13">
        <f t="shared" si="2"/>
        <v>0</v>
      </c>
      <c r="M30" s="3"/>
      <c r="N30" s="13">
        <f t="shared" si="3"/>
        <v>0</v>
      </c>
      <c r="O30" s="48">
        <f>IF($J30="MBD", IF(INTRO!$E$39="Non endémique",IF($H30&lt;&gt;0,$D30*($H30-$G30),0),$D30*$H30),0)</f>
        <v>0</v>
      </c>
      <c r="P30" s="13">
        <f t="shared" si="4"/>
        <v>0</v>
      </c>
      <c r="Q30" s="3"/>
      <c r="R30" s="13">
        <f t="shared" si="5"/>
        <v>0</v>
      </c>
      <c r="S30" s="24"/>
      <c r="T30" s="15">
        <f t="shared" si="6"/>
        <v>0</v>
      </c>
      <c r="U30" s="15">
        <f t="shared" si="7"/>
        <v>0</v>
      </c>
      <c r="V30" s="24"/>
      <c r="W30" s="15">
        <f t="shared" si="8"/>
        <v>0</v>
      </c>
      <c r="X30" s="15">
        <f t="shared" si="9"/>
        <v>0</v>
      </c>
      <c r="Y30" s="24"/>
      <c r="Z30" s="15">
        <f t="shared" si="10"/>
        <v>0</v>
      </c>
      <c r="AA30" s="15">
        <f t="shared" si="11"/>
        <v>0</v>
      </c>
    </row>
    <row r="31" spans="1:27" x14ac:dyDescent="0.4">
      <c r="A31" s="12" t="str">
        <f>IF(AND(INTRO!$E$37="Non endémique",INTRO!$E$41="Non endémique")," ",IF(COUNTRY_INFO!A31=0," ",COUNTRY_INFO!A31))</f>
        <v>Mali</v>
      </c>
      <c r="B31" s="12" t="str">
        <f>IF(AND(INTRO!$E$37="Non endémique",INTRO!$E$41="Non endémique")," ",IF(COUNTRY_INFO!B31=0," ",COUNTRY_INFO!B31))</f>
        <v>Sikasso</v>
      </c>
      <c r="C31" s="12" t="str">
        <f>IF(AND(INTRO!$E$37="Non endémique",INTRO!$E$41="Non endémique")," ",IF(COUNTRY_INFO!C31=0," ",COUNTRY_INFO!C31))</f>
        <v>Kignan</v>
      </c>
      <c r="D31" s="13">
        <f>IF(AND(INTRO!$E$37="Non endémique",INTRO!$E$41="Non endémique"),0,IF(AND(OR(COUNTRY_INFO!$H31=0,COUNTRY_INFO!$H31=4,COUNTRY_INFO!$H31=99),OR(COUNTRY_INFO!$J31=0,COUNTRY_INFO!$J31=4)),0,COUNTRY_INFO!$E31))</f>
        <v>0</v>
      </c>
      <c r="E31" s="13">
        <f>IF(AND(INTRO!$E$37="Non endémique",INTRO!$E$41="Non endémique"),0,IF(AND(OR(COUNTRY_INFO!$H31=0,COUNTRY_INFO!$H31=4,COUNTRY_INFO!$H31=99),OR(COUNTRY_INFO!$J31=0,COUNTRY_INFO!$J31=4)),0,COUNTRY_INFO!$F31))</f>
        <v>0</v>
      </c>
      <c r="F31" s="13">
        <f t="shared" si="1"/>
        <v>0</v>
      </c>
      <c r="G31" s="14">
        <f>IF(AND(INTRO!$E$37="Non endémique",INTRO!$E$41="Non endémique"),0,COUNTRY_INFO!P31)</f>
        <v>0</v>
      </c>
      <c r="H31" s="14">
        <f>IF(AND(INTRO!$E$37="Non endémique",INTRO!$E$41="Non endémique"),0,COUNTRY_INFO!R31)</f>
        <v>0</v>
      </c>
      <c r="I31" s="13">
        <f>IF(INTRO!$E$39="Non endémique",IF($G31=1,DEC!I31,0),IF($G31=1,IVM!G31,0))</f>
        <v>0</v>
      </c>
      <c r="J31" s="27" t="s">
        <v>245</v>
      </c>
      <c r="K31" s="48">
        <f>IF($J31="ALB", IF(INTRO!$E$39="Non endémique",IF($H31&lt;&gt;0,$D31*($H31-$G31),0),$D31*$H31), 0)</f>
        <v>0</v>
      </c>
      <c r="L31" s="13">
        <f t="shared" si="2"/>
        <v>0</v>
      </c>
      <c r="M31" s="3"/>
      <c r="N31" s="13">
        <f t="shared" si="3"/>
        <v>0</v>
      </c>
      <c r="O31" s="48">
        <f>IF($J31="MBD", IF(INTRO!$E$39="Non endémique",IF($H31&lt;&gt;0,$D31*($H31-$G31),0),$D31*$H31),0)</f>
        <v>0</v>
      </c>
      <c r="P31" s="13">
        <f t="shared" si="4"/>
        <v>0</v>
      </c>
      <c r="Q31" s="3"/>
      <c r="R31" s="13">
        <f t="shared" si="5"/>
        <v>0</v>
      </c>
      <c r="S31" s="24"/>
      <c r="T31" s="15">
        <f t="shared" si="6"/>
        <v>0</v>
      </c>
      <c r="U31" s="15">
        <f t="shared" si="7"/>
        <v>0</v>
      </c>
      <c r="V31" s="24"/>
      <c r="W31" s="15">
        <f t="shared" si="8"/>
        <v>0</v>
      </c>
      <c r="X31" s="15">
        <f t="shared" si="9"/>
        <v>0</v>
      </c>
      <c r="Y31" s="24"/>
      <c r="Z31" s="15">
        <f t="shared" si="10"/>
        <v>0</v>
      </c>
      <c r="AA31" s="15">
        <f t="shared" si="11"/>
        <v>0</v>
      </c>
    </row>
    <row r="32" spans="1:27" x14ac:dyDescent="0.4">
      <c r="A32" s="12" t="str">
        <f>IF(AND(INTRO!$E$37="Non endémique",INTRO!$E$41="Non endémique")," ",IF(COUNTRY_INFO!A32=0," ",COUNTRY_INFO!A32))</f>
        <v>Mali</v>
      </c>
      <c r="B32" s="12" t="str">
        <f>IF(AND(INTRO!$E$37="Non endémique",INTRO!$E$41="Non endémique")," ",IF(COUNTRY_INFO!B32=0," ",COUNTRY_INFO!B32))</f>
        <v>Sikasso</v>
      </c>
      <c r="C32" s="12" t="str">
        <f>IF(AND(INTRO!$E$37="Non endémique",INTRO!$E$41="Non endémique")," ",IF(COUNTRY_INFO!C32=0," ",COUNTRY_INFO!C32))</f>
        <v>Kolondieba</v>
      </c>
      <c r="D32" s="13">
        <f>IF(AND(INTRO!$E$37="Non endémique",INTRO!$E$41="Non endémique"),0,IF(AND(OR(COUNTRY_INFO!$H32=0,COUNTRY_INFO!$H32=4,COUNTRY_INFO!$H32=99),OR(COUNTRY_INFO!$J32=0,COUNTRY_INFO!$J32=4)),0,COUNTRY_INFO!$E32))</f>
        <v>0</v>
      </c>
      <c r="E32" s="13">
        <f>IF(AND(INTRO!$E$37="Non endémique",INTRO!$E$41="Non endémique"),0,IF(AND(OR(COUNTRY_INFO!$H32=0,COUNTRY_INFO!$H32=4,COUNTRY_INFO!$H32=99),OR(COUNTRY_INFO!$J32=0,COUNTRY_INFO!$J32=4)),0,COUNTRY_INFO!$F32))</f>
        <v>0</v>
      </c>
      <c r="F32" s="13">
        <f t="shared" si="1"/>
        <v>0</v>
      </c>
      <c r="G32" s="14">
        <f>IF(AND(INTRO!$E$37="Non endémique",INTRO!$E$41="Non endémique"),0,COUNTRY_INFO!P32)</f>
        <v>0</v>
      </c>
      <c r="H32" s="14">
        <f>IF(AND(INTRO!$E$37="Non endémique",INTRO!$E$41="Non endémique"),0,COUNTRY_INFO!R32)</f>
        <v>0</v>
      </c>
      <c r="I32" s="13">
        <f>IF(INTRO!$E$39="Non endémique",IF($G32=1,DEC!I32,0),IF($G32=1,IVM!G32,0))</f>
        <v>0</v>
      </c>
      <c r="J32" s="27" t="s">
        <v>245</v>
      </c>
      <c r="K32" s="48">
        <f>IF($J32="ALB", IF(INTRO!$E$39="Non endémique",IF($H32&lt;&gt;0,$D32*($H32-$G32),0),$D32*$H32), 0)</f>
        <v>0</v>
      </c>
      <c r="L32" s="13">
        <f t="shared" si="2"/>
        <v>0</v>
      </c>
      <c r="M32" s="3"/>
      <c r="N32" s="13">
        <f t="shared" si="3"/>
        <v>0</v>
      </c>
      <c r="O32" s="48">
        <f>IF($J32="MBD", IF(INTRO!$E$39="Non endémique",IF($H32&lt;&gt;0,$D32*($H32-$G32),0),$D32*$H32),0)</f>
        <v>0</v>
      </c>
      <c r="P32" s="13">
        <f t="shared" si="4"/>
        <v>0</v>
      </c>
      <c r="Q32" s="3"/>
      <c r="R32" s="13">
        <f t="shared" si="5"/>
        <v>0</v>
      </c>
      <c r="S32" s="24"/>
      <c r="T32" s="15">
        <f t="shared" si="6"/>
        <v>0</v>
      </c>
      <c r="U32" s="15">
        <f t="shared" si="7"/>
        <v>0</v>
      </c>
      <c r="V32" s="24"/>
      <c r="W32" s="15">
        <f t="shared" si="8"/>
        <v>0</v>
      </c>
      <c r="X32" s="15">
        <f t="shared" si="9"/>
        <v>0</v>
      </c>
      <c r="Y32" s="24"/>
      <c r="Z32" s="15">
        <f t="shared" si="10"/>
        <v>0</v>
      </c>
      <c r="AA32" s="15">
        <f t="shared" si="11"/>
        <v>0</v>
      </c>
    </row>
    <row r="33" spans="1:27" x14ac:dyDescent="0.4">
      <c r="A33" s="12" t="str">
        <f>IF(AND(INTRO!$E$37="Non endémique",INTRO!$E$41="Non endémique")," ",IF(COUNTRY_INFO!A33=0," ",COUNTRY_INFO!A33))</f>
        <v>Mali</v>
      </c>
      <c r="B33" s="12" t="str">
        <f>IF(AND(INTRO!$E$37="Non endémique",INTRO!$E$41="Non endémique")," ",IF(COUNTRY_INFO!B33=0," ",COUNTRY_INFO!B33))</f>
        <v>Sikasso</v>
      </c>
      <c r="C33" s="12" t="str">
        <f>IF(AND(INTRO!$E$37="Non endémique",INTRO!$E$41="Non endémique")," ",IF(COUNTRY_INFO!C33=0," ",COUNTRY_INFO!C33))</f>
        <v>Koutiala</v>
      </c>
      <c r="D33" s="13">
        <f>IF(AND(INTRO!$E$37="Non endémique",INTRO!$E$41="Non endémique"),0,IF(AND(OR(COUNTRY_INFO!$H33=0,COUNTRY_INFO!$H33=4,COUNTRY_INFO!$H33=99),OR(COUNTRY_INFO!$J33=0,COUNTRY_INFO!$J33=4)),0,COUNTRY_INFO!$E33))</f>
        <v>109110</v>
      </c>
      <c r="E33" s="13">
        <f>IF(AND(INTRO!$E$37="Non endémique",INTRO!$E$41="Non endémique"),0,IF(AND(OR(COUNTRY_INFO!$H33=0,COUNTRY_INFO!$H33=4,COUNTRY_INFO!$H33=99),OR(COUNTRY_INFO!$J33=0,COUNTRY_INFO!$J33=4)),0,COUNTRY_INFO!$F33))</f>
        <v>218221</v>
      </c>
      <c r="F33" s="13">
        <f t="shared" si="1"/>
        <v>327331</v>
      </c>
      <c r="G33" s="14">
        <f>IF(AND(INTRO!$E$37="Non endémique",INTRO!$E$41="Non endémique"),0,COUNTRY_INFO!P33)</f>
        <v>0</v>
      </c>
      <c r="H33" s="14">
        <f>IF(AND(INTRO!$E$37="Non endémique",INTRO!$E$41="Non endémique"),0,COUNTRY_INFO!R33)</f>
        <v>1</v>
      </c>
      <c r="I33" s="13">
        <f>IF(INTRO!$E$39="Non endémique",IF($G33=1,DEC!I33,0),IF($G33=1,IVM!G33,0))</f>
        <v>0</v>
      </c>
      <c r="J33" s="27" t="s">
        <v>245</v>
      </c>
      <c r="K33" s="48">
        <f>IF($J33="ALB", IF(INTRO!$E$39="Non endémique",IF($H33&lt;&gt;0,$D33*($H33-$G33),0),$D33*$H33), 0)</f>
        <v>109110</v>
      </c>
      <c r="L33" s="13">
        <f t="shared" si="2"/>
        <v>218221</v>
      </c>
      <c r="M33" s="3"/>
      <c r="N33" s="13">
        <f t="shared" si="3"/>
        <v>327331</v>
      </c>
      <c r="O33" s="48">
        <f>IF($J33="MBD", IF(INTRO!$E$39="Non endémique",IF($H33&lt;&gt;0,$D33*($H33-$G33),0),$D33*$H33),0)</f>
        <v>0</v>
      </c>
      <c r="P33" s="13">
        <f t="shared" si="4"/>
        <v>0</v>
      </c>
      <c r="Q33" s="3"/>
      <c r="R33" s="13">
        <f t="shared" si="5"/>
        <v>0</v>
      </c>
      <c r="S33" s="24"/>
      <c r="T33" s="15">
        <f t="shared" si="6"/>
        <v>0</v>
      </c>
      <c r="U33" s="15">
        <f t="shared" si="7"/>
        <v>0</v>
      </c>
      <c r="V33" s="24"/>
      <c r="W33" s="15">
        <f t="shared" si="8"/>
        <v>218221</v>
      </c>
      <c r="X33" s="15">
        <f t="shared" si="9"/>
        <v>1092</v>
      </c>
      <c r="Y33" s="24"/>
      <c r="Z33" s="15">
        <f t="shared" si="10"/>
        <v>0</v>
      </c>
      <c r="AA33" s="15">
        <f t="shared" si="11"/>
        <v>0</v>
      </c>
    </row>
    <row r="34" spans="1:27" x14ac:dyDescent="0.4">
      <c r="A34" s="12" t="str">
        <f>IF(AND(INTRO!$E$37="Non endémique",INTRO!$E$41="Non endémique")," ",IF(COUNTRY_INFO!A34=0," ",COUNTRY_INFO!A34))</f>
        <v>Mali</v>
      </c>
      <c r="B34" s="12" t="str">
        <f>IF(AND(INTRO!$E$37="Non endémique",INTRO!$E$41="Non endémique")," ",IF(COUNTRY_INFO!B34=0," ",COUNTRY_INFO!B34))</f>
        <v>Sikasso</v>
      </c>
      <c r="C34" s="12" t="str">
        <f>IF(AND(INTRO!$E$37="Non endémique",INTRO!$E$41="Non endémique")," ",IF(COUNTRY_INFO!C34=0," ",COUNTRY_INFO!C34))</f>
        <v>Niena</v>
      </c>
      <c r="D34" s="13">
        <f>IF(AND(INTRO!$E$37="Non endémique",INTRO!$E$41="Non endémique"),0,IF(AND(OR(COUNTRY_INFO!$H34=0,COUNTRY_INFO!$H34=4,COUNTRY_INFO!$H34=99),OR(COUNTRY_INFO!$J34=0,COUNTRY_INFO!$J34=4)),0,COUNTRY_INFO!$E34))</f>
        <v>0</v>
      </c>
      <c r="E34" s="13">
        <f>IF(AND(INTRO!$E$37="Non endémique",INTRO!$E$41="Non endémique"),0,IF(AND(OR(COUNTRY_INFO!$H34=0,COUNTRY_INFO!$H34=4,COUNTRY_INFO!$H34=99),OR(COUNTRY_INFO!$J34=0,COUNTRY_INFO!$J34=4)),0,COUNTRY_INFO!$F34))</f>
        <v>0</v>
      </c>
      <c r="F34" s="13">
        <f t="shared" si="1"/>
        <v>0</v>
      </c>
      <c r="G34" s="14">
        <f>IF(AND(INTRO!$E$37="Non endémique",INTRO!$E$41="Non endémique"),0,COUNTRY_INFO!P34)</f>
        <v>0</v>
      </c>
      <c r="H34" s="14">
        <f>IF(AND(INTRO!$E$37="Non endémique",INTRO!$E$41="Non endémique"),0,COUNTRY_INFO!R34)</f>
        <v>1</v>
      </c>
      <c r="I34" s="13">
        <f>IF(INTRO!$E$39="Non endémique",IF($G34=1,DEC!I34,0),IF($G34=1,IVM!G34,0))</f>
        <v>0</v>
      </c>
      <c r="J34" s="27" t="s">
        <v>245</v>
      </c>
      <c r="K34" s="48">
        <f>IF($J34="ALB", IF(INTRO!$E$39="Non endémique",IF($H34&lt;&gt;0,$D34*($H34-$G34),0),$D34*$H34), 0)</f>
        <v>0</v>
      </c>
      <c r="L34" s="13">
        <f t="shared" si="2"/>
        <v>0</v>
      </c>
      <c r="M34" s="3"/>
      <c r="N34" s="13">
        <f t="shared" si="3"/>
        <v>0</v>
      </c>
      <c r="O34" s="48">
        <f>IF($J34="MBD", IF(INTRO!$E$39="Non endémique",IF($H34&lt;&gt;0,$D34*($H34-$G34),0),$D34*$H34),0)</f>
        <v>0</v>
      </c>
      <c r="P34" s="13">
        <f t="shared" si="4"/>
        <v>0</v>
      </c>
      <c r="Q34" s="3"/>
      <c r="R34" s="13">
        <f t="shared" si="5"/>
        <v>0</v>
      </c>
      <c r="S34" s="24"/>
      <c r="T34" s="15">
        <f t="shared" si="6"/>
        <v>0</v>
      </c>
      <c r="U34" s="15">
        <f t="shared" si="7"/>
        <v>0</v>
      </c>
      <c r="V34" s="24"/>
      <c r="W34" s="15">
        <f t="shared" si="8"/>
        <v>0</v>
      </c>
      <c r="X34" s="15">
        <f t="shared" si="9"/>
        <v>0</v>
      </c>
      <c r="Y34" s="24"/>
      <c r="Z34" s="15">
        <f t="shared" si="10"/>
        <v>0</v>
      </c>
      <c r="AA34" s="15">
        <f t="shared" si="11"/>
        <v>0</v>
      </c>
    </row>
    <row r="35" spans="1:27" x14ac:dyDescent="0.4">
      <c r="A35" s="12" t="str">
        <f>IF(AND(INTRO!$E$37="Non endémique",INTRO!$E$41="Non endémique")," ",IF(COUNTRY_INFO!A35=0," ",COUNTRY_INFO!A35))</f>
        <v>Mali</v>
      </c>
      <c r="B35" s="12" t="str">
        <f>IF(AND(INTRO!$E$37="Non endémique",INTRO!$E$41="Non endémique")," ",IF(COUNTRY_INFO!B35=0," ",COUNTRY_INFO!B35))</f>
        <v>Sikasso</v>
      </c>
      <c r="C35" s="12" t="str">
        <f>IF(AND(INTRO!$E$37="Non endémique",INTRO!$E$41="Non endémique")," ",IF(COUNTRY_INFO!C35=0," ",COUNTRY_INFO!C35))</f>
        <v>Sélingué</v>
      </c>
      <c r="D35" s="13">
        <f>IF(AND(INTRO!$E$37="Non endémique",INTRO!$E$41="Non endémique"),0,IF(AND(OR(COUNTRY_INFO!$H35=0,COUNTRY_INFO!$H35=4,COUNTRY_INFO!$H35=99),OR(COUNTRY_INFO!$J35=0,COUNTRY_INFO!$J35=4)),0,COUNTRY_INFO!$E35))</f>
        <v>0</v>
      </c>
      <c r="E35" s="13">
        <f>IF(AND(INTRO!$E$37="Non endémique",INTRO!$E$41="Non endémique"),0,IF(AND(OR(COUNTRY_INFO!$H35=0,COUNTRY_INFO!$H35=4,COUNTRY_INFO!$H35=99),OR(COUNTRY_INFO!$J35=0,COUNTRY_INFO!$J35=4)),0,COUNTRY_INFO!$F35))</f>
        <v>0</v>
      </c>
      <c r="F35" s="13">
        <f t="shared" si="1"/>
        <v>0</v>
      </c>
      <c r="G35" s="14">
        <f>IF(AND(INTRO!$E$37="Non endémique",INTRO!$E$41="Non endémique"),0,COUNTRY_INFO!P35)</f>
        <v>0</v>
      </c>
      <c r="H35" s="14">
        <f>IF(AND(INTRO!$E$37="Non endémique",INTRO!$E$41="Non endémique"),0,COUNTRY_INFO!R35)</f>
        <v>0</v>
      </c>
      <c r="I35" s="13">
        <f>IF(INTRO!$E$39="Non endémique",IF($G35=1,DEC!I35,0),IF($G35=1,IVM!G35,0))</f>
        <v>0</v>
      </c>
      <c r="J35" s="27" t="s">
        <v>245</v>
      </c>
      <c r="K35" s="48">
        <f>IF($J35="ALB", IF(INTRO!$E$39="Non endémique",IF($H35&lt;&gt;0,$D35*($H35-$G35),0),$D35*$H35), 0)</f>
        <v>0</v>
      </c>
      <c r="L35" s="13">
        <f t="shared" si="2"/>
        <v>0</v>
      </c>
      <c r="M35" s="3"/>
      <c r="N35" s="13">
        <f t="shared" si="3"/>
        <v>0</v>
      </c>
      <c r="O35" s="48">
        <f>IF($J35="MBD", IF(INTRO!$E$39="Non endémique",IF($H35&lt;&gt;0,$D35*($H35-$G35),0),$D35*$H35),0)</f>
        <v>0</v>
      </c>
      <c r="P35" s="13">
        <f t="shared" si="4"/>
        <v>0</v>
      </c>
      <c r="Q35" s="3"/>
      <c r="R35" s="13">
        <f t="shared" si="5"/>
        <v>0</v>
      </c>
      <c r="S35" s="24"/>
      <c r="T35" s="15">
        <f t="shared" si="6"/>
        <v>0</v>
      </c>
      <c r="U35" s="15">
        <f t="shared" si="7"/>
        <v>0</v>
      </c>
      <c r="V35" s="24"/>
      <c r="W35" s="15">
        <f t="shared" si="8"/>
        <v>0</v>
      </c>
      <c r="X35" s="15">
        <f t="shared" si="9"/>
        <v>0</v>
      </c>
      <c r="Y35" s="24"/>
      <c r="Z35" s="15">
        <f t="shared" si="10"/>
        <v>0</v>
      </c>
      <c r="AA35" s="15">
        <f t="shared" si="11"/>
        <v>0</v>
      </c>
    </row>
    <row r="36" spans="1:27" x14ac:dyDescent="0.4">
      <c r="A36" s="12" t="str">
        <f>IF(AND(INTRO!$E$37="Non endémique",INTRO!$E$41="Non endémique")," ",IF(COUNTRY_INFO!A36=0," ",COUNTRY_INFO!A36))</f>
        <v>Mali</v>
      </c>
      <c r="B36" s="12" t="str">
        <f>IF(AND(INTRO!$E$37="Non endémique",INTRO!$E$41="Non endémique")," ",IF(COUNTRY_INFO!B36=0," ",COUNTRY_INFO!B36))</f>
        <v>Sikasso</v>
      </c>
      <c r="C36" s="12" t="str">
        <f>IF(AND(INTRO!$E$37="Non endémique",INTRO!$E$41="Non endémique")," ",IF(COUNTRY_INFO!C36=0," ",COUNTRY_INFO!C36))</f>
        <v>Sikasso</v>
      </c>
      <c r="D36" s="13">
        <f>IF(AND(INTRO!$E$37="Non endémique",INTRO!$E$41="Non endémique"),0,IF(AND(OR(COUNTRY_INFO!$H36=0,COUNTRY_INFO!$H36=4,COUNTRY_INFO!$H36=99),OR(COUNTRY_INFO!$J36=0,COUNTRY_INFO!$J36=4)),0,COUNTRY_INFO!$E36))</f>
        <v>0</v>
      </c>
      <c r="E36" s="13">
        <f>IF(AND(INTRO!$E$37="Non endémique",INTRO!$E$41="Non endémique"),0,IF(AND(OR(COUNTRY_INFO!$H36=0,COUNTRY_INFO!$H36=4,COUNTRY_INFO!$H36=99),OR(COUNTRY_INFO!$J36=0,COUNTRY_INFO!$J36=4)),0,COUNTRY_INFO!$F36))</f>
        <v>0</v>
      </c>
      <c r="F36" s="13">
        <f t="shared" si="1"/>
        <v>0</v>
      </c>
      <c r="G36" s="14">
        <f>IF(AND(INTRO!$E$37="Non endémique",INTRO!$E$41="Non endémique"),0,COUNTRY_INFO!P36)</f>
        <v>0</v>
      </c>
      <c r="H36" s="14">
        <f>IF(AND(INTRO!$E$37="Non endémique",INTRO!$E$41="Non endémique"),0,COUNTRY_INFO!R36)</f>
        <v>0</v>
      </c>
      <c r="I36" s="13">
        <f>IF(INTRO!$E$39="Non endémique",IF($G36=1,DEC!I36,0),IF($G36=1,IVM!G36,0))</f>
        <v>0</v>
      </c>
      <c r="J36" s="27" t="s">
        <v>245</v>
      </c>
      <c r="K36" s="48">
        <f>IF($J36="ALB", IF(INTRO!$E$39="Non endémique",IF($H36&lt;&gt;0,$D36*($H36-$G36),0),$D36*$H36), 0)</f>
        <v>0</v>
      </c>
      <c r="L36" s="13">
        <f t="shared" si="2"/>
        <v>0</v>
      </c>
      <c r="M36" s="3"/>
      <c r="N36" s="13">
        <f t="shared" si="3"/>
        <v>0</v>
      </c>
      <c r="O36" s="48">
        <f>IF($J36="MBD", IF(INTRO!$E$39="Non endémique",IF($H36&lt;&gt;0,$D36*($H36-$G36),0),$D36*$H36),0)</f>
        <v>0</v>
      </c>
      <c r="P36" s="13">
        <f t="shared" si="4"/>
        <v>0</v>
      </c>
      <c r="Q36" s="3"/>
      <c r="R36" s="13">
        <f t="shared" si="5"/>
        <v>0</v>
      </c>
      <c r="S36" s="24"/>
      <c r="T36" s="15">
        <f t="shared" si="6"/>
        <v>0</v>
      </c>
      <c r="U36" s="15">
        <f t="shared" si="7"/>
        <v>0</v>
      </c>
      <c r="V36" s="24"/>
      <c r="W36" s="15">
        <f t="shared" si="8"/>
        <v>0</v>
      </c>
      <c r="X36" s="15">
        <f t="shared" si="9"/>
        <v>0</v>
      </c>
      <c r="Y36" s="24"/>
      <c r="Z36" s="15">
        <f t="shared" si="10"/>
        <v>0</v>
      </c>
      <c r="AA36" s="15">
        <f t="shared" si="11"/>
        <v>0</v>
      </c>
    </row>
    <row r="37" spans="1:27" x14ac:dyDescent="0.4">
      <c r="A37" s="12" t="str">
        <f>IF(AND(INTRO!$E$37="Non endémique",INTRO!$E$41="Non endémique")," ",IF(COUNTRY_INFO!A37=0," ",COUNTRY_INFO!A37))</f>
        <v>Mali</v>
      </c>
      <c r="B37" s="12" t="str">
        <f>IF(AND(INTRO!$E$37="Non endémique",INTRO!$E$41="Non endémique")," ",IF(COUNTRY_INFO!B37=0," ",COUNTRY_INFO!B37))</f>
        <v>Sikasso</v>
      </c>
      <c r="C37" s="12" t="str">
        <f>IF(AND(INTRO!$E$37="Non endémique",INTRO!$E$41="Non endémique")," ",IF(COUNTRY_INFO!C37=0," ",COUNTRY_INFO!C37))</f>
        <v>Yanfolila</v>
      </c>
      <c r="D37" s="13">
        <f>IF(AND(INTRO!$E$37="Non endémique",INTRO!$E$41="Non endémique"),0,IF(AND(OR(COUNTRY_INFO!$H37=0,COUNTRY_INFO!$H37=4,COUNTRY_INFO!$H37=99),OR(COUNTRY_INFO!$J37=0,COUNTRY_INFO!$J37=4)),0,COUNTRY_INFO!$E37))</f>
        <v>0</v>
      </c>
      <c r="E37" s="13">
        <f>IF(AND(INTRO!$E$37="Non endémique",INTRO!$E$41="Non endémique"),0,IF(AND(OR(COUNTRY_INFO!$H37=0,COUNTRY_INFO!$H37=4,COUNTRY_INFO!$H37=99),OR(COUNTRY_INFO!$J37=0,COUNTRY_INFO!$J37=4)),0,COUNTRY_INFO!$F37))</f>
        <v>0</v>
      </c>
      <c r="F37" s="13">
        <f t="shared" si="1"/>
        <v>0</v>
      </c>
      <c r="G37" s="14">
        <f>IF(AND(INTRO!$E$37="Non endémique",INTRO!$E$41="Non endémique"),0,COUNTRY_INFO!P37)</f>
        <v>0</v>
      </c>
      <c r="H37" s="14">
        <f>IF(AND(INTRO!$E$37="Non endémique",INTRO!$E$41="Non endémique"),0,COUNTRY_INFO!R37)</f>
        <v>0</v>
      </c>
      <c r="I37" s="13">
        <f>IF(INTRO!$E$39="Non endémique",IF($G37=1,DEC!I37,0),IF($G37=1,IVM!G37,0))</f>
        <v>0</v>
      </c>
      <c r="J37" s="27" t="s">
        <v>245</v>
      </c>
      <c r="K37" s="48">
        <f>IF($J37="ALB", IF(INTRO!$E$39="Non endémique",IF($H37&lt;&gt;0,$D37*($H37-$G37),0),$D37*$H37), 0)</f>
        <v>0</v>
      </c>
      <c r="L37" s="13">
        <f t="shared" si="2"/>
        <v>0</v>
      </c>
      <c r="M37" s="3"/>
      <c r="N37" s="13">
        <f t="shared" si="3"/>
        <v>0</v>
      </c>
      <c r="O37" s="48">
        <f>IF($J37="MBD", IF(INTRO!$E$39="Non endémique",IF($H37&lt;&gt;0,$D37*($H37-$G37),0),$D37*$H37),0)</f>
        <v>0</v>
      </c>
      <c r="P37" s="13">
        <f t="shared" si="4"/>
        <v>0</v>
      </c>
      <c r="Q37" s="3"/>
      <c r="R37" s="13">
        <f t="shared" si="5"/>
        <v>0</v>
      </c>
      <c r="S37" s="24"/>
      <c r="T37" s="15">
        <f t="shared" si="6"/>
        <v>0</v>
      </c>
      <c r="U37" s="15">
        <f t="shared" si="7"/>
        <v>0</v>
      </c>
      <c r="V37" s="24"/>
      <c r="W37" s="15">
        <f t="shared" si="8"/>
        <v>0</v>
      </c>
      <c r="X37" s="15">
        <f t="shared" si="9"/>
        <v>0</v>
      </c>
      <c r="Y37" s="24"/>
      <c r="Z37" s="15">
        <f t="shared" si="10"/>
        <v>0</v>
      </c>
      <c r="AA37" s="15">
        <f t="shared" si="11"/>
        <v>0</v>
      </c>
    </row>
    <row r="38" spans="1:27" x14ac:dyDescent="0.4">
      <c r="A38" s="12" t="str">
        <f>IF(AND(INTRO!$E$37="Non endémique",INTRO!$E$41="Non endémique")," ",IF(COUNTRY_INFO!A38=0," ",COUNTRY_INFO!A38))</f>
        <v>Mali</v>
      </c>
      <c r="B38" s="12" t="str">
        <f>IF(AND(INTRO!$E$37="Non endémique",INTRO!$E$41="Non endémique")," ",IF(COUNTRY_INFO!B38=0," ",COUNTRY_INFO!B38))</f>
        <v>Sikasso</v>
      </c>
      <c r="C38" s="12" t="str">
        <f>IF(AND(INTRO!$E$37="Non endémique",INTRO!$E$41="Non endémique")," ",IF(COUNTRY_INFO!C38=0," ",COUNTRY_INFO!C38))</f>
        <v>Yorosso</v>
      </c>
      <c r="D38" s="13">
        <f>IF(AND(INTRO!$E$37="Non endémique",INTRO!$E$41="Non endémique"),0,IF(AND(OR(COUNTRY_INFO!$H38=0,COUNTRY_INFO!$H38=4,COUNTRY_INFO!$H38=99),OR(COUNTRY_INFO!$J38=0,COUNTRY_INFO!$J38=4)),0,COUNTRY_INFO!$E38))</f>
        <v>40117</v>
      </c>
      <c r="E38" s="13">
        <f>IF(AND(INTRO!$E$37="Non endémique",INTRO!$E$41="Non endémique"),0,IF(AND(OR(COUNTRY_INFO!$H38=0,COUNTRY_INFO!$H38=4,COUNTRY_INFO!$H38=99),OR(COUNTRY_INFO!$J38=0,COUNTRY_INFO!$J38=4)),0,COUNTRY_INFO!$F38))</f>
        <v>80235</v>
      </c>
      <c r="F38" s="13">
        <f t="shared" si="1"/>
        <v>120352</v>
      </c>
      <c r="G38" s="14">
        <f>IF(AND(INTRO!$E$37="Non endémique",INTRO!$E$41="Non endémique"),0,COUNTRY_INFO!P38)</f>
        <v>0</v>
      </c>
      <c r="H38" s="14">
        <f>IF(AND(INTRO!$E$37="Non endémique",INTRO!$E$41="Non endémique"),0,COUNTRY_INFO!R38)</f>
        <v>1</v>
      </c>
      <c r="I38" s="13">
        <f>IF(INTRO!$E$39="Non endémique",IF($G38=1,DEC!I38,0),IF($G38=1,IVM!G38,0))</f>
        <v>0</v>
      </c>
      <c r="J38" s="27" t="s">
        <v>245</v>
      </c>
      <c r="K38" s="48">
        <f>IF($J38="ALB", IF(INTRO!$E$39="Non endémique",IF($H38&lt;&gt;0,$D38*($H38-$G38),0),$D38*$H38), 0)</f>
        <v>40117</v>
      </c>
      <c r="L38" s="13">
        <f t="shared" si="2"/>
        <v>80235</v>
      </c>
      <c r="M38" s="3"/>
      <c r="N38" s="13">
        <f t="shared" si="3"/>
        <v>120352</v>
      </c>
      <c r="O38" s="48">
        <f>IF($J38="MBD", IF(INTRO!$E$39="Non endémique",IF($H38&lt;&gt;0,$D38*($H38-$G38),0),$D38*$H38),0)</f>
        <v>0</v>
      </c>
      <c r="P38" s="13">
        <f t="shared" si="4"/>
        <v>0</v>
      </c>
      <c r="Q38" s="3"/>
      <c r="R38" s="13">
        <f t="shared" si="5"/>
        <v>0</v>
      </c>
      <c r="S38" s="24"/>
      <c r="T38" s="15">
        <f t="shared" si="6"/>
        <v>0</v>
      </c>
      <c r="U38" s="15">
        <f t="shared" si="7"/>
        <v>0</v>
      </c>
      <c r="V38" s="24"/>
      <c r="W38" s="15">
        <f t="shared" si="8"/>
        <v>80235</v>
      </c>
      <c r="X38" s="15">
        <f t="shared" si="9"/>
        <v>402</v>
      </c>
      <c r="Y38" s="24"/>
      <c r="Z38" s="15">
        <f t="shared" si="10"/>
        <v>0</v>
      </c>
      <c r="AA38" s="15">
        <f t="shared" si="11"/>
        <v>0</v>
      </c>
    </row>
    <row r="39" spans="1:27" x14ac:dyDescent="0.4">
      <c r="A39" s="12" t="str">
        <f>IF(AND(INTRO!$E$37="Non endémique",INTRO!$E$41="Non endémique")," ",IF(COUNTRY_INFO!A39=0," ",COUNTRY_INFO!A39))</f>
        <v>Mali</v>
      </c>
      <c r="B39" s="12" t="str">
        <f>IF(AND(INTRO!$E$37="Non endémique",INTRO!$E$41="Non endémique")," ",IF(COUNTRY_INFO!B39=0," ",COUNTRY_INFO!B39))</f>
        <v>Segou</v>
      </c>
      <c r="C39" s="12" t="str">
        <f>IF(AND(INTRO!$E$37="Non endémique",INTRO!$E$41="Non endémique")," ",IF(COUNTRY_INFO!C39=0," ",COUNTRY_INFO!C39))</f>
        <v>Barouéli</v>
      </c>
      <c r="D39" s="13">
        <f>IF(AND(INTRO!$E$37="Non endémique",INTRO!$E$41="Non endémique"),0,IF(AND(OR(COUNTRY_INFO!$H39=0,COUNTRY_INFO!$H39=4,COUNTRY_INFO!$H39=99),OR(COUNTRY_INFO!$J39=0,COUNTRY_INFO!$J39=4)),0,COUNTRY_INFO!$E39))</f>
        <v>0</v>
      </c>
      <c r="E39" s="13">
        <f>IF(AND(INTRO!$E$37="Non endémique",INTRO!$E$41="Non endémique"),0,IF(AND(OR(COUNTRY_INFO!$H39=0,COUNTRY_INFO!$H39=4,COUNTRY_INFO!$H39=99),OR(COUNTRY_INFO!$J39=0,COUNTRY_INFO!$J39=4)),0,COUNTRY_INFO!$F39))</f>
        <v>0</v>
      </c>
      <c r="F39" s="13">
        <f t="shared" si="1"/>
        <v>0</v>
      </c>
      <c r="G39" s="14">
        <f>IF(AND(INTRO!$E$37="Non endémique",INTRO!$E$41="Non endémique"),0,COUNTRY_INFO!P39)</f>
        <v>0</v>
      </c>
      <c r="H39" s="14">
        <f>IF(AND(INTRO!$E$37="Non endémique",INTRO!$E$41="Non endémique"),0,COUNTRY_INFO!R39)</f>
        <v>0</v>
      </c>
      <c r="I39" s="13">
        <f>IF(INTRO!$E$39="Non endémique",IF($G39=1,DEC!I39,0),IF($G39=1,IVM!G39,0))</f>
        <v>0</v>
      </c>
      <c r="J39" s="27" t="s">
        <v>245</v>
      </c>
      <c r="K39" s="48">
        <f>IF($J39="ALB", IF(INTRO!$E$39="Non endémique",IF($H39&lt;&gt;0,$D39*($H39-$G39),0),$D39*$H39), 0)</f>
        <v>0</v>
      </c>
      <c r="L39" s="13">
        <f t="shared" si="2"/>
        <v>0</v>
      </c>
      <c r="M39" s="3"/>
      <c r="N39" s="13">
        <f t="shared" si="3"/>
        <v>0</v>
      </c>
      <c r="O39" s="48">
        <f>IF($J39="MBD", IF(INTRO!$E$39="Non endémique",IF($H39&lt;&gt;0,$D39*($H39-$G39),0),$D39*$H39),0)</f>
        <v>0</v>
      </c>
      <c r="P39" s="13">
        <f t="shared" si="4"/>
        <v>0</v>
      </c>
      <c r="Q39" s="3"/>
      <c r="R39" s="13">
        <f t="shared" si="5"/>
        <v>0</v>
      </c>
      <c r="S39" s="24"/>
      <c r="T39" s="15">
        <f t="shared" si="6"/>
        <v>0</v>
      </c>
      <c r="U39" s="15">
        <f t="shared" si="7"/>
        <v>0</v>
      </c>
      <c r="V39" s="24"/>
      <c r="W39" s="15">
        <f t="shared" si="8"/>
        <v>0</v>
      </c>
      <c r="X39" s="15">
        <f t="shared" si="9"/>
        <v>0</v>
      </c>
      <c r="Y39" s="24"/>
      <c r="Z39" s="15">
        <f t="shared" si="10"/>
        <v>0</v>
      </c>
      <c r="AA39" s="15">
        <f t="shared" si="11"/>
        <v>0</v>
      </c>
    </row>
    <row r="40" spans="1:27" x14ac:dyDescent="0.4">
      <c r="A40" s="12" t="str">
        <f>IF(AND(INTRO!$E$37="Non endémique",INTRO!$E$41="Non endémique")," ",IF(COUNTRY_INFO!A40=0," ",COUNTRY_INFO!A40))</f>
        <v>Mali</v>
      </c>
      <c r="B40" s="12" t="str">
        <f>IF(AND(INTRO!$E$37="Non endémique",INTRO!$E$41="Non endémique")," ",IF(COUNTRY_INFO!B40=0," ",COUNTRY_INFO!B40))</f>
        <v>Segou</v>
      </c>
      <c r="C40" s="12" t="str">
        <f>IF(AND(INTRO!$E$37="Non endémique",INTRO!$E$41="Non endémique")," ",IF(COUNTRY_INFO!C40=0," ",COUNTRY_INFO!C40))</f>
        <v>Bla</v>
      </c>
      <c r="D40" s="13">
        <f>IF(AND(INTRO!$E$37="Non endémique",INTRO!$E$41="Non endémique"),0,IF(AND(OR(COUNTRY_INFO!$H40=0,COUNTRY_INFO!$H40=4,COUNTRY_INFO!$H40=99),OR(COUNTRY_INFO!$J40=0,COUNTRY_INFO!$J40=4)),0,COUNTRY_INFO!$E40))</f>
        <v>53500</v>
      </c>
      <c r="E40" s="13">
        <f>IF(AND(INTRO!$E$37="Non endémique",INTRO!$E$41="Non endémique"),0,IF(AND(OR(COUNTRY_INFO!$H40=0,COUNTRY_INFO!$H40=4,COUNTRY_INFO!$H40=99),OR(COUNTRY_INFO!$J40=0,COUNTRY_INFO!$J40=4)),0,COUNTRY_INFO!$F40))</f>
        <v>107001</v>
      </c>
      <c r="F40" s="13">
        <f t="shared" si="1"/>
        <v>160501</v>
      </c>
      <c r="G40" s="14">
        <f>IF(AND(INTRO!$E$37="Non endémique",INTRO!$E$41="Non endémique"),0,COUNTRY_INFO!P40)</f>
        <v>0</v>
      </c>
      <c r="H40" s="14">
        <f>IF(AND(INTRO!$E$37="Non endémique",INTRO!$E$41="Non endémique"),0,COUNTRY_INFO!R40)</f>
        <v>1</v>
      </c>
      <c r="I40" s="13">
        <f>IF(INTRO!$E$39="Non endémique",IF($G40=1,DEC!I40,0),IF($G40=1,IVM!G40,0))</f>
        <v>0</v>
      </c>
      <c r="J40" s="27" t="s">
        <v>245</v>
      </c>
      <c r="K40" s="48">
        <f>IF($J40="ALB", IF(INTRO!$E$39="Non endémique",IF($H40&lt;&gt;0,$D40*($H40-$G40),0),$D40*$H40), 0)</f>
        <v>53500</v>
      </c>
      <c r="L40" s="13">
        <f t="shared" si="2"/>
        <v>107001</v>
      </c>
      <c r="M40" s="3"/>
      <c r="N40" s="13">
        <f t="shared" si="3"/>
        <v>160501</v>
      </c>
      <c r="O40" s="48">
        <f>IF($J40="MBD", IF(INTRO!$E$39="Non endémique",IF($H40&lt;&gt;0,$D40*($H40-$G40),0),$D40*$H40),0)</f>
        <v>0</v>
      </c>
      <c r="P40" s="13">
        <f t="shared" si="4"/>
        <v>0</v>
      </c>
      <c r="Q40" s="3"/>
      <c r="R40" s="13">
        <f t="shared" si="5"/>
        <v>0</v>
      </c>
      <c r="S40" s="24"/>
      <c r="T40" s="15">
        <f t="shared" si="6"/>
        <v>0</v>
      </c>
      <c r="U40" s="15">
        <f t="shared" si="7"/>
        <v>0</v>
      </c>
      <c r="V40" s="24"/>
      <c r="W40" s="15">
        <f t="shared" si="8"/>
        <v>107001</v>
      </c>
      <c r="X40" s="15">
        <f t="shared" si="9"/>
        <v>536</v>
      </c>
      <c r="Y40" s="24"/>
      <c r="Z40" s="15">
        <f t="shared" si="10"/>
        <v>0</v>
      </c>
      <c r="AA40" s="15">
        <f t="shared" si="11"/>
        <v>0</v>
      </c>
    </row>
    <row r="41" spans="1:27" x14ac:dyDescent="0.4">
      <c r="A41" s="12" t="str">
        <f>IF(AND(INTRO!$E$37="Non endémique",INTRO!$E$41="Non endémique")," ",IF(COUNTRY_INFO!A41=0," ",COUNTRY_INFO!A41))</f>
        <v>Mali</v>
      </c>
      <c r="B41" s="12" t="str">
        <f>IF(AND(INTRO!$E$37="Non endémique",INTRO!$E$41="Non endémique")," ",IF(COUNTRY_INFO!B41=0," ",COUNTRY_INFO!B41))</f>
        <v>Segou</v>
      </c>
      <c r="C41" s="12" t="str">
        <f>IF(AND(INTRO!$E$37="Non endémique",INTRO!$E$41="Non endémique")," ",IF(COUNTRY_INFO!C41=0," ",COUNTRY_INFO!C41))</f>
        <v>Macina</v>
      </c>
      <c r="D41" s="13">
        <f>IF(AND(INTRO!$E$37="Non endémique",INTRO!$E$41="Non endémique"),0,IF(AND(OR(COUNTRY_INFO!$H41=0,COUNTRY_INFO!$H41=4,COUNTRY_INFO!$H41=99),OR(COUNTRY_INFO!$J41=0,COUNTRY_INFO!$J41=4)),0,COUNTRY_INFO!$E41))</f>
        <v>0</v>
      </c>
      <c r="E41" s="13">
        <f>IF(AND(INTRO!$E$37="Non endémique",INTRO!$E$41="Non endémique"),0,IF(AND(OR(COUNTRY_INFO!$H41=0,COUNTRY_INFO!$H41=4,COUNTRY_INFO!$H41=99),OR(COUNTRY_INFO!$J41=0,COUNTRY_INFO!$J41=4)),0,COUNTRY_INFO!$F41))</f>
        <v>0</v>
      </c>
      <c r="F41" s="13">
        <f t="shared" ref="F41:F72" si="12">SUM(D41:E41)</f>
        <v>0</v>
      </c>
      <c r="G41" s="14">
        <f>IF(AND(INTRO!$E$37="Non endémique",INTRO!$E$41="Non endémique"),0,COUNTRY_INFO!P41)</f>
        <v>0</v>
      </c>
      <c r="H41" s="14">
        <f>IF(AND(INTRO!$E$37="Non endémique",INTRO!$E$41="Non endémique"),0,COUNTRY_INFO!R41)</f>
        <v>1</v>
      </c>
      <c r="I41" s="13">
        <f>IF(INTRO!$E$39="Non endémique",IF($G41=1,DEC!I41,0),IF($G41=1,IVM!G41,0))</f>
        <v>0</v>
      </c>
      <c r="J41" s="27" t="s">
        <v>245</v>
      </c>
      <c r="K41" s="48">
        <f>IF($J41="ALB", IF(INTRO!$E$39="Non endémique",IF($H41&lt;&gt;0,$D41*($H41-$G41),0),$D41*$H41), 0)</f>
        <v>0</v>
      </c>
      <c r="L41" s="13">
        <f t="shared" ref="L41:L72" si="13">IF($J41="ALB", IF($H41&lt;&gt;0, IF($I41=0, $E41*$H41, $E41*($H41-$G41)),0), 0)</f>
        <v>0</v>
      </c>
      <c r="M41" s="3"/>
      <c r="N41" s="13">
        <f t="shared" ref="N41:N72" si="14">SUM(K41:M41)</f>
        <v>0</v>
      </c>
      <c r="O41" s="48">
        <f>IF($J41="MBD", IF(INTRO!$E$39="Non endémique",IF($H41&lt;&gt;0,$D41*($H41-$G41),0),$D41*$H41),0)</f>
        <v>0</v>
      </c>
      <c r="P41" s="13">
        <f t="shared" ref="P41:P72" si="15">IF($J41="MBD", IF($H41&lt;&gt;0,IF($I41=0, $E41*$H41, $E41*($H41-$G41)),0), 0 )</f>
        <v>0</v>
      </c>
      <c r="Q41" s="3"/>
      <c r="R41" s="13">
        <f t="shared" ref="R41:R72" si="16">SUM(O41:Q41)</f>
        <v>0</v>
      </c>
      <c r="S41" s="24"/>
      <c r="T41" s="15">
        <f t="shared" ref="T41:T72" si="17">IF($I41&gt;$S41, $I41-$S41,0)</f>
        <v>0</v>
      </c>
      <c r="U41" s="15">
        <f t="shared" ref="U41:U72" si="18">ROUNDUP($I41/200,0)</f>
        <v>0</v>
      </c>
      <c r="V41" s="24"/>
      <c r="W41" s="15">
        <f t="shared" ref="W41:W72" si="19">IF($L41&gt;$V41,$L41-$V41,0)</f>
        <v>0</v>
      </c>
      <c r="X41" s="15">
        <f t="shared" ref="X41:X72" si="20">ROUNDUP($L41/200,0)</f>
        <v>0</v>
      </c>
      <c r="Y41" s="24"/>
      <c r="Z41" s="15">
        <f t="shared" ref="Z41:Z72" si="21">IF($P41&gt;$Y41,$P41-$Y41,0)</f>
        <v>0</v>
      </c>
      <c r="AA41" s="15">
        <f t="shared" ref="AA41:AA72" si="22">ROUNDUP($P41/150,0)</f>
        <v>0</v>
      </c>
    </row>
    <row r="42" spans="1:27" x14ac:dyDescent="0.4">
      <c r="A42" s="12" t="str">
        <f>IF(AND(INTRO!$E$37="Non endémique",INTRO!$E$41="Non endémique")," ",IF(COUNTRY_INFO!A42=0," ",COUNTRY_INFO!A42))</f>
        <v>Mali</v>
      </c>
      <c r="B42" s="12" t="str">
        <f>IF(AND(INTRO!$E$37="Non endémique",INTRO!$E$41="Non endémique")," ",IF(COUNTRY_INFO!B42=0," ",COUNTRY_INFO!B42))</f>
        <v>Segou</v>
      </c>
      <c r="C42" s="12" t="str">
        <f>IF(AND(INTRO!$E$37="Non endémique",INTRO!$E$41="Non endémique")," ",IF(COUNTRY_INFO!C42=0," ",COUNTRY_INFO!C42))</f>
        <v>Markala</v>
      </c>
      <c r="D42" s="13">
        <f>IF(AND(INTRO!$E$37="Non endémique",INTRO!$E$41="Non endémique"),0,IF(AND(OR(COUNTRY_INFO!$H42=0,COUNTRY_INFO!$H42=4,COUNTRY_INFO!$H42=99),OR(COUNTRY_INFO!$J42=0,COUNTRY_INFO!$J42=4)),0,COUNTRY_INFO!$E42))</f>
        <v>0</v>
      </c>
      <c r="E42" s="13">
        <f>IF(AND(INTRO!$E$37="Non endémique",INTRO!$E$41="Non endémique"),0,IF(AND(OR(COUNTRY_INFO!$H42=0,COUNTRY_INFO!$H42=4,COUNTRY_INFO!$H42=99),OR(COUNTRY_INFO!$J42=0,COUNTRY_INFO!$J42=4)),0,COUNTRY_INFO!$F42))</f>
        <v>0</v>
      </c>
      <c r="F42" s="13">
        <f t="shared" si="12"/>
        <v>0</v>
      </c>
      <c r="G42" s="14">
        <f>IF(AND(INTRO!$E$37="Non endémique",INTRO!$E$41="Non endémique"),0,COUNTRY_INFO!P42)</f>
        <v>0</v>
      </c>
      <c r="H42" s="14">
        <f>IF(AND(INTRO!$E$37="Non endémique",INTRO!$E$41="Non endémique"),0,COUNTRY_INFO!R42)</f>
        <v>0</v>
      </c>
      <c r="I42" s="13">
        <f>IF(INTRO!$E$39="Non endémique",IF($G42=1,DEC!I42,0),IF($G42=1,IVM!G42,0))</f>
        <v>0</v>
      </c>
      <c r="J42" s="27" t="s">
        <v>245</v>
      </c>
      <c r="K42" s="48">
        <f>IF($J42="ALB", IF(INTRO!$E$39="Non endémique",IF($H42&lt;&gt;0,$D42*($H42-$G42),0),$D42*$H42), 0)</f>
        <v>0</v>
      </c>
      <c r="L42" s="13">
        <f t="shared" si="13"/>
        <v>0</v>
      </c>
      <c r="M42" s="3"/>
      <c r="N42" s="13">
        <f t="shared" si="14"/>
        <v>0</v>
      </c>
      <c r="O42" s="48">
        <f>IF($J42="MBD", IF(INTRO!$E$39="Non endémique",IF($H42&lt;&gt;0,$D42*($H42-$G42),0),$D42*$H42),0)</f>
        <v>0</v>
      </c>
      <c r="P42" s="13">
        <f t="shared" si="15"/>
        <v>0</v>
      </c>
      <c r="Q42" s="3"/>
      <c r="R42" s="13">
        <f t="shared" si="16"/>
        <v>0</v>
      </c>
      <c r="S42" s="24"/>
      <c r="T42" s="15">
        <f t="shared" si="17"/>
        <v>0</v>
      </c>
      <c r="U42" s="15">
        <f t="shared" si="18"/>
        <v>0</v>
      </c>
      <c r="V42" s="24"/>
      <c r="W42" s="15">
        <f t="shared" si="19"/>
        <v>0</v>
      </c>
      <c r="X42" s="15">
        <f t="shared" si="20"/>
        <v>0</v>
      </c>
      <c r="Y42" s="24"/>
      <c r="Z42" s="15">
        <f t="shared" si="21"/>
        <v>0</v>
      </c>
      <c r="AA42" s="15">
        <f t="shared" si="22"/>
        <v>0</v>
      </c>
    </row>
    <row r="43" spans="1:27" x14ac:dyDescent="0.4">
      <c r="A43" s="12" t="str">
        <f>IF(AND(INTRO!$E$37="Non endémique",INTRO!$E$41="Non endémique")," ",IF(COUNTRY_INFO!A43=0," ",COUNTRY_INFO!A43))</f>
        <v>Mali</v>
      </c>
      <c r="B43" s="12" t="str">
        <f>IF(AND(INTRO!$E$37="Non endémique",INTRO!$E$41="Non endémique")," ",IF(COUNTRY_INFO!B43=0," ",COUNTRY_INFO!B43))</f>
        <v>Segou</v>
      </c>
      <c r="C43" s="12" t="str">
        <f>IF(AND(INTRO!$E$37="Non endémique",INTRO!$E$41="Non endémique")," ",IF(COUNTRY_INFO!C43=0," ",COUNTRY_INFO!C43))</f>
        <v>Niono</v>
      </c>
      <c r="D43" s="13">
        <f>IF(AND(INTRO!$E$37="Non endémique",INTRO!$E$41="Non endémique"),0,IF(AND(OR(COUNTRY_INFO!$H43=0,COUNTRY_INFO!$H43=4,COUNTRY_INFO!$H43=99),OR(COUNTRY_INFO!$J43=0,COUNTRY_INFO!$J43=4)),0,COUNTRY_INFO!$E43))</f>
        <v>0</v>
      </c>
      <c r="E43" s="13">
        <f>IF(AND(INTRO!$E$37="Non endémique",INTRO!$E$41="Non endémique"),0,IF(AND(OR(COUNTRY_INFO!$H43=0,COUNTRY_INFO!$H43=4,COUNTRY_INFO!$H43=99),OR(COUNTRY_INFO!$J43=0,COUNTRY_INFO!$J43=4)),0,COUNTRY_INFO!$F43))</f>
        <v>0</v>
      </c>
      <c r="F43" s="13">
        <f t="shared" si="12"/>
        <v>0</v>
      </c>
      <c r="G43" s="14">
        <f>IF(AND(INTRO!$E$37="Non endémique",INTRO!$E$41="Non endémique"),0,COUNTRY_INFO!P43)</f>
        <v>0</v>
      </c>
      <c r="H43" s="14">
        <f>IF(AND(INTRO!$E$37="Non endémique",INTRO!$E$41="Non endémique"),0,COUNTRY_INFO!R43)</f>
        <v>0</v>
      </c>
      <c r="I43" s="13">
        <f>IF(INTRO!$E$39="Non endémique",IF($G43=1,DEC!I43,0),IF($G43=1,IVM!G43,0))</f>
        <v>0</v>
      </c>
      <c r="J43" s="27" t="s">
        <v>245</v>
      </c>
      <c r="K43" s="48">
        <f>IF($J43="ALB", IF(INTRO!$E$39="Non endémique",IF($H43&lt;&gt;0,$D43*($H43-$G43),0),$D43*$H43), 0)</f>
        <v>0</v>
      </c>
      <c r="L43" s="13">
        <f t="shared" si="13"/>
        <v>0</v>
      </c>
      <c r="M43" s="3"/>
      <c r="N43" s="13">
        <f t="shared" si="14"/>
        <v>0</v>
      </c>
      <c r="O43" s="48">
        <f>IF($J43="MBD", IF(INTRO!$E$39="Non endémique",IF($H43&lt;&gt;0,$D43*($H43-$G43),0),$D43*$H43),0)</f>
        <v>0</v>
      </c>
      <c r="P43" s="13">
        <f t="shared" si="15"/>
        <v>0</v>
      </c>
      <c r="Q43" s="3"/>
      <c r="R43" s="13">
        <f t="shared" si="16"/>
        <v>0</v>
      </c>
      <c r="S43" s="24"/>
      <c r="T43" s="15">
        <f t="shared" si="17"/>
        <v>0</v>
      </c>
      <c r="U43" s="15">
        <f t="shared" si="18"/>
        <v>0</v>
      </c>
      <c r="V43" s="24"/>
      <c r="W43" s="15">
        <f t="shared" si="19"/>
        <v>0</v>
      </c>
      <c r="X43" s="15">
        <f t="shared" si="20"/>
        <v>0</v>
      </c>
      <c r="Y43" s="24"/>
      <c r="Z43" s="15">
        <f t="shared" si="21"/>
        <v>0</v>
      </c>
      <c r="AA43" s="15">
        <f t="shared" si="22"/>
        <v>0</v>
      </c>
    </row>
    <row r="44" spans="1:27" x14ac:dyDescent="0.4">
      <c r="A44" s="12" t="str">
        <f>IF(AND(INTRO!$E$37="Non endémique",INTRO!$E$41="Non endémique")," ",IF(COUNTRY_INFO!A44=0," ",COUNTRY_INFO!A44))</f>
        <v>Mali</v>
      </c>
      <c r="B44" s="12" t="str">
        <f>IF(AND(INTRO!$E$37="Non endémique",INTRO!$E$41="Non endémique")," ",IF(COUNTRY_INFO!B44=0," ",COUNTRY_INFO!B44))</f>
        <v>Segou</v>
      </c>
      <c r="C44" s="12" t="str">
        <f>IF(AND(INTRO!$E$37="Non endémique",INTRO!$E$41="Non endémique")," ",IF(COUNTRY_INFO!C44=0," ",COUNTRY_INFO!C44))</f>
        <v>San</v>
      </c>
      <c r="D44" s="13">
        <f>IF(AND(INTRO!$E$37="Non endémique",INTRO!$E$41="Non endémique"),0,IF(AND(OR(COUNTRY_INFO!$H44=0,COUNTRY_INFO!$H44=4,COUNTRY_INFO!$H44=99),OR(COUNTRY_INFO!$J44=0,COUNTRY_INFO!$J44=4)),0,COUNTRY_INFO!$E44))</f>
        <v>0</v>
      </c>
      <c r="E44" s="13">
        <f>IF(AND(INTRO!$E$37="Non endémique",INTRO!$E$41="Non endémique"),0,IF(AND(OR(COUNTRY_INFO!$H44=0,COUNTRY_INFO!$H44=4,COUNTRY_INFO!$H44=99),OR(COUNTRY_INFO!$J44=0,COUNTRY_INFO!$J44=4)),0,COUNTRY_INFO!$F44))</f>
        <v>0</v>
      </c>
      <c r="F44" s="13">
        <f t="shared" si="12"/>
        <v>0</v>
      </c>
      <c r="G44" s="14">
        <f>IF(AND(INTRO!$E$37="Non endémique",INTRO!$E$41="Non endémique"),0,COUNTRY_INFO!P44)</f>
        <v>0</v>
      </c>
      <c r="H44" s="14">
        <f>IF(AND(INTRO!$E$37="Non endémique",INTRO!$E$41="Non endémique"),0,COUNTRY_INFO!R44)</f>
        <v>1</v>
      </c>
      <c r="I44" s="13">
        <f>IF(INTRO!$E$39="Non endémique",IF($G44=1,DEC!I44,0),IF($G44=1,IVM!G44,0))</f>
        <v>0</v>
      </c>
      <c r="J44" s="27" t="s">
        <v>245</v>
      </c>
      <c r="K44" s="48">
        <f>IF($J44="ALB", IF(INTRO!$E$39="Non endémique",IF($H44&lt;&gt;0,$D44*($H44-$G44),0),$D44*$H44), 0)</f>
        <v>0</v>
      </c>
      <c r="L44" s="13">
        <f t="shared" si="13"/>
        <v>0</v>
      </c>
      <c r="M44" s="3"/>
      <c r="N44" s="13">
        <f t="shared" si="14"/>
        <v>0</v>
      </c>
      <c r="O44" s="48">
        <f>IF($J44="MBD", IF(INTRO!$E$39="Non endémique",IF($H44&lt;&gt;0,$D44*($H44-$G44),0),$D44*$H44),0)</f>
        <v>0</v>
      </c>
      <c r="P44" s="13">
        <f t="shared" si="15"/>
        <v>0</v>
      </c>
      <c r="Q44" s="3"/>
      <c r="R44" s="13">
        <f t="shared" si="16"/>
        <v>0</v>
      </c>
      <c r="S44" s="24"/>
      <c r="T44" s="15">
        <f t="shared" si="17"/>
        <v>0</v>
      </c>
      <c r="U44" s="15">
        <f t="shared" si="18"/>
        <v>0</v>
      </c>
      <c r="V44" s="24"/>
      <c r="W44" s="15">
        <f t="shared" si="19"/>
        <v>0</v>
      </c>
      <c r="X44" s="15">
        <f t="shared" si="20"/>
        <v>0</v>
      </c>
      <c r="Y44" s="24"/>
      <c r="Z44" s="15">
        <f t="shared" si="21"/>
        <v>0</v>
      </c>
      <c r="AA44" s="15">
        <f t="shared" si="22"/>
        <v>0</v>
      </c>
    </row>
    <row r="45" spans="1:27" x14ac:dyDescent="0.4">
      <c r="A45" s="12" t="str">
        <f>IF(AND(INTRO!$E$37="Non endémique",INTRO!$E$41="Non endémique")," ",IF(COUNTRY_INFO!A45=0," ",COUNTRY_INFO!A45))</f>
        <v>Mali</v>
      </c>
      <c r="B45" s="12" t="str">
        <f>IF(AND(INTRO!$E$37="Non endémique",INTRO!$E$41="Non endémique")," ",IF(COUNTRY_INFO!B45=0," ",COUNTRY_INFO!B45))</f>
        <v>Segou</v>
      </c>
      <c r="C45" s="12" t="str">
        <f>IF(AND(INTRO!$E$37="Non endémique",INTRO!$E$41="Non endémique")," ",IF(COUNTRY_INFO!C45=0," ",COUNTRY_INFO!C45))</f>
        <v>Ségou</v>
      </c>
      <c r="D45" s="13">
        <f>IF(AND(INTRO!$E$37="Non endémique",INTRO!$E$41="Non endémique"),0,IF(AND(OR(COUNTRY_INFO!$H45=0,COUNTRY_INFO!$H45=4,COUNTRY_INFO!$H45=99),OR(COUNTRY_INFO!$J45=0,COUNTRY_INFO!$J45=4)),0,COUNTRY_INFO!$E45))</f>
        <v>0</v>
      </c>
      <c r="E45" s="13">
        <f>IF(AND(INTRO!$E$37="Non endémique",INTRO!$E$41="Non endémique"),0,IF(AND(OR(COUNTRY_INFO!$H45=0,COUNTRY_INFO!$H45=4,COUNTRY_INFO!$H45=99),OR(COUNTRY_INFO!$J45=0,COUNTRY_INFO!$J45=4)),0,COUNTRY_INFO!$F45))</f>
        <v>0</v>
      </c>
      <c r="F45" s="13">
        <f t="shared" si="12"/>
        <v>0</v>
      </c>
      <c r="G45" s="14">
        <f>IF(AND(INTRO!$E$37="Non endémique",INTRO!$E$41="Non endémique"),0,COUNTRY_INFO!P45)</f>
        <v>0</v>
      </c>
      <c r="H45" s="14">
        <f>IF(AND(INTRO!$E$37="Non endémique",INTRO!$E$41="Non endémique"),0,COUNTRY_INFO!R45)</f>
        <v>1</v>
      </c>
      <c r="I45" s="13">
        <f>IF(INTRO!$E$39="Non endémique",IF($G45=1,DEC!I45,0),IF($G45=1,IVM!G45,0))</f>
        <v>0</v>
      </c>
      <c r="J45" s="27" t="s">
        <v>245</v>
      </c>
      <c r="K45" s="48">
        <f>IF($J45="ALB", IF(INTRO!$E$39="Non endémique",IF($H45&lt;&gt;0,$D45*($H45-$G45),0),$D45*$H45), 0)</f>
        <v>0</v>
      </c>
      <c r="L45" s="13">
        <f t="shared" si="13"/>
        <v>0</v>
      </c>
      <c r="M45" s="3"/>
      <c r="N45" s="13">
        <f t="shared" si="14"/>
        <v>0</v>
      </c>
      <c r="O45" s="48">
        <f>IF($J45="MBD", IF(INTRO!$E$39="Non endémique",IF($H45&lt;&gt;0,$D45*($H45-$G45),0),$D45*$H45),0)</f>
        <v>0</v>
      </c>
      <c r="P45" s="13">
        <f t="shared" si="15"/>
        <v>0</v>
      </c>
      <c r="Q45" s="3"/>
      <c r="R45" s="13">
        <f t="shared" si="16"/>
        <v>0</v>
      </c>
      <c r="S45" s="24"/>
      <c r="T45" s="15">
        <f t="shared" si="17"/>
        <v>0</v>
      </c>
      <c r="U45" s="15">
        <f t="shared" si="18"/>
        <v>0</v>
      </c>
      <c r="V45" s="24"/>
      <c r="W45" s="15">
        <f t="shared" si="19"/>
        <v>0</v>
      </c>
      <c r="X45" s="15">
        <f t="shared" si="20"/>
        <v>0</v>
      </c>
      <c r="Y45" s="24"/>
      <c r="Z45" s="15">
        <f t="shared" si="21"/>
        <v>0</v>
      </c>
      <c r="AA45" s="15">
        <f t="shared" si="22"/>
        <v>0</v>
      </c>
    </row>
    <row r="46" spans="1:27" x14ac:dyDescent="0.4">
      <c r="A46" s="12" t="str">
        <f>IF(AND(INTRO!$E$37="Non endémique",INTRO!$E$41="Non endémique")," ",IF(COUNTRY_INFO!A46=0," ",COUNTRY_INFO!A46))</f>
        <v>Mali</v>
      </c>
      <c r="B46" s="12" t="str">
        <f>IF(AND(INTRO!$E$37="Non endémique",INTRO!$E$41="Non endémique")," ",IF(COUNTRY_INFO!B46=0," ",COUNTRY_INFO!B46))</f>
        <v>Segou</v>
      </c>
      <c r="C46" s="12" t="str">
        <f>IF(AND(INTRO!$E$37="Non endémique",INTRO!$E$41="Non endémique")," ",IF(COUNTRY_INFO!C46=0," ",COUNTRY_INFO!C46))</f>
        <v>Tominian</v>
      </c>
      <c r="D46" s="13">
        <f>IF(AND(INTRO!$E$37="Non endémique",INTRO!$E$41="Non endémique"),0,IF(AND(OR(COUNTRY_INFO!$H46=0,COUNTRY_INFO!$H46=4,COUNTRY_INFO!$H46=99),OR(COUNTRY_INFO!$J46=0,COUNTRY_INFO!$J46=4)),0,COUNTRY_INFO!$E46))</f>
        <v>0</v>
      </c>
      <c r="E46" s="13">
        <f>IF(AND(INTRO!$E$37="Non endémique",INTRO!$E$41="Non endémique"),0,IF(AND(OR(COUNTRY_INFO!$H46=0,COUNTRY_INFO!$H46=4,COUNTRY_INFO!$H46=99),OR(COUNTRY_INFO!$J46=0,COUNTRY_INFO!$J46=4)),0,COUNTRY_INFO!$F46))</f>
        <v>0</v>
      </c>
      <c r="F46" s="13">
        <f t="shared" si="12"/>
        <v>0</v>
      </c>
      <c r="G46" s="14">
        <f>IF(AND(INTRO!$E$37="Non endémique",INTRO!$E$41="Non endémique"),0,COUNTRY_INFO!P46)</f>
        <v>0</v>
      </c>
      <c r="H46" s="14">
        <f>IF(AND(INTRO!$E$37="Non endémique",INTRO!$E$41="Non endémique"),0,COUNTRY_INFO!R46)</f>
        <v>0</v>
      </c>
      <c r="I46" s="13">
        <f>IF(INTRO!$E$39="Non endémique",IF($G46=1,DEC!I46,0),IF($G46=1,IVM!G46,0))</f>
        <v>0</v>
      </c>
      <c r="J46" s="27" t="s">
        <v>245</v>
      </c>
      <c r="K46" s="48">
        <f>IF($J46="ALB", IF(INTRO!$E$39="Non endémique",IF($H46&lt;&gt;0,$D46*($H46-$G46),0),$D46*$H46), 0)</f>
        <v>0</v>
      </c>
      <c r="L46" s="13">
        <f t="shared" si="13"/>
        <v>0</v>
      </c>
      <c r="M46" s="3"/>
      <c r="N46" s="13">
        <f t="shared" si="14"/>
        <v>0</v>
      </c>
      <c r="O46" s="48">
        <f>IF($J46="MBD", IF(INTRO!$E$39="Non endémique",IF($H46&lt;&gt;0,$D46*($H46-$G46),0),$D46*$H46),0)</f>
        <v>0</v>
      </c>
      <c r="P46" s="13">
        <f t="shared" si="15"/>
        <v>0</v>
      </c>
      <c r="Q46" s="3"/>
      <c r="R46" s="13">
        <f t="shared" si="16"/>
        <v>0</v>
      </c>
      <c r="S46" s="24"/>
      <c r="T46" s="15">
        <f t="shared" si="17"/>
        <v>0</v>
      </c>
      <c r="U46" s="15">
        <f t="shared" si="18"/>
        <v>0</v>
      </c>
      <c r="V46" s="24"/>
      <c r="W46" s="15">
        <f t="shared" si="19"/>
        <v>0</v>
      </c>
      <c r="X46" s="15">
        <f t="shared" si="20"/>
        <v>0</v>
      </c>
      <c r="Y46" s="24"/>
      <c r="Z46" s="15">
        <f t="shared" si="21"/>
        <v>0</v>
      </c>
      <c r="AA46" s="15">
        <f t="shared" si="22"/>
        <v>0</v>
      </c>
    </row>
    <row r="47" spans="1:27" x14ac:dyDescent="0.4">
      <c r="A47" s="12" t="str">
        <f>IF(AND(INTRO!$E$37="Non endémique",INTRO!$E$41="Non endémique")," ",IF(COUNTRY_INFO!A47=0," ",COUNTRY_INFO!A47))</f>
        <v>Mali</v>
      </c>
      <c r="B47" s="12" t="str">
        <f>IF(AND(INTRO!$E$37="Non endémique",INTRO!$E$41="Non endémique")," ",IF(COUNTRY_INFO!B47=0," ",COUNTRY_INFO!B47))</f>
        <v>Mopti</v>
      </c>
      <c r="C47" s="12" t="str">
        <f>IF(AND(INTRO!$E$37="Non endémique",INTRO!$E$41="Non endémique")," ",IF(COUNTRY_INFO!C47=0," ",COUNTRY_INFO!C47))</f>
        <v>Bandiagara</v>
      </c>
      <c r="D47" s="13">
        <f>IF(AND(INTRO!$E$37="Non endémique",INTRO!$E$41="Non endémique"),0,IF(AND(OR(COUNTRY_INFO!$H47=0,COUNTRY_INFO!$H47=4,COUNTRY_INFO!$H47=99),OR(COUNTRY_INFO!$J47=0,COUNTRY_INFO!$J47=4)),0,COUNTRY_INFO!$E47))</f>
        <v>0</v>
      </c>
      <c r="E47" s="13">
        <f>IF(AND(INTRO!$E$37="Non endémique",INTRO!$E$41="Non endémique"),0,IF(AND(OR(COUNTRY_INFO!$H47=0,COUNTRY_INFO!$H47=4,COUNTRY_INFO!$H47=99),OR(COUNTRY_INFO!$J47=0,COUNTRY_INFO!$J47=4)),0,COUNTRY_INFO!$F47))</f>
        <v>0</v>
      </c>
      <c r="F47" s="13">
        <f t="shared" si="12"/>
        <v>0</v>
      </c>
      <c r="G47" s="14">
        <f>IF(AND(INTRO!$E$37="Non endémique",INTRO!$E$41="Non endémique"),0,COUNTRY_INFO!P47)</f>
        <v>0</v>
      </c>
      <c r="H47" s="14">
        <f>IF(AND(INTRO!$E$37="Non endémique",INTRO!$E$41="Non endémique"),0,COUNTRY_INFO!R47)</f>
        <v>0</v>
      </c>
      <c r="I47" s="13">
        <f>IF(INTRO!$E$39="Non endémique",IF($G47=1,DEC!I47,0),IF($G47=1,IVM!G47,0))</f>
        <v>0</v>
      </c>
      <c r="J47" s="27" t="s">
        <v>245</v>
      </c>
      <c r="K47" s="48">
        <f>IF($J47="ALB", IF(INTRO!$E$39="Non endémique",IF($H47&lt;&gt;0,$D47*($H47-$G47),0),$D47*$H47), 0)</f>
        <v>0</v>
      </c>
      <c r="L47" s="13">
        <f t="shared" si="13"/>
        <v>0</v>
      </c>
      <c r="M47" s="3"/>
      <c r="N47" s="13">
        <f t="shared" si="14"/>
        <v>0</v>
      </c>
      <c r="O47" s="48">
        <f>IF($J47="MBD", IF(INTRO!$E$39="Non endémique",IF($H47&lt;&gt;0,$D47*($H47-$G47),0),$D47*$H47),0)</f>
        <v>0</v>
      </c>
      <c r="P47" s="13">
        <f t="shared" si="15"/>
        <v>0</v>
      </c>
      <c r="Q47" s="3"/>
      <c r="R47" s="13">
        <f t="shared" si="16"/>
        <v>0</v>
      </c>
      <c r="S47" s="24"/>
      <c r="T47" s="15">
        <f t="shared" si="17"/>
        <v>0</v>
      </c>
      <c r="U47" s="15">
        <f t="shared" si="18"/>
        <v>0</v>
      </c>
      <c r="V47" s="24"/>
      <c r="W47" s="15">
        <f t="shared" si="19"/>
        <v>0</v>
      </c>
      <c r="X47" s="15">
        <f t="shared" si="20"/>
        <v>0</v>
      </c>
      <c r="Y47" s="24"/>
      <c r="Z47" s="15">
        <f t="shared" si="21"/>
        <v>0</v>
      </c>
      <c r="AA47" s="15">
        <f t="shared" si="22"/>
        <v>0</v>
      </c>
    </row>
    <row r="48" spans="1:27" x14ac:dyDescent="0.4">
      <c r="A48" s="12" t="str">
        <f>IF(AND(INTRO!$E$37="Non endémique",INTRO!$E$41="Non endémique")," ",IF(COUNTRY_INFO!A48=0," ",COUNTRY_INFO!A48))</f>
        <v>Mali</v>
      </c>
      <c r="B48" s="12" t="str">
        <f>IF(AND(INTRO!$E$37="Non endémique",INTRO!$E$41="Non endémique")," ",IF(COUNTRY_INFO!B48=0," ",COUNTRY_INFO!B48))</f>
        <v>Mopti</v>
      </c>
      <c r="C48" s="12" t="str">
        <f>IF(AND(INTRO!$E$37="Non endémique",INTRO!$E$41="Non endémique")," ",IF(COUNTRY_INFO!C48=0," ",COUNTRY_INFO!C48))</f>
        <v>Bankass</v>
      </c>
      <c r="D48" s="13">
        <f>IF(AND(INTRO!$E$37="Non endémique",INTRO!$E$41="Non endémique"),0,IF(AND(OR(COUNTRY_INFO!$H48=0,COUNTRY_INFO!$H48=4,COUNTRY_INFO!$H48=99),OR(COUNTRY_INFO!$J48=0,COUNTRY_INFO!$J48=4)),0,COUNTRY_INFO!$E48))</f>
        <v>49607</v>
      </c>
      <c r="E48" s="13">
        <f>IF(AND(INTRO!$E$37="Non endémique",INTRO!$E$41="Non endémique"),0,IF(AND(OR(COUNTRY_INFO!$H48=0,COUNTRY_INFO!$H48=4,COUNTRY_INFO!$H48=99),OR(COUNTRY_INFO!$J48=0,COUNTRY_INFO!$J48=4)),0,COUNTRY_INFO!$F48))</f>
        <v>99214</v>
      </c>
      <c r="F48" s="13">
        <f t="shared" si="12"/>
        <v>148821</v>
      </c>
      <c r="G48" s="14">
        <f>IF(AND(INTRO!$E$37="Non endémique",INTRO!$E$41="Non endémique"),0,COUNTRY_INFO!P48)</f>
        <v>0</v>
      </c>
      <c r="H48" s="14">
        <f>IF(AND(INTRO!$E$37="Non endémique",INTRO!$E$41="Non endémique"),0,COUNTRY_INFO!R48)</f>
        <v>1</v>
      </c>
      <c r="I48" s="13">
        <f>IF(INTRO!$E$39="Non endémique",IF($G48=1,DEC!I48,0),IF($G48=1,IVM!G48,0))</f>
        <v>0</v>
      </c>
      <c r="J48" s="27" t="s">
        <v>245</v>
      </c>
      <c r="K48" s="48">
        <f>IF($J48="ALB", IF(INTRO!$E$39="Non endémique",IF($H48&lt;&gt;0,$D48*($H48-$G48),0),$D48*$H48), 0)</f>
        <v>49607</v>
      </c>
      <c r="L48" s="13">
        <f t="shared" si="13"/>
        <v>99214</v>
      </c>
      <c r="M48" s="3"/>
      <c r="N48" s="13">
        <f t="shared" si="14"/>
        <v>148821</v>
      </c>
      <c r="O48" s="48">
        <f>IF($J48="MBD", IF(INTRO!$E$39="Non endémique",IF($H48&lt;&gt;0,$D48*($H48-$G48),0),$D48*$H48),0)</f>
        <v>0</v>
      </c>
      <c r="P48" s="13">
        <f t="shared" si="15"/>
        <v>0</v>
      </c>
      <c r="Q48" s="3"/>
      <c r="R48" s="13">
        <f t="shared" si="16"/>
        <v>0</v>
      </c>
      <c r="S48" s="24"/>
      <c r="T48" s="15">
        <f t="shared" si="17"/>
        <v>0</v>
      </c>
      <c r="U48" s="15">
        <f t="shared" si="18"/>
        <v>0</v>
      </c>
      <c r="V48" s="24"/>
      <c r="W48" s="15">
        <f t="shared" si="19"/>
        <v>99214</v>
      </c>
      <c r="X48" s="15">
        <f t="shared" si="20"/>
        <v>497</v>
      </c>
      <c r="Y48" s="24"/>
      <c r="Z48" s="15">
        <f t="shared" si="21"/>
        <v>0</v>
      </c>
      <c r="AA48" s="15">
        <f t="shared" si="22"/>
        <v>0</v>
      </c>
    </row>
    <row r="49" spans="1:27" x14ac:dyDescent="0.4">
      <c r="A49" s="12" t="str">
        <f>IF(AND(INTRO!$E$37="Non endémique",INTRO!$E$41="Non endémique")," ",IF(COUNTRY_INFO!A49=0," ",COUNTRY_INFO!A49))</f>
        <v>Mali</v>
      </c>
      <c r="B49" s="12" t="str">
        <f>IF(AND(INTRO!$E$37="Non endémique",INTRO!$E$41="Non endémique")," ",IF(COUNTRY_INFO!B49=0," ",COUNTRY_INFO!B49))</f>
        <v>Mopti</v>
      </c>
      <c r="C49" s="12" t="str">
        <f>IF(AND(INTRO!$E$37="Non endémique",INTRO!$E$41="Non endémique")," ",IF(COUNTRY_INFO!C49=0," ",COUNTRY_INFO!C49))</f>
        <v>Djenne</v>
      </c>
      <c r="D49" s="13">
        <f>IF(AND(INTRO!$E$37="Non endémique",INTRO!$E$41="Non endémique"),0,IF(AND(OR(COUNTRY_INFO!$H49=0,COUNTRY_INFO!$H49=4,COUNTRY_INFO!$H49=99),OR(COUNTRY_INFO!$J49=0,COUNTRY_INFO!$J49=4)),0,COUNTRY_INFO!$E49))</f>
        <v>0</v>
      </c>
      <c r="E49" s="13">
        <f>IF(AND(INTRO!$E$37="Non endémique",INTRO!$E$41="Non endémique"),0,IF(AND(OR(COUNTRY_INFO!$H49=0,COUNTRY_INFO!$H49=4,COUNTRY_INFO!$H49=99),OR(COUNTRY_INFO!$J49=0,COUNTRY_INFO!$J49=4)),0,COUNTRY_INFO!$F49))</f>
        <v>0</v>
      </c>
      <c r="F49" s="13">
        <f t="shared" si="12"/>
        <v>0</v>
      </c>
      <c r="G49" s="14">
        <f>IF(AND(INTRO!$E$37="Non endémique",INTRO!$E$41="Non endémique"),0,COUNTRY_INFO!P49)</f>
        <v>0</v>
      </c>
      <c r="H49" s="14">
        <f>IF(AND(INTRO!$E$37="Non endémique",INTRO!$E$41="Non endémique"),0,COUNTRY_INFO!R49)</f>
        <v>0</v>
      </c>
      <c r="I49" s="13">
        <f>IF(INTRO!$E$39="Non endémique",IF($G49=1,DEC!I49,0),IF($G49=1,IVM!G49,0))</f>
        <v>0</v>
      </c>
      <c r="J49" s="27" t="s">
        <v>245</v>
      </c>
      <c r="K49" s="48">
        <f>IF($J49="ALB", IF(INTRO!$E$39="Non endémique",IF($H49&lt;&gt;0,$D49*($H49-$G49),0),$D49*$H49), 0)</f>
        <v>0</v>
      </c>
      <c r="L49" s="13">
        <f t="shared" si="13"/>
        <v>0</v>
      </c>
      <c r="M49" s="3"/>
      <c r="N49" s="13">
        <f t="shared" si="14"/>
        <v>0</v>
      </c>
      <c r="O49" s="48">
        <f>IF($J49="MBD", IF(INTRO!$E$39="Non endémique",IF($H49&lt;&gt;0,$D49*($H49-$G49),0),$D49*$H49),0)</f>
        <v>0</v>
      </c>
      <c r="P49" s="13">
        <f t="shared" si="15"/>
        <v>0</v>
      </c>
      <c r="Q49" s="3"/>
      <c r="R49" s="13">
        <f t="shared" si="16"/>
        <v>0</v>
      </c>
      <c r="S49" s="24"/>
      <c r="T49" s="15">
        <f t="shared" si="17"/>
        <v>0</v>
      </c>
      <c r="U49" s="15">
        <f t="shared" si="18"/>
        <v>0</v>
      </c>
      <c r="V49" s="24"/>
      <c r="W49" s="15">
        <f t="shared" si="19"/>
        <v>0</v>
      </c>
      <c r="X49" s="15">
        <f t="shared" si="20"/>
        <v>0</v>
      </c>
      <c r="Y49" s="24"/>
      <c r="Z49" s="15">
        <f t="shared" si="21"/>
        <v>0</v>
      </c>
      <c r="AA49" s="15">
        <f t="shared" si="22"/>
        <v>0</v>
      </c>
    </row>
    <row r="50" spans="1:27" x14ac:dyDescent="0.4">
      <c r="A50" s="12" t="str">
        <f>IF(AND(INTRO!$E$37="Non endémique",INTRO!$E$41="Non endémique")," ",IF(COUNTRY_INFO!A50=0," ",COUNTRY_INFO!A50))</f>
        <v>Mali</v>
      </c>
      <c r="B50" s="12" t="str">
        <f>IF(AND(INTRO!$E$37="Non endémique",INTRO!$E$41="Non endémique")," ",IF(COUNTRY_INFO!B50=0," ",COUNTRY_INFO!B50))</f>
        <v>Mopti</v>
      </c>
      <c r="C50" s="12" t="str">
        <f>IF(AND(INTRO!$E$37="Non endémique",INTRO!$E$41="Non endémique")," ",IF(COUNTRY_INFO!C50=0," ",COUNTRY_INFO!C50))</f>
        <v>Douentza</v>
      </c>
      <c r="D50" s="13">
        <f>IF(AND(INTRO!$E$37="Non endémique",INTRO!$E$41="Non endémique"),0,IF(AND(OR(COUNTRY_INFO!$H50=0,COUNTRY_INFO!$H50=4,COUNTRY_INFO!$H50=99),OR(COUNTRY_INFO!$J50=0,COUNTRY_INFO!$J50=4)),0,COUNTRY_INFO!$E50))</f>
        <v>46660</v>
      </c>
      <c r="E50" s="13">
        <f>IF(AND(INTRO!$E$37="Non endémique",INTRO!$E$41="Non endémique"),0,IF(AND(OR(COUNTRY_INFO!$H50=0,COUNTRY_INFO!$H50=4,COUNTRY_INFO!$H50=99),OR(COUNTRY_INFO!$J50=0,COUNTRY_INFO!$J50=4)),0,COUNTRY_INFO!$F50))</f>
        <v>93320</v>
      </c>
      <c r="F50" s="13">
        <f t="shared" si="12"/>
        <v>139980</v>
      </c>
      <c r="G50" s="14">
        <f>IF(AND(INTRO!$E$37="Non endémique",INTRO!$E$41="Non endémique"),0,COUNTRY_INFO!P50)</f>
        <v>1</v>
      </c>
      <c r="H50" s="14">
        <f>IF(AND(INTRO!$E$37="Non endémique",INTRO!$E$41="Non endémique"),0,COUNTRY_INFO!R50)</f>
        <v>1</v>
      </c>
      <c r="I50" s="13">
        <f>IF(INTRO!$E$39="Non endémique",IF($G50=1,DEC!I50,0),IF($G50=1,IVM!G50,0))</f>
        <v>264961</v>
      </c>
      <c r="J50" s="27" t="s">
        <v>245</v>
      </c>
      <c r="K50" s="48">
        <f>IF($J50="ALB", IF(INTRO!$E$39="Non endémique",IF($H50&lt;&gt;0,$D50*($H50-$G50),0),$D50*$H50), 0)</f>
        <v>46660</v>
      </c>
      <c r="L50" s="13">
        <f t="shared" si="13"/>
        <v>0</v>
      </c>
      <c r="M50" s="3"/>
      <c r="N50" s="13">
        <f t="shared" si="14"/>
        <v>46660</v>
      </c>
      <c r="O50" s="48">
        <f>IF($J50="MBD", IF(INTRO!$E$39="Non endémique",IF($H50&lt;&gt;0,$D50*($H50-$G50),0),$D50*$H50),0)</f>
        <v>0</v>
      </c>
      <c r="P50" s="13">
        <f t="shared" si="15"/>
        <v>0</v>
      </c>
      <c r="Q50" s="3"/>
      <c r="R50" s="13">
        <f t="shared" si="16"/>
        <v>0</v>
      </c>
      <c r="S50" s="24"/>
      <c r="T50" s="15">
        <f t="shared" si="17"/>
        <v>264961</v>
      </c>
      <c r="U50" s="15">
        <f t="shared" si="18"/>
        <v>1325</v>
      </c>
      <c r="V50" s="24"/>
      <c r="W50" s="15">
        <f t="shared" si="19"/>
        <v>0</v>
      </c>
      <c r="X50" s="15">
        <f t="shared" si="20"/>
        <v>0</v>
      </c>
      <c r="Y50" s="24"/>
      <c r="Z50" s="15">
        <f t="shared" si="21"/>
        <v>0</v>
      </c>
      <c r="AA50" s="15">
        <f t="shared" si="22"/>
        <v>0</v>
      </c>
    </row>
    <row r="51" spans="1:27" x14ac:dyDescent="0.4">
      <c r="A51" s="12" t="str">
        <f>IF(AND(INTRO!$E$37="Non endémique",INTRO!$E$41="Non endémique")," ",IF(COUNTRY_INFO!A51=0," ",COUNTRY_INFO!A51))</f>
        <v>Mali</v>
      </c>
      <c r="B51" s="12" t="str">
        <f>IF(AND(INTRO!$E$37="Non endémique",INTRO!$E$41="Non endémique")," ",IF(COUNTRY_INFO!B51=0," ",COUNTRY_INFO!B51))</f>
        <v>Mopti</v>
      </c>
      <c r="C51" s="12" t="str">
        <f>IF(AND(INTRO!$E$37="Non endémique",INTRO!$E$41="Non endémique")," ",IF(COUNTRY_INFO!C51=0," ",COUNTRY_INFO!C51))</f>
        <v>Koro</v>
      </c>
      <c r="D51" s="13">
        <f>IF(AND(INTRO!$E$37="Non endémique",INTRO!$E$41="Non endémique"),0,IF(AND(OR(COUNTRY_INFO!$H51=0,COUNTRY_INFO!$H51=4,COUNTRY_INFO!$H51=99),OR(COUNTRY_INFO!$J51=0,COUNTRY_INFO!$J51=4)),0,COUNTRY_INFO!$E51))</f>
        <v>68154</v>
      </c>
      <c r="E51" s="13">
        <f>IF(AND(INTRO!$E$37="Non endémique",INTRO!$E$41="Non endémique"),0,IF(AND(OR(COUNTRY_INFO!$H51=0,COUNTRY_INFO!$H51=4,COUNTRY_INFO!$H51=99),OR(COUNTRY_INFO!$J51=0,COUNTRY_INFO!$J51=4)),0,COUNTRY_INFO!$F51))</f>
        <v>136308</v>
      </c>
      <c r="F51" s="13">
        <f t="shared" si="12"/>
        <v>204462</v>
      </c>
      <c r="G51" s="14">
        <f>IF(AND(INTRO!$E$37="Non endémique",INTRO!$E$41="Non endémique"),0,COUNTRY_INFO!P51)</f>
        <v>0</v>
      </c>
      <c r="H51" s="14">
        <f>IF(AND(INTRO!$E$37="Non endémique",INTRO!$E$41="Non endémique"),0,COUNTRY_INFO!R51)</f>
        <v>1</v>
      </c>
      <c r="I51" s="13">
        <f>IF(INTRO!$E$39="Non endémique",IF($G51=1,DEC!I51,0),IF($G51=1,IVM!G51,0))</f>
        <v>0</v>
      </c>
      <c r="J51" s="27" t="s">
        <v>245</v>
      </c>
      <c r="K51" s="48">
        <f>IF($J51="ALB", IF(INTRO!$E$39="Non endémique",IF($H51&lt;&gt;0,$D51*($H51-$G51),0),$D51*$H51), 0)</f>
        <v>68154</v>
      </c>
      <c r="L51" s="13">
        <f t="shared" si="13"/>
        <v>136308</v>
      </c>
      <c r="M51" s="3"/>
      <c r="N51" s="13">
        <f t="shared" si="14"/>
        <v>204462</v>
      </c>
      <c r="O51" s="48">
        <f>IF($J51="MBD", IF(INTRO!$E$39="Non endémique",IF($H51&lt;&gt;0,$D51*($H51-$G51),0),$D51*$H51),0)</f>
        <v>0</v>
      </c>
      <c r="P51" s="13">
        <f t="shared" si="15"/>
        <v>0</v>
      </c>
      <c r="Q51" s="3"/>
      <c r="R51" s="13">
        <f t="shared" si="16"/>
        <v>0</v>
      </c>
      <c r="S51" s="24"/>
      <c r="T51" s="15">
        <f t="shared" si="17"/>
        <v>0</v>
      </c>
      <c r="U51" s="15">
        <f t="shared" si="18"/>
        <v>0</v>
      </c>
      <c r="V51" s="24"/>
      <c r="W51" s="15">
        <f t="shared" si="19"/>
        <v>136308</v>
      </c>
      <c r="X51" s="15">
        <f t="shared" si="20"/>
        <v>682</v>
      </c>
      <c r="Y51" s="24"/>
      <c r="Z51" s="15">
        <f t="shared" si="21"/>
        <v>0</v>
      </c>
      <c r="AA51" s="15">
        <f t="shared" si="22"/>
        <v>0</v>
      </c>
    </row>
    <row r="52" spans="1:27" x14ac:dyDescent="0.4">
      <c r="A52" s="12" t="str">
        <f>IF(AND(INTRO!$E$37="Non endémique",INTRO!$E$41="Non endémique")," ",IF(COUNTRY_INFO!A52=0," ",COUNTRY_INFO!A52))</f>
        <v>Mali</v>
      </c>
      <c r="B52" s="12" t="str">
        <f>IF(AND(INTRO!$E$37="Non endémique",INTRO!$E$41="Non endémique")," ",IF(COUNTRY_INFO!B52=0," ",COUNTRY_INFO!B52))</f>
        <v>Mopti</v>
      </c>
      <c r="C52" s="12" t="str">
        <f>IF(AND(INTRO!$E$37="Non endémique",INTRO!$E$41="Non endémique")," ",IF(COUNTRY_INFO!C52=0," ",COUNTRY_INFO!C52))</f>
        <v>Mopti</v>
      </c>
      <c r="D52" s="13">
        <f>IF(AND(INTRO!$E$37="Non endémique",INTRO!$E$41="Non endémique"),0,IF(AND(OR(COUNTRY_INFO!$H52=0,COUNTRY_INFO!$H52=4,COUNTRY_INFO!$H52=99),OR(COUNTRY_INFO!$J52=0,COUNTRY_INFO!$J52=4)),0,COUNTRY_INFO!$E52))</f>
        <v>0</v>
      </c>
      <c r="E52" s="13">
        <f>IF(AND(INTRO!$E$37="Non endémique",INTRO!$E$41="Non endémique"),0,IF(AND(OR(COUNTRY_INFO!$H52=0,COUNTRY_INFO!$H52=4,COUNTRY_INFO!$H52=99),OR(COUNTRY_INFO!$J52=0,COUNTRY_INFO!$J52=4)),0,COUNTRY_INFO!$F52))</f>
        <v>0</v>
      </c>
      <c r="F52" s="13">
        <f t="shared" si="12"/>
        <v>0</v>
      </c>
      <c r="G52" s="14">
        <f>IF(AND(INTRO!$E$37="Non endémique",INTRO!$E$41="Non endémique"),0,COUNTRY_INFO!P52)</f>
        <v>0</v>
      </c>
      <c r="H52" s="14">
        <f>IF(AND(INTRO!$E$37="Non endémique",INTRO!$E$41="Non endémique"),0,COUNTRY_INFO!R52)</f>
        <v>0</v>
      </c>
      <c r="I52" s="13">
        <f>IF(INTRO!$E$39="Non endémique",IF($G52=1,DEC!I52,0),IF($G52=1,IVM!G52,0))</f>
        <v>0</v>
      </c>
      <c r="J52" s="27" t="s">
        <v>245</v>
      </c>
      <c r="K52" s="48">
        <f>IF($J52="ALB", IF(INTRO!$E$39="Non endémique",IF($H52&lt;&gt;0,$D52*($H52-$G52),0),$D52*$H52), 0)</f>
        <v>0</v>
      </c>
      <c r="L52" s="13">
        <f t="shared" si="13"/>
        <v>0</v>
      </c>
      <c r="M52" s="3"/>
      <c r="N52" s="13">
        <f t="shared" si="14"/>
        <v>0</v>
      </c>
      <c r="O52" s="48">
        <f>IF($J52="MBD", IF(INTRO!$E$39="Non endémique",IF($H52&lt;&gt;0,$D52*($H52-$G52),0),$D52*$H52),0)</f>
        <v>0</v>
      </c>
      <c r="P52" s="13">
        <f t="shared" si="15"/>
        <v>0</v>
      </c>
      <c r="Q52" s="3"/>
      <c r="R52" s="13">
        <f t="shared" si="16"/>
        <v>0</v>
      </c>
      <c r="S52" s="24"/>
      <c r="T52" s="15">
        <f t="shared" si="17"/>
        <v>0</v>
      </c>
      <c r="U52" s="15">
        <f t="shared" si="18"/>
        <v>0</v>
      </c>
      <c r="V52" s="24"/>
      <c r="W52" s="15">
        <f t="shared" si="19"/>
        <v>0</v>
      </c>
      <c r="X52" s="15">
        <f t="shared" si="20"/>
        <v>0</v>
      </c>
      <c r="Y52" s="24"/>
      <c r="Z52" s="15">
        <f t="shared" si="21"/>
        <v>0</v>
      </c>
      <c r="AA52" s="15">
        <f t="shared" si="22"/>
        <v>0</v>
      </c>
    </row>
    <row r="53" spans="1:27" x14ac:dyDescent="0.4">
      <c r="A53" s="12" t="str">
        <f>IF(AND(INTRO!$E$37="Non endémique",INTRO!$E$41="Non endémique")," ",IF(COUNTRY_INFO!A53=0," ",COUNTRY_INFO!A53))</f>
        <v>Mali</v>
      </c>
      <c r="B53" s="12" t="str">
        <f>IF(AND(INTRO!$E$37="Non endémique",INTRO!$E$41="Non endémique")," ",IF(COUNTRY_INFO!B53=0," ",COUNTRY_INFO!B53))</f>
        <v>Mopti</v>
      </c>
      <c r="C53" s="12" t="str">
        <f>IF(AND(INTRO!$E$37="Non endémique",INTRO!$E$41="Non endémique")," ",IF(COUNTRY_INFO!C53=0," ",COUNTRY_INFO!C53))</f>
        <v>Tenenkou</v>
      </c>
      <c r="D53" s="13">
        <f>IF(AND(INTRO!$E$37="Non endémique",INTRO!$E$41="Non endémique"),0,IF(AND(OR(COUNTRY_INFO!$H53=0,COUNTRY_INFO!$H53=4,COUNTRY_INFO!$H53=99),OR(COUNTRY_INFO!$J53=0,COUNTRY_INFO!$J53=4)),0,COUNTRY_INFO!$E53))</f>
        <v>30814</v>
      </c>
      <c r="E53" s="13">
        <f>IF(AND(INTRO!$E$37="Non endémique",INTRO!$E$41="Non endémique"),0,IF(AND(OR(COUNTRY_INFO!$H53=0,COUNTRY_INFO!$H53=4,COUNTRY_INFO!$H53=99),OR(COUNTRY_INFO!$J53=0,COUNTRY_INFO!$J53=4)),0,COUNTRY_INFO!$F53))</f>
        <v>61627</v>
      </c>
      <c r="F53" s="13">
        <f t="shared" si="12"/>
        <v>92441</v>
      </c>
      <c r="G53" s="14">
        <f>IF(AND(INTRO!$E$37="Non endémique",INTRO!$E$41="Non endémique"),0,COUNTRY_INFO!P53)</f>
        <v>1</v>
      </c>
      <c r="H53" s="14">
        <f>IF(AND(INTRO!$E$37="Non endémique",INTRO!$E$41="Non endémique"),0,COUNTRY_INFO!R53)</f>
        <v>1</v>
      </c>
      <c r="I53" s="13">
        <f>IF(INTRO!$E$39="Non endémique",IF($G53=1,DEC!I53,0),IF($G53=1,IVM!G53,0))</f>
        <v>174977</v>
      </c>
      <c r="J53" s="27" t="s">
        <v>245</v>
      </c>
      <c r="K53" s="48">
        <f>IF($J53="ALB", IF(INTRO!$E$39="Non endémique",IF($H53&lt;&gt;0,$D53*($H53-$G53),0),$D53*$H53), 0)</f>
        <v>30814</v>
      </c>
      <c r="L53" s="13">
        <f t="shared" si="13"/>
        <v>0</v>
      </c>
      <c r="M53" s="3"/>
      <c r="N53" s="13">
        <f t="shared" si="14"/>
        <v>30814</v>
      </c>
      <c r="O53" s="48">
        <f>IF($J53="MBD", IF(INTRO!$E$39="Non endémique",IF($H53&lt;&gt;0,$D53*($H53-$G53),0),$D53*$H53),0)</f>
        <v>0</v>
      </c>
      <c r="P53" s="13">
        <f t="shared" si="15"/>
        <v>0</v>
      </c>
      <c r="Q53" s="3"/>
      <c r="R53" s="13">
        <f t="shared" si="16"/>
        <v>0</v>
      </c>
      <c r="S53" s="24"/>
      <c r="T53" s="15">
        <f t="shared" si="17"/>
        <v>174977</v>
      </c>
      <c r="U53" s="15">
        <f t="shared" si="18"/>
        <v>875</v>
      </c>
      <c r="V53" s="24"/>
      <c r="W53" s="15">
        <f t="shared" si="19"/>
        <v>0</v>
      </c>
      <c r="X53" s="15">
        <f t="shared" si="20"/>
        <v>0</v>
      </c>
      <c r="Y53" s="24"/>
      <c r="Z53" s="15">
        <f t="shared" si="21"/>
        <v>0</v>
      </c>
      <c r="AA53" s="15">
        <f t="shared" si="22"/>
        <v>0</v>
      </c>
    </row>
    <row r="54" spans="1:27" x14ac:dyDescent="0.4">
      <c r="A54" s="12" t="str">
        <f>IF(AND(INTRO!$E$37="Non endémique",INTRO!$E$41="Non endémique")," ",IF(COUNTRY_INFO!A54=0," ",COUNTRY_INFO!A54))</f>
        <v>Mali</v>
      </c>
      <c r="B54" s="12" t="str">
        <f>IF(AND(INTRO!$E$37="Non endémique",INTRO!$E$41="Non endémique")," ",IF(COUNTRY_INFO!B54=0," ",COUNTRY_INFO!B54))</f>
        <v>Mopti</v>
      </c>
      <c r="C54" s="12" t="str">
        <f>IF(AND(INTRO!$E$37="Non endémique",INTRO!$E$41="Non endémique")," ",IF(COUNTRY_INFO!C54=0," ",COUNTRY_INFO!C54))</f>
        <v>Youwarou</v>
      </c>
      <c r="D54" s="13">
        <f>IF(AND(INTRO!$E$37="Non endémique",INTRO!$E$41="Non endémique"),0,IF(AND(OR(COUNTRY_INFO!$H54=0,COUNTRY_INFO!$H54=4,COUNTRY_INFO!$H54=99),OR(COUNTRY_INFO!$J54=0,COUNTRY_INFO!$J54=4)),0,COUNTRY_INFO!$E54))</f>
        <v>20104</v>
      </c>
      <c r="E54" s="13">
        <f>IF(AND(INTRO!$E$37="Non endémique",INTRO!$E$41="Non endémique"),0,IF(AND(OR(COUNTRY_INFO!$H54=0,COUNTRY_INFO!$H54=4,COUNTRY_INFO!$H54=99),OR(COUNTRY_INFO!$J54=0,COUNTRY_INFO!$J54=4)),0,COUNTRY_INFO!$F54))</f>
        <v>40209</v>
      </c>
      <c r="F54" s="13">
        <f t="shared" si="12"/>
        <v>60313</v>
      </c>
      <c r="G54" s="14">
        <f>IF(AND(INTRO!$E$37="Non endémique",INTRO!$E$41="Non endémique"),0,COUNTRY_INFO!P54)</f>
        <v>1</v>
      </c>
      <c r="H54" s="14">
        <f>IF(AND(INTRO!$E$37="Non endémique",INTRO!$E$41="Non endémique"),0,COUNTRY_INFO!R54)</f>
        <v>1</v>
      </c>
      <c r="I54" s="13">
        <f>IF(INTRO!$E$39="Non endémique",IF($G54=1,DEC!I54,0),IF($G54=1,IVM!G54,0))</f>
        <v>114165</v>
      </c>
      <c r="J54" s="27" t="s">
        <v>245</v>
      </c>
      <c r="K54" s="48">
        <f>IF($J54="ALB", IF(INTRO!$E$39="Non endémique",IF($H54&lt;&gt;0,$D54*($H54-$G54),0),$D54*$H54), 0)</f>
        <v>20104</v>
      </c>
      <c r="L54" s="13">
        <f t="shared" si="13"/>
        <v>0</v>
      </c>
      <c r="M54" s="3"/>
      <c r="N54" s="13">
        <f t="shared" si="14"/>
        <v>20104</v>
      </c>
      <c r="O54" s="48">
        <f>IF($J54="MBD", IF(INTRO!$E$39="Non endémique",IF($H54&lt;&gt;0,$D54*($H54-$G54),0),$D54*$H54),0)</f>
        <v>0</v>
      </c>
      <c r="P54" s="13">
        <f t="shared" si="15"/>
        <v>0</v>
      </c>
      <c r="Q54" s="3"/>
      <c r="R54" s="13">
        <f t="shared" si="16"/>
        <v>0</v>
      </c>
      <c r="S54" s="24"/>
      <c r="T54" s="15">
        <f t="shared" si="17"/>
        <v>114165</v>
      </c>
      <c r="U54" s="15">
        <f t="shared" si="18"/>
        <v>571</v>
      </c>
      <c r="V54" s="24"/>
      <c r="W54" s="15">
        <f t="shared" si="19"/>
        <v>0</v>
      </c>
      <c r="X54" s="15">
        <f t="shared" si="20"/>
        <v>0</v>
      </c>
      <c r="Y54" s="24"/>
      <c r="Z54" s="15">
        <f t="shared" si="21"/>
        <v>0</v>
      </c>
      <c r="AA54" s="15">
        <f t="shared" si="22"/>
        <v>0</v>
      </c>
    </row>
    <row r="55" spans="1:27" x14ac:dyDescent="0.4">
      <c r="A55" s="12" t="str">
        <f>IF(AND(INTRO!$E$37="Non endémique",INTRO!$E$41="Non endémique")," ",IF(COUNTRY_INFO!A55=0," ",COUNTRY_INFO!A55))</f>
        <v>Mali</v>
      </c>
      <c r="B55" s="12" t="str">
        <f>IF(AND(INTRO!$E$37="Non endémique",INTRO!$E$41="Non endémique")," ",IF(COUNTRY_INFO!B55=0," ",COUNTRY_INFO!B55))</f>
        <v>Tombouctou</v>
      </c>
      <c r="C55" s="12" t="str">
        <f>IF(AND(INTRO!$E$37="Non endémique",INTRO!$E$41="Non endémique")," ",IF(COUNTRY_INFO!C55=0," ",COUNTRY_INFO!C55))</f>
        <v>Diré</v>
      </c>
      <c r="D55" s="13">
        <f>IF(AND(INTRO!$E$37="Non endémique",INTRO!$E$41="Non endémique"),0,IF(AND(OR(COUNTRY_INFO!$H55=0,COUNTRY_INFO!$H55=4,COUNTRY_INFO!$H55=99),OR(COUNTRY_INFO!$J55=0,COUNTRY_INFO!$J55=4)),0,COUNTRY_INFO!$E55))</f>
        <v>20773</v>
      </c>
      <c r="E55" s="13">
        <f>IF(AND(INTRO!$E$37="Non endémique",INTRO!$E$41="Non endémique"),0,IF(AND(OR(COUNTRY_INFO!$H55=0,COUNTRY_INFO!$H55=4,COUNTRY_INFO!$H55=99),OR(COUNTRY_INFO!$J55=0,COUNTRY_INFO!$J55=4)),0,COUNTRY_INFO!$F55))</f>
        <v>41545</v>
      </c>
      <c r="F55" s="13">
        <f t="shared" si="12"/>
        <v>62318</v>
      </c>
      <c r="G55" s="14">
        <f>IF(AND(INTRO!$E$37="Non endémique",INTRO!$E$41="Non endémique"),0,COUNTRY_INFO!P55)</f>
        <v>1</v>
      </c>
      <c r="H55" s="14">
        <f>IF(AND(INTRO!$E$37="Non endémique",INTRO!$E$41="Non endémique"),0,COUNTRY_INFO!R55)</f>
        <v>1</v>
      </c>
      <c r="I55" s="13">
        <f>IF(INTRO!$E$39="Non endémique",IF($G55=1,DEC!I55,0),IF($G55=1,IVM!G55,0))</f>
        <v>117958</v>
      </c>
      <c r="J55" s="27" t="s">
        <v>245</v>
      </c>
      <c r="K55" s="48">
        <f>IF($J55="ALB", IF(INTRO!$E$39="Non endémique",IF($H55&lt;&gt;0,$D55*($H55-$G55),0),$D55*$H55), 0)</f>
        <v>20773</v>
      </c>
      <c r="L55" s="13">
        <f t="shared" si="13"/>
        <v>0</v>
      </c>
      <c r="M55" s="3"/>
      <c r="N55" s="13">
        <f t="shared" si="14"/>
        <v>20773</v>
      </c>
      <c r="O55" s="48">
        <f>IF($J55="MBD", IF(INTRO!$E$39="Non endémique",IF($H55&lt;&gt;0,$D55*($H55-$G55),0),$D55*$H55),0)</f>
        <v>0</v>
      </c>
      <c r="P55" s="13">
        <f t="shared" si="15"/>
        <v>0</v>
      </c>
      <c r="Q55" s="3"/>
      <c r="R55" s="13">
        <f t="shared" si="16"/>
        <v>0</v>
      </c>
      <c r="S55" s="24"/>
      <c r="T55" s="15">
        <f t="shared" si="17"/>
        <v>117958</v>
      </c>
      <c r="U55" s="15">
        <f t="shared" si="18"/>
        <v>590</v>
      </c>
      <c r="V55" s="24"/>
      <c r="W55" s="15">
        <f t="shared" si="19"/>
        <v>0</v>
      </c>
      <c r="X55" s="15">
        <f t="shared" si="20"/>
        <v>0</v>
      </c>
      <c r="Y55" s="24"/>
      <c r="Z55" s="15">
        <f t="shared" si="21"/>
        <v>0</v>
      </c>
      <c r="AA55" s="15">
        <f t="shared" si="22"/>
        <v>0</v>
      </c>
    </row>
    <row r="56" spans="1:27" x14ac:dyDescent="0.4">
      <c r="A56" s="12" t="str">
        <f>IF(AND(INTRO!$E$37="Non endémique",INTRO!$E$41="Non endémique")," ",IF(COUNTRY_INFO!A56=0," ",COUNTRY_INFO!A56))</f>
        <v>Mali</v>
      </c>
      <c r="B56" s="12" t="str">
        <f>IF(AND(INTRO!$E$37="Non endémique",INTRO!$E$41="Non endémique")," ",IF(COUNTRY_INFO!B56=0," ",COUNTRY_INFO!B56))</f>
        <v>Tombouctou</v>
      </c>
      <c r="C56" s="12" t="str">
        <f>IF(AND(INTRO!$E$37="Non endémique",INTRO!$E$41="Non endémique")," ",IF(COUNTRY_INFO!C56=0," ",COUNTRY_INFO!C56))</f>
        <v>Goundam</v>
      </c>
      <c r="D56" s="13">
        <f>IF(AND(INTRO!$E$37="Non endémique",INTRO!$E$41="Non endémique"),0,IF(AND(OR(COUNTRY_INFO!$H56=0,COUNTRY_INFO!$H56=4,COUNTRY_INFO!$H56=99),OR(COUNTRY_INFO!$J56=0,COUNTRY_INFO!$J56=4)),0,COUNTRY_INFO!$E56))</f>
        <v>28227</v>
      </c>
      <c r="E56" s="13">
        <f>IF(AND(INTRO!$E$37="Non endémique",INTRO!$E$41="Non endémique"),0,IF(AND(OR(COUNTRY_INFO!$H56=0,COUNTRY_INFO!$H56=4,COUNTRY_INFO!$H56=99),OR(COUNTRY_INFO!$J56=0,COUNTRY_INFO!$J56=4)),0,COUNTRY_INFO!$F56))</f>
        <v>56453</v>
      </c>
      <c r="F56" s="13">
        <f t="shared" si="12"/>
        <v>84680</v>
      </c>
      <c r="G56" s="14">
        <f>IF(AND(INTRO!$E$37="Non endémique",INTRO!$E$41="Non endémique"),0,COUNTRY_INFO!P56)</f>
        <v>1</v>
      </c>
      <c r="H56" s="14">
        <f>IF(AND(INTRO!$E$37="Non endémique",INTRO!$E$41="Non endémique"),0,COUNTRY_INFO!R56)</f>
        <v>1</v>
      </c>
      <c r="I56" s="13">
        <f>IF(INTRO!$E$39="Non endémique",IF($G56=1,DEC!I56,0),IF($G56=1,IVM!G56,0))</f>
        <v>160286</v>
      </c>
      <c r="J56" s="27" t="s">
        <v>245</v>
      </c>
      <c r="K56" s="48">
        <f>IF($J56="ALB", IF(INTRO!$E$39="Non endémique",IF($H56&lt;&gt;0,$D56*($H56-$G56),0),$D56*$H56), 0)</f>
        <v>28227</v>
      </c>
      <c r="L56" s="13">
        <f t="shared" si="13"/>
        <v>0</v>
      </c>
      <c r="M56" s="3"/>
      <c r="N56" s="13">
        <f t="shared" si="14"/>
        <v>28227</v>
      </c>
      <c r="O56" s="48">
        <f>IF($J56="MBD", IF(INTRO!$E$39="Non endémique",IF($H56&lt;&gt;0,$D56*($H56-$G56),0),$D56*$H56),0)</f>
        <v>0</v>
      </c>
      <c r="P56" s="13">
        <f t="shared" si="15"/>
        <v>0</v>
      </c>
      <c r="Q56" s="3"/>
      <c r="R56" s="13">
        <f t="shared" si="16"/>
        <v>0</v>
      </c>
      <c r="S56" s="24"/>
      <c r="T56" s="15">
        <f t="shared" si="17"/>
        <v>160286</v>
      </c>
      <c r="U56" s="15">
        <f t="shared" si="18"/>
        <v>802</v>
      </c>
      <c r="V56" s="24"/>
      <c r="W56" s="15">
        <f t="shared" si="19"/>
        <v>0</v>
      </c>
      <c r="X56" s="15">
        <f t="shared" si="20"/>
        <v>0</v>
      </c>
      <c r="Y56" s="24"/>
      <c r="Z56" s="15">
        <f t="shared" si="21"/>
        <v>0</v>
      </c>
      <c r="AA56" s="15">
        <f t="shared" si="22"/>
        <v>0</v>
      </c>
    </row>
    <row r="57" spans="1:27" x14ac:dyDescent="0.4">
      <c r="A57" s="12" t="str">
        <f>IF(AND(INTRO!$E$37="Non endémique",INTRO!$E$41="Non endémique")," ",IF(COUNTRY_INFO!A57=0," ",COUNTRY_INFO!A57))</f>
        <v>Mali</v>
      </c>
      <c r="B57" s="12" t="str">
        <f>IF(AND(INTRO!$E$37="Non endémique",INTRO!$E$41="Non endémique")," ",IF(COUNTRY_INFO!B57=0," ",COUNTRY_INFO!B57))</f>
        <v>Tombouctou</v>
      </c>
      <c r="C57" s="12" t="str">
        <f>IF(AND(INTRO!$E$37="Non endémique",INTRO!$E$41="Non endémique")," ",IF(COUNTRY_INFO!C57=0," ",COUNTRY_INFO!C57))</f>
        <v>Gourma-Rharous</v>
      </c>
      <c r="D57" s="13">
        <f>IF(AND(INTRO!$E$37="Non endémique",INTRO!$E$41="Non endémique"),0,IF(AND(OR(COUNTRY_INFO!$H57=0,COUNTRY_INFO!$H57=4,COUNTRY_INFO!$H57=99),OR(COUNTRY_INFO!$J57=0,COUNTRY_INFO!$J57=4)),0,COUNTRY_INFO!$E57))</f>
        <v>20918</v>
      </c>
      <c r="E57" s="13">
        <f>IF(AND(INTRO!$E$37="Non endémique",INTRO!$E$41="Non endémique"),0,IF(AND(OR(COUNTRY_INFO!$H57=0,COUNTRY_INFO!$H57=4,COUNTRY_INFO!$H57=99),OR(COUNTRY_INFO!$J57=0,COUNTRY_INFO!$J57=4)),0,COUNTRY_INFO!$F57))</f>
        <v>41837</v>
      </c>
      <c r="F57" s="13">
        <f t="shared" si="12"/>
        <v>62755</v>
      </c>
      <c r="G57" s="14">
        <f>IF(AND(INTRO!$E$37="Non endémique",INTRO!$E$41="Non endémique"),0,COUNTRY_INFO!P57)</f>
        <v>1</v>
      </c>
      <c r="H57" s="14">
        <f>IF(AND(INTRO!$E$37="Non endémique",INTRO!$E$41="Non endémique"),0,COUNTRY_INFO!R57)</f>
        <v>1</v>
      </c>
      <c r="I57" s="13">
        <f>IF(INTRO!$E$39="Non endémique",IF($G57=1,DEC!I57,0),IF($G57=1,IVM!G57,0))</f>
        <v>118787</v>
      </c>
      <c r="J57" s="27" t="s">
        <v>245</v>
      </c>
      <c r="K57" s="48">
        <f>IF($J57="ALB", IF(INTRO!$E$39="Non endémique",IF($H57&lt;&gt;0,$D57*($H57-$G57),0),$D57*$H57), 0)</f>
        <v>20918</v>
      </c>
      <c r="L57" s="13">
        <f t="shared" si="13"/>
        <v>0</v>
      </c>
      <c r="M57" s="3"/>
      <c r="N57" s="13">
        <f t="shared" si="14"/>
        <v>20918</v>
      </c>
      <c r="O57" s="48">
        <f>IF($J57="MBD", IF(INTRO!$E$39="Non endémique",IF($H57&lt;&gt;0,$D57*($H57-$G57),0),$D57*$H57),0)</f>
        <v>0</v>
      </c>
      <c r="P57" s="13">
        <f t="shared" si="15"/>
        <v>0</v>
      </c>
      <c r="Q57" s="3"/>
      <c r="R57" s="13">
        <f t="shared" si="16"/>
        <v>0</v>
      </c>
      <c r="S57" s="24"/>
      <c r="T57" s="15">
        <f t="shared" si="17"/>
        <v>118787</v>
      </c>
      <c r="U57" s="15">
        <f t="shared" si="18"/>
        <v>594</v>
      </c>
      <c r="V57" s="24"/>
      <c r="W57" s="15">
        <f t="shared" si="19"/>
        <v>0</v>
      </c>
      <c r="X57" s="15">
        <f t="shared" si="20"/>
        <v>0</v>
      </c>
      <c r="Y57" s="24"/>
      <c r="Z57" s="15">
        <f t="shared" si="21"/>
        <v>0</v>
      </c>
      <c r="AA57" s="15">
        <f t="shared" si="22"/>
        <v>0</v>
      </c>
    </row>
    <row r="58" spans="1:27" x14ac:dyDescent="0.4">
      <c r="A58" s="12" t="str">
        <f>IF(AND(INTRO!$E$37="Non endémique",INTRO!$E$41="Non endémique")," ",IF(COUNTRY_INFO!A58=0," ",COUNTRY_INFO!A58))</f>
        <v>Mali</v>
      </c>
      <c r="B58" s="12" t="str">
        <f>IF(AND(INTRO!$E$37="Non endémique",INTRO!$E$41="Non endémique")," ",IF(COUNTRY_INFO!B58=0," ",COUNTRY_INFO!B58))</f>
        <v>Tombouctou</v>
      </c>
      <c r="C58" s="12" t="str">
        <f>IF(AND(INTRO!$E$37="Non endémique",INTRO!$E$41="Non endémique")," ",IF(COUNTRY_INFO!C58=0," ",COUNTRY_INFO!C58))</f>
        <v>Niafunké</v>
      </c>
      <c r="D58" s="13">
        <f>IF(AND(INTRO!$E$37="Non endémique",INTRO!$E$41="Non endémique"),0,IF(AND(OR(COUNTRY_INFO!$H58=0,COUNTRY_INFO!$H58=4,COUNTRY_INFO!$H58=99),OR(COUNTRY_INFO!$J58=0,COUNTRY_INFO!$J58=4)),0,COUNTRY_INFO!$E58))</f>
        <v>34609</v>
      </c>
      <c r="E58" s="13">
        <f>IF(AND(INTRO!$E$37="Non endémique",INTRO!$E$41="Non endémique"),0,IF(AND(OR(COUNTRY_INFO!$H58=0,COUNTRY_INFO!$H58=4,COUNTRY_INFO!$H58=99),OR(COUNTRY_INFO!$J58=0,COUNTRY_INFO!$J58=4)),0,COUNTRY_INFO!$F58))</f>
        <v>69218</v>
      </c>
      <c r="F58" s="13">
        <f t="shared" si="12"/>
        <v>103827</v>
      </c>
      <c r="G58" s="14">
        <f>IF(AND(INTRO!$E$37="Non endémique",INTRO!$E$41="Non endémique"),0,COUNTRY_INFO!P58)</f>
        <v>1</v>
      </c>
      <c r="H58" s="14">
        <f>IF(AND(INTRO!$E$37="Non endémique",INTRO!$E$41="Non endémique"),0,COUNTRY_INFO!R58)</f>
        <v>1</v>
      </c>
      <c r="I58" s="13">
        <f>IF(INTRO!$E$39="Non endémique",IF($G58=1,DEC!I58,0),IF($G58=1,IVM!G58,0))</f>
        <v>196529</v>
      </c>
      <c r="J58" s="27" t="s">
        <v>245</v>
      </c>
      <c r="K58" s="48">
        <f>IF($J58="ALB", IF(INTRO!$E$39="Non endémique",IF($H58&lt;&gt;0,$D58*($H58-$G58),0),$D58*$H58), 0)</f>
        <v>34609</v>
      </c>
      <c r="L58" s="13">
        <f t="shared" si="13"/>
        <v>0</v>
      </c>
      <c r="M58" s="3"/>
      <c r="N58" s="13">
        <f t="shared" si="14"/>
        <v>34609</v>
      </c>
      <c r="O58" s="48">
        <f>IF($J58="MBD", IF(INTRO!$E$39="Non endémique",IF($H58&lt;&gt;0,$D58*($H58-$G58),0),$D58*$H58),0)</f>
        <v>0</v>
      </c>
      <c r="P58" s="13">
        <f t="shared" si="15"/>
        <v>0</v>
      </c>
      <c r="Q58" s="3"/>
      <c r="R58" s="13">
        <f t="shared" si="16"/>
        <v>0</v>
      </c>
      <c r="S58" s="24"/>
      <c r="T58" s="15">
        <f t="shared" si="17"/>
        <v>196529</v>
      </c>
      <c r="U58" s="15">
        <f t="shared" si="18"/>
        <v>983</v>
      </c>
      <c r="V58" s="24"/>
      <c r="W58" s="15">
        <f t="shared" si="19"/>
        <v>0</v>
      </c>
      <c r="X58" s="15">
        <f t="shared" si="20"/>
        <v>0</v>
      </c>
      <c r="Y58" s="24"/>
      <c r="Z58" s="15">
        <f t="shared" si="21"/>
        <v>0</v>
      </c>
      <c r="AA58" s="15">
        <f t="shared" si="22"/>
        <v>0</v>
      </c>
    </row>
    <row r="59" spans="1:27" x14ac:dyDescent="0.4">
      <c r="A59" s="12" t="str">
        <f>IF(AND(INTRO!$E$37="Non endémique",INTRO!$E$41="Non endémique")," ",IF(COUNTRY_INFO!A59=0," ",COUNTRY_INFO!A59))</f>
        <v>Mali</v>
      </c>
      <c r="B59" s="12" t="str">
        <f>IF(AND(INTRO!$E$37="Non endémique",INTRO!$E$41="Non endémique")," ",IF(COUNTRY_INFO!B59=0," ",COUNTRY_INFO!B59))</f>
        <v>Tombouctou</v>
      </c>
      <c r="C59" s="12" t="str">
        <f>IF(AND(INTRO!$E$37="Non endémique",INTRO!$E$41="Non endémique")," ",IF(COUNTRY_INFO!C59=0," ",COUNTRY_INFO!C59))</f>
        <v>Tombouctou</v>
      </c>
      <c r="D59" s="13">
        <f>IF(AND(INTRO!$E$37="Non endémique",INTRO!$E$41="Non endémique"),0,IF(AND(OR(COUNTRY_INFO!$H59=0,COUNTRY_INFO!$H59=4,COUNTRY_INFO!$H59=99),OR(COUNTRY_INFO!$J59=0,COUNTRY_INFO!$J59=4)),0,COUNTRY_INFO!$E59))</f>
        <v>23390</v>
      </c>
      <c r="E59" s="13">
        <f>IF(AND(INTRO!$E$37="Non endémique",INTRO!$E$41="Non endémique"),0,IF(AND(OR(COUNTRY_INFO!$H59=0,COUNTRY_INFO!$H59=4,COUNTRY_INFO!$H59=99),OR(COUNTRY_INFO!$J59=0,COUNTRY_INFO!$J59=4)),0,COUNTRY_INFO!$F59))</f>
        <v>46780</v>
      </c>
      <c r="F59" s="13">
        <f t="shared" si="12"/>
        <v>70170</v>
      </c>
      <c r="G59" s="14">
        <f>IF(AND(INTRO!$E$37="Non endémique",INTRO!$E$41="Non endémique"),0,COUNTRY_INFO!P59)</f>
        <v>1</v>
      </c>
      <c r="H59" s="14">
        <f>IF(AND(INTRO!$E$37="Non endémique",INTRO!$E$41="Non endémique"),0,COUNTRY_INFO!R59)</f>
        <v>1</v>
      </c>
      <c r="I59" s="13">
        <f>IF(INTRO!$E$39="Non endémique",IF($G59=1,DEC!I59,0),IF($G59=1,IVM!G59,0))</f>
        <v>132822</v>
      </c>
      <c r="J59" s="27" t="s">
        <v>245</v>
      </c>
      <c r="K59" s="48">
        <f>IF($J59="ALB", IF(INTRO!$E$39="Non endémique",IF($H59&lt;&gt;0,$D59*($H59-$G59),0),$D59*$H59), 0)</f>
        <v>23390</v>
      </c>
      <c r="L59" s="13">
        <f t="shared" si="13"/>
        <v>0</v>
      </c>
      <c r="M59" s="3"/>
      <c r="N59" s="13">
        <f t="shared" si="14"/>
        <v>23390</v>
      </c>
      <c r="O59" s="48">
        <f>IF($J59="MBD", IF(INTRO!$E$39="Non endémique",IF($H59&lt;&gt;0,$D59*($H59-$G59),0),$D59*$H59),0)</f>
        <v>0</v>
      </c>
      <c r="P59" s="13">
        <f t="shared" si="15"/>
        <v>0</v>
      </c>
      <c r="Q59" s="3"/>
      <c r="R59" s="13">
        <f t="shared" si="16"/>
        <v>0</v>
      </c>
      <c r="S59" s="24"/>
      <c r="T59" s="15">
        <f t="shared" si="17"/>
        <v>132822</v>
      </c>
      <c r="U59" s="15">
        <f t="shared" si="18"/>
        <v>665</v>
      </c>
      <c r="V59" s="24"/>
      <c r="W59" s="15">
        <f t="shared" si="19"/>
        <v>0</v>
      </c>
      <c r="X59" s="15">
        <f t="shared" si="20"/>
        <v>0</v>
      </c>
      <c r="Y59" s="24"/>
      <c r="Z59" s="15">
        <f t="shared" si="21"/>
        <v>0</v>
      </c>
      <c r="AA59" s="15">
        <f t="shared" si="22"/>
        <v>0</v>
      </c>
    </row>
    <row r="60" spans="1:27" x14ac:dyDescent="0.4">
      <c r="A60" s="12" t="str">
        <f>IF(AND(INTRO!$E$37="Non endémique",INTRO!$E$41="Non endémique")," ",IF(COUNTRY_INFO!A60=0," ",COUNTRY_INFO!A60))</f>
        <v>Mali</v>
      </c>
      <c r="B60" s="12" t="str">
        <f>IF(AND(INTRO!$E$37="Non endémique",INTRO!$E$41="Non endémique")," ",IF(COUNTRY_INFO!B60=0," ",COUNTRY_INFO!B60))</f>
        <v>Gao</v>
      </c>
      <c r="C60" s="12" t="str">
        <f>IF(AND(INTRO!$E$37="Non endémique",INTRO!$E$41="Non endémique")," ",IF(COUNTRY_INFO!C60=0," ",COUNTRY_INFO!C60))</f>
        <v>Ansongo</v>
      </c>
      <c r="D60" s="13">
        <f>IF(AND(INTRO!$E$37="Non endémique",INTRO!$E$41="Non endémique"),0,IF(AND(OR(COUNTRY_INFO!$H60=0,COUNTRY_INFO!$H60=4,COUNTRY_INFO!$H60=99),OR(COUNTRY_INFO!$J60=0,COUNTRY_INFO!$J60=4)),0,COUNTRY_INFO!$E60))</f>
        <v>24845</v>
      </c>
      <c r="E60" s="13">
        <f>IF(AND(INTRO!$E$37="Non endémique",INTRO!$E$41="Non endémique"),0,IF(AND(OR(COUNTRY_INFO!$H60=0,COUNTRY_INFO!$H60=4,COUNTRY_INFO!$H60=99),OR(COUNTRY_INFO!$J60=0,COUNTRY_INFO!$J60=4)),0,COUNTRY_INFO!$F60))</f>
        <v>49689</v>
      </c>
      <c r="F60" s="13">
        <f t="shared" si="12"/>
        <v>74534</v>
      </c>
      <c r="G60" s="14">
        <f>IF(AND(INTRO!$E$37="Non endémique",INTRO!$E$41="Non endémique"),0,COUNTRY_INFO!P60)</f>
        <v>1</v>
      </c>
      <c r="H60" s="14">
        <f>IF(AND(INTRO!$E$37="Non endémique",INTRO!$E$41="Non endémique"),0,COUNTRY_INFO!R60)</f>
        <v>1</v>
      </c>
      <c r="I60" s="13">
        <f>IF(INTRO!$E$39="Non endémique",IF($G60=1,DEC!I60,0),IF($G60=1,IVM!G60,0))</f>
        <v>141081</v>
      </c>
      <c r="J60" s="27" t="s">
        <v>245</v>
      </c>
      <c r="K60" s="48">
        <f>IF($J60="ALB", IF(INTRO!$E$39="Non endémique",IF($H60&lt;&gt;0,$D60*($H60-$G60),0),$D60*$H60), 0)</f>
        <v>24845</v>
      </c>
      <c r="L60" s="13">
        <f t="shared" si="13"/>
        <v>0</v>
      </c>
      <c r="M60" s="3"/>
      <c r="N60" s="13">
        <f t="shared" si="14"/>
        <v>24845</v>
      </c>
      <c r="O60" s="48">
        <f>IF($J60="MBD", IF(INTRO!$E$39="Non endémique",IF($H60&lt;&gt;0,$D60*($H60-$G60),0),$D60*$H60),0)</f>
        <v>0</v>
      </c>
      <c r="P60" s="13">
        <f t="shared" si="15"/>
        <v>0</v>
      </c>
      <c r="Q60" s="3"/>
      <c r="R60" s="13">
        <f t="shared" si="16"/>
        <v>0</v>
      </c>
      <c r="S60" s="24"/>
      <c r="T60" s="15">
        <f t="shared" si="17"/>
        <v>141081</v>
      </c>
      <c r="U60" s="15">
        <f t="shared" si="18"/>
        <v>706</v>
      </c>
      <c r="V60" s="24"/>
      <c r="W60" s="15">
        <f t="shared" si="19"/>
        <v>0</v>
      </c>
      <c r="X60" s="15">
        <f t="shared" si="20"/>
        <v>0</v>
      </c>
      <c r="Y60" s="24"/>
      <c r="Z60" s="15">
        <f t="shared" si="21"/>
        <v>0</v>
      </c>
      <c r="AA60" s="15">
        <f t="shared" si="22"/>
        <v>0</v>
      </c>
    </row>
    <row r="61" spans="1:27" x14ac:dyDescent="0.4">
      <c r="A61" s="12" t="str">
        <f>IF(AND(INTRO!$E$37="Non endémique",INTRO!$E$41="Non endémique")," ",IF(COUNTRY_INFO!A61=0," ",COUNTRY_INFO!A61))</f>
        <v>Mali</v>
      </c>
      <c r="B61" s="12" t="str">
        <f>IF(AND(INTRO!$E$37="Non endémique",INTRO!$E$41="Non endémique")," ",IF(COUNTRY_INFO!B61=0," ",COUNTRY_INFO!B61))</f>
        <v>Gao</v>
      </c>
      <c r="C61" s="12" t="str">
        <f>IF(AND(INTRO!$E$37="Non endémique",INTRO!$E$41="Non endémique")," ",IF(COUNTRY_INFO!C61=0," ",COUNTRY_INFO!C61))</f>
        <v>Bourem</v>
      </c>
      <c r="D61" s="13">
        <f>IF(AND(INTRO!$E$37="Non endémique",INTRO!$E$41="Non endémique"),0,IF(AND(OR(COUNTRY_INFO!$H61=0,COUNTRY_INFO!$H61=4,COUNTRY_INFO!$H61=99),OR(COUNTRY_INFO!$J61=0,COUNTRY_INFO!$J61=4)),0,COUNTRY_INFO!$E61))</f>
        <v>20117</v>
      </c>
      <c r="E61" s="13">
        <f>IF(AND(INTRO!$E$37="Non endémique",INTRO!$E$41="Non endémique"),0,IF(AND(OR(COUNTRY_INFO!$H61=0,COUNTRY_INFO!$H61=4,COUNTRY_INFO!$H61=99),OR(COUNTRY_INFO!$J61=0,COUNTRY_INFO!$J61=4)),0,COUNTRY_INFO!$F61))</f>
        <v>40234</v>
      </c>
      <c r="F61" s="13">
        <f t="shared" si="12"/>
        <v>60351</v>
      </c>
      <c r="G61" s="14">
        <f>IF(AND(INTRO!$E$37="Non endémique",INTRO!$E$41="Non endémique"),0,COUNTRY_INFO!P61)</f>
        <v>1</v>
      </c>
      <c r="H61" s="14">
        <f>IF(AND(INTRO!$E$37="Non endémique",INTRO!$E$41="Non endémique"),0,COUNTRY_INFO!R61)</f>
        <v>1</v>
      </c>
      <c r="I61" s="13">
        <f>IF(INTRO!$E$39="Non endémique",IF($G61=1,DEC!I61,0),IF($G61=1,IVM!G61,0))</f>
        <v>114236</v>
      </c>
      <c r="J61" s="27" t="s">
        <v>245</v>
      </c>
      <c r="K61" s="48">
        <f>IF($J61="ALB", IF(INTRO!$E$39="Non endémique",IF($H61&lt;&gt;0,$D61*($H61-$G61),0),$D61*$H61), 0)</f>
        <v>20117</v>
      </c>
      <c r="L61" s="13">
        <f t="shared" si="13"/>
        <v>0</v>
      </c>
      <c r="M61" s="3"/>
      <c r="N61" s="13">
        <f t="shared" si="14"/>
        <v>20117</v>
      </c>
      <c r="O61" s="48">
        <f>IF($J61="MBD", IF(INTRO!$E$39="Non endémique",IF($H61&lt;&gt;0,$D61*($H61-$G61),0),$D61*$H61),0)</f>
        <v>0</v>
      </c>
      <c r="P61" s="13">
        <f t="shared" si="15"/>
        <v>0</v>
      </c>
      <c r="Q61" s="3"/>
      <c r="R61" s="13">
        <f t="shared" si="16"/>
        <v>0</v>
      </c>
      <c r="S61" s="24"/>
      <c r="T61" s="15">
        <f t="shared" si="17"/>
        <v>114236</v>
      </c>
      <c r="U61" s="15">
        <f t="shared" si="18"/>
        <v>572</v>
      </c>
      <c r="V61" s="24"/>
      <c r="W61" s="15">
        <f t="shared" si="19"/>
        <v>0</v>
      </c>
      <c r="X61" s="15">
        <f t="shared" si="20"/>
        <v>0</v>
      </c>
      <c r="Y61" s="24"/>
      <c r="Z61" s="15">
        <f t="shared" si="21"/>
        <v>0</v>
      </c>
      <c r="AA61" s="15">
        <f t="shared" si="22"/>
        <v>0</v>
      </c>
    </row>
    <row r="62" spans="1:27" x14ac:dyDescent="0.4">
      <c r="A62" s="12" t="str">
        <f>IF(AND(INTRO!$E$37="Non endémique",INTRO!$E$41="Non endémique")," ",IF(COUNTRY_INFO!A62=0," ",COUNTRY_INFO!A62))</f>
        <v>Mali</v>
      </c>
      <c r="B62" s="12" t="str">
        <f>IF(AND(INTRO!$E$37="Non endémique",INTRO!$E$41="Non endémique")," ",IF(COUNTRY_INFO!B62=0," ",COUNTRY_INFO!B62))</f>
        <v>Gao</v>
      </c>
      <c r="C62" s="12" t="str">
        <f>IF(AND(INTRO!$E$37="Non endémique",INTRO!$E$41="Non endémique")," ",IF(COUNTRY_INFO!C62=0," ",COUNTRY_INFO!C62))</f>
        <v>Gao</v>
      </c>
      <c r="D62" s="13">
        <f>IF(AND(INTRO!$E$37="Non endémique",INTRO!$E$41="Non endémique"),0,IF(AND(OR(COUNTRY_INFO!$H62=0,COUNTRY_INFO!$H62=4,COUNTRY_INFO!$H62=99),OR(COUNTRY_INFO!$J62=0,COUNTRY_INFO!$J62=4)),0,COUNTRY_INFO!$E62))</f>
        <v>45074</v>
      </c>
      <c r="E62" s="13">
        <f>IF(AND(INTRO!$E$37="Non endémique",INTRO!$E$41="Non endémique"),0,IF(AND(OR(COUNTRY_INFO!$H62=0,COUNTRY_INFO!$H62=4,COUNTRY_INFO!$H62=99),OR(COUNTRY_INFO!$J62=0,COUNTRY_INFO!$J62=4)),0,COUNTRY_INFO!$F62))</f>
        <v>90148</v>
      </c>
      <c r="F62" s="13">
        <f t="shared" si="12"/>
        <v>135222</v>
      </c>
      <c r="G62" s="14">
        <f>IF(AND(INTRO!$E$37="Non endémique",INTRO!$E$41="Non endémique"),0,COUNTRY_INFO!P62)</f>
        <v>1</v>
      </c>
      <c r="H62" s="14">
        <f>IF(AND(INTRO!$E$37="Non endémique",INTRO!$E$41="Non endémique"),0,COUNTRY_INFO!R62)</f>
        <v>1</v>
      </c>
      <c r="I62" s="13">
        <f>IF(INTRO!$E$39="Non endémique",IF($G62=1,DEC!I62,0),IF($G62=1,IVM!G62,0))</f>
        <v>255956</v>
      </c>
      <c r="J62" s="27" t="s">
        <v>245</v>
      </c>
      <c r="K62" s="48">
        <f>IF($J62="ALB", IF(INTRO!$E$39="Non endémique",IF($H62&lt;&gt;0,$D62*($H62-$G62),0),$D62*$H62), 0)</f>
        <v>45074</v>
      </c>
      <c r="L62" s="13">
        <f t="shared" si="13"/>
        <v>0</v>
      </c>
      <c r="M62" s="3"/>
      <c r="N62" s="13">
        <f t="shared" si="14"/>
        <v>45074</v>
      </c>
      <c r="O62" s="48">
        <f>IF($J62="MBD", IF(INTRO!$E$39="Non endémique",IF($H62&lt;&gt;0,$D62*($H62-$G62),0),$D62*$H62),0)</f>
        <v>0</v>
      </c>
      <c r="P62" s="13">
        <f t="shared" si="15"/>
        <v>0</v>
      </c>
      <c r="Q62" s="3"/>
      <c r="R62" s="13">
        <f t="shared" si="16"/>
        <v>0</v>
      </c>
      <c r="S62" s="24"/>
      <c r="T62" s="15">
        <f t="shared" si="17"/>
        <v>255956</v>
      </c>
      <c r="U62" s="15">
        <f t="shared" si="18"/>
        <v>1280</v>
      </c>
      <c r="V62" s="24"/>
      <c r="W62" s="15">
        <f t="shared" si="19"/>
        <v>0</v>
      </c>
      <c r="X62" s="15">
        <f t="shared" si="20"/>
        <v>0</v>
      </c>
      <c r="Y62" s="24"/>
      <c r="Z62" s="15">
        <f t="shared" si="21"/>
        <v>0</v>
      </c>
      <c r="AA62" s="15">
        <f t="shared" si="22"/>
        <v>0</v>
      </c>
    </row>
    <row r="63" spans="1:27" x14ac:dyDescent="0.4">
      <c r="A63" s="12" t="str">
        <f>IF(AND(INTRO!$E$37="Non endémique",INTRO!$E$41="Non endémique")," ",IF(COUNTRY_INFO!A63=0," ",COUNTRY_INFO!A63))</f>
        <v>Mali</v>
      </c>
      <c r="B63" s="12" t="str">
        <f>IF(AND(INTRO!$E$37="Non endémique",INTRO!$E$41="Non endémique")," ",IF(COUNTRY_INFO!B63=0," ",COUNTRY_INFO!B63))</f>
        <v>Gao</v>
      </c>
      <c r="C63" s="12" t="str">
        <f>IF(AND(INTRO!$E$37="Non endémique",INTRO!$E$41="Non endémique")," ",IF(COUNTRY_INFO!C63=0," ",COUNTRY_INFO!C63))</f>
        <v>Almoustrat</v>
      </c>
      <c r="D63" s="13">
        <f>IF(AND(INTRO!$E$37="Non endémique",INTRO!$E$41="Non endémique"),0,IF(AND(OR(COUNTRY_INFO!$H63=0,COUNTRY_INFO!$H63=4,COUNTRY_INFO!$H63=99),OR(COUNTRY_INFO!$J63=0,COUNTRY_INFO!$J63=4)),0,COUNTRY_INFO!$E63))</f>
        <v>1674</v>
      </c>
      <c r="E63" s="13">
        <f>IF(AND(INTRO!$E$37="Non endémique",INTRO!$E$41="Non endémique"),0,IF(AND(OR(COUNTRY_INFO!$H63=0,COUNTRY_INFO!$H63=4,COUNTRY_INFO!$H63=99),OR(COUNTRY_INFO!$J63=0,COUNTRY_INFO!$J63=4)),0,COUNTRY_INFO!$F63))</f>
        <v>3348</v>
      </c>
      <c r="F63" s="13">
        <f t="shared" si="12"/>
        <v>5022</v>
      </c>
      <c r="G63" s="14">
        <f>IF(AND(INTRO!$E$37="Non endémique",INTRO!$E$41="Non endémique"),0,COUNTRY_INFO!P63)</f>
        <v>1</v>
      </c>
      <c r="H63" s="14">
        <f>IF(AND(INTRO!$E$37="Non endémique",INTRO!$E$41="Non endémique"),0,COUNTRY_INFO!R63)</f>
        <v>1</v>
      </c>
      <c r="I63" s="13">
        <f>IF(INTRO!$E$39="Non endémique",IF($G63=1,DEC!I63,0),IF($G63=1,IVM!G63,0))</f>
        <v>9506</v>
      </c>
      <c r="J63" s="27" t="s">
        <v>245</v>
      </c>
      <c r="K63" s="48">
        <f>IF($J63="ALB", IF(INTRO!$E$39="Non endémique",IF($H63&lt;&gt;0,$D63*($H63-$G63),0),$D63*$H63), 0)</f>
        <v>1674</v>
      </c>
      <c r="L63" s="13">
        <f t="shared" si="13"/>
        <v>0</v>
      </c>
      <c r="M63" s="3"/>
      <c r="N63" s="13">
        <f t="shared" si="14"/>
        <v>1674</v>
      </c>
      <c r="O63" s="48">
        <f>IF($J63="MBD", IF(INTRO!$E$39="Non endémique",IF($H63&lt;&gt;0,$D63*($H63-$G63),0),$D63*$H63),0)</f>
        <v>0</v>
      </c>
      <c r="P63" s="13">
        <f t="shared" si="15"/>
        <v>0</v>
      </c>
      <c r="Q63" s="3"/>
      <c r="R63" s="13">
        <f t="shared" si="16"/>
        <v>0</v>
      </c>
      <c r="S63" s="24"/>
      <c r="T63" s="15">
        <f t="shared" si="17"/>
        <v>9506</v>
      </c>
      <c r="U63" s="15">
        <f t="shared" si="18"/>
        <v>48</v>
      </c>
      <c r="V63" s="24"/>
      <c r="W63" s="15">
        <f t="shared" si="19"/>
        <v>0</v>
      </c>
      <c r="X63" s="15">
        <f t="shared" si="20"/>
        <v>0</v>
      </c>
      <c r="Y63" s="24"/>
      <c r="Z63" s="15">
        <f t="shared" si="21"/>
        <v>0</v>
      </c>
      <c r="AA63" s="15">
        <f t="shared" si="22"/>
        <v>0</v>
      </c>
    </row>
    <row r="64" spans="1:27" x14ac:dyDescent="0.4">
      <c r="A64" s="12" t="str">
        <f>IF(AND(INTRO!$E$37="Non endémique",INTRO!$E$41="Non endémique")," ",IF(COUNTRY_INFO!A64=0," ",COUNTRY_INFO!A64))</f>
        <v>Mali</v>
      </c>
      <c r="B64" s="12" t="str">
        <f>IF(AND(INTRO!$E$37="Non endémique",INTRO!$E$41="Non endémique")," ",IF(COUNTRY_INFO!B64=0," ",COUNTRY_INFO!B64))</f>
        <v>Kidal</v>
      </c>
      <c r="C64" s="12" t="str">
        <f>IF(AND(INTRO!$E$37="Non endémique",INTRO!$E$41="Non endémique")," ",IF(COUNTRY_INFO!C64=0," ",COUNTRY_INFO!C64))</f>
        <v>Abeibara</v>
      </c>
      <c r="D64" s="13">
        <f>IF(AND(INTRO!$E$37="Non endémique",INTRO!$E$41="Non endémique"),0,IF(AND(OR(COUNTRY_INFO!$H64=0,COUNTRY_INFO!$H64=4,COUNTRY_INFO!$H64=99),OR(COUNTRY_INFO!$J64=0,COUNTRY_INFO!$J64=4)),0,COUNTRY_INFO!$E64))</f>
        <v>1941</v>
      </c>
      <c r="E64" s="13">
        <f>IF(AND(INTRO!$E$37="Non endémique",INTRO!$E$41="Non endémique"),0,IF(AND(OR(COUNTRY_INFO!$H64=0,COUNTRY_INFO!$H64=4,COUNTRY_INFO!$H64=99),OR(COUNTRY_INFO!$J64=0,COUNTRY_INFO!$J64=4)),0,COUNTRY_INFO!$F64))</f>
        <v>3882</v>
      </c>
      <c r="F64" s="13">
        <f t="shared" si="12"/>
        <v>5823</v>
      </c>
      <c r="G64" s="14">
        <f>IF(AND(INTRO!$E$37="Non endémique",INTRO!$E$41="Non endémique"),0,COUNTRY_INFO!P64)</f>
        <v>1</v>
      </c>
      <c r="H64" s="14">
        <f>IF(AND(INTRO!$E$37="Non endémique",INTRO!$E$41="Non endémique"),0,COUNTRY_INFO!R64)</f>
        <v>1</v>
      </c>
      <c r="I64" s="13">
        <f>IF(INTRO!$E$39="Non endémique",IF($G64=1,DEC!I64,0),IF($G64=1,IVM!G64,0))</f>
        <v>11022</v>
      </c>
      <c r="J64" s="27" t="s">
        <v>245</v>
      </c>
      <c r="K64" s="48">
        <f>IF($J64="ALB", IF(INTRO!$E$39="Non endémique",IF($H64&lt;&gt;0,$D64*($H64-$G64),0),$D64*$H64), 0)</f>
        <v>1941</v>
      </c>
      <c r="L64" s="13">
        <f t="shared" si="13"/>
        <v>0</v>
      </c>
      <c r="M64" s="3"/>
      <c r="N64" s="13">
        <f t="shared" si="14"/>
        <v>1941</v>
      </c>
      <c r="O64" s="48">
        <f>IF($J64="MBD", IF(INTRO!$E$39="Non endémique",IF($H64&lt;&gt;0,$D64*($H64-$G64),0),$D64*$H64),0)</f>
        <v>0</v>
      </c>
      <c r="P64" s="13">
        <f t="shared" si="15"/>
        <v>0</v>
      </c>
      <c r="Q64" s="3"/>
      <c r="R64" s="13">
        <f t="shared" si="16"/>
        <v>0</v>
      </c>
      <c r="S64" s="24"/>
      <c r="T64" s="15">
        <f t="shared" si="17"/>
        <v>11022</v>
      </c>
      <c r="U64" s="15">
        <f t="shared" si="18"/>
        <v>56</v>
      </c>
      <c r="V64" s="24"/>
      <c r="W64" s="15">
        <f t="shared" si="19"/>
        <v>0</v>
      </c>
      <c r="X64" s="15">
        <f t="shared" si="20"/>
        <v>0</v>
      </c>
      <c r="Y64" s="24"/>
      <c r="Z64" s="15">
        <f t="shared" si="21"/>
        <v>0</v>
      </c>
      <c r="AA64" s="15">
        <f t="shared" si="22"/>
        <v>0</v>
      </c>
    </row>
    <row r="65" spans="1:27" x14ac:dyDescent="0.4">
      <c r="A65" s="12" t="str">
        <f>IF(AND(INTRO!$E$37="Non endémique",INTRO!$E$41="Non endémique")," ",IF(COUNTRY_INFO!A65=0," ",COUNTRY_INFO!A65))</f>
        <v>Mali</v>
      </c>
      <c r="B65" s="12" t="str">
        <f>IF(AND(INTRO!$E$37="Non endémique",INTRO!$E$41="Non endémique")," ",IF(COUNTRY_INFO!B65=0," ",COUNTRY_INFO!B65))</f>
        <v>Kidal</v>
      </c>
      <c r="C65" s="12" t="str">
        <f>IF(AND(INTRO!$E$37="Non endémique",INTRO!$E$41="Non endémique")," ",IF(COUNTRY_INFO!C65=0," ",COUNTRY_INFO!C65))</f>
        <v>Kidal</v>
      </c>
      <c r="D65" s="13">
        <f>IF(AND(INTRO!$E$37="Non endémique",INTRO!$E$41="Non endémique"),0,IF(AND(OR(COUNTRY_INFO!$H65=0,COUNTRY_INFO!$H65=4,COUNTRY_INFO!$H65=99),OR(COUNTRY_INFO!$J65=0,COUNTRY_INFO!$J65=4)),0,COUNTRY_INFO!$E65))</f>
        <v>6244</v>
      </c>
      <c r="E65" s="13">
        <f>IF(AND(INTRO!$E$37="Non endémique",INTRO!$E$41="Non endémique"),0,IF(AND(OR(COUNTRY_INFO!$H65=0,COUNTRY_INFO!$H65=4,COUNTRY_INFO!$H65=99),OR(COUNTRY_INFO!$J65=0,COUNTRY_INFO!$J65=4)),0,COUNTRY_INFO!$F65))</f>
        <v>12487</v>
      </c>
      <c r="F65" s="13">
        <f t="shared" si="12"/>
        <v>18731</v>
      </c>
      <c r="G65" s="14">
        <f>IF(AND(INTRO!$E$37="Non endémique",INTRO!$E$41="Non endémique"),0,COUNTRY_INFO!P65)</f>
        <v>1</v>
      </c>
      <c r="H65" s="14">
        <f>IF(AND(INTRO!$E$37="Non endémique",INTRO!$E$41="Non endémique"),0,COUNTRY_INFO!R65)</f>
        <v>1</v>
      </c>
      <c r="I65" s="13">
        <f>IF(INTRO!$E$39="Non endémique",IF($G65=1,DEC!I65,0),IF($G65=1,IVM!G65,0))</f>
        <v>35455</v>
      </c>
      <c r="J65" s="27" t="s">
        <v>245</v>
      </c>
      <c r="K65" s="48">
        <f>IF($J65="ALB", IF(INTRO!$E$39="Non endémique",IF($H65&lt;&gt;0,$D65*($H65-$G65),0),$D65*$H65), 0)</f>
        <v>6244</v>
      </c>
      <c r="L65" s="13">
        <f t="shared" si="13"/>
        <v>0</v>
      </c>
      <c r="M65" s="3"/>
      <c r="N65" s="13">
        <f t="shared" si="14"/>
        <v>6244</v>
      </c>
      <c r="O65" s="48">
        <f>IF($J65="MBD", IF(INTRO!$E$39="Non endémique",IF($H65&lt;&gt;0,$D65*($H65-$G65),0),$D65*$H65),0)</f>
        <v>0</v>
      </c>
      <c r="P65" s="13">
        <f t="shared" si="15"/>
        <v>0</v>
      </c>
      <c r="Q65" s="3"/>
      <c r="R65" s="13">
        <f t="shared" si="16"/>
        <v>0</v>
      </c>
      <c r="S65" s="24"/>
      <c r="T65" s="15">
        <f t="shared" si="17"/>
        <v>35455</v>
      </c>
      <c r="U65" s="15">
        <f t="shared" si="18"/>
        <v>178</v>
      </c>
      <c r="V65" s="24"/>
      <c r="W65" s="15">
        <f t="shared" si="19"/>
        <v>0</v>
      </c>
      <c r="X65" s="15">
        <f t="shared" si="20"/>
        <v>0</v>
      </c>
      <c r="Y65" s="24"/>
      <c r="Z65" s="15">
        <f t="shared" si="21"/>
        <v>0</v>
      </c>
      <c r="AA65" s="15">
        <f t="shared" si="22"/>
        <v>0</v>
      </c>
    </row>
    <row r="66" spans="1:27" x14ac:dyDescent="0.4">
      <c r="A66" s="12" t="str">
        <f>IF(AND(INTRO!$E$37="Non endémique",INTRO!$E$41="Non endémique")," ",IF(COUNTRY_INFO!A66=0," ",COUNTRY_INFO!A66))</f>
        <v>Mali</v>
      </c>
      <c r="B66" s="12" t="str">
        <f>IF(AND(INTRO!$E$37="Non endémique",INTRO!$E$41="Non endémique")," ",IF(COUNTRY_INFO!B66=0," ",COUNTRY_INFO!B66))</f>
        <v>Kidal</v>
      </c>
      <c r="C66" s="12" t="str">
        <f>IF(AND(INTRO!$E$37="Non endémique",INTRO!$E$41="Non endémique")," ",IF(COUNTRY_INFO!C66=0," ",COUNTRY_INFO!C66))</f>
        <v>Tessalit</v>
      </c>
      <c r="D66" s="13">
        <f>IF(AND(INTRO!$E$37="Non endémique",INTRO!$E$41="Non endémique"),0,IF(AND(OR(COUNTRY_INFO!$H66=0,COUNTRY_INFO!$H66=4,COUNTRY_INFO!$H66=99),OR(COUNTRY_INFO!$J66=0,COUNTRY_INFO!$J66=4)),0,COUNTRY_INFO!$E66))</f>
        <v>3074</v>
      </c>
      <c r="E66" s="13">
        <f>IF(AND(INTRO!$E$37="Non endémique",INTRO!$E$41="Non endémique"),0,IF(AND(OR(COUNTRY_INFO!$H66=0,COUNTRY_INFO!$H66=4,COUNTRY_INFO!$H66=99),OR(COUNTRY_INFO!$J66=0,COUNTRY_INFO!$J66=4)),0,COUNTRY_INFO!$F66))</f>
        <v>6148</v>
      </c>
      <c r="F66" s="13">
        <f t="shared" si="12"/>
        <v>9222</v>
      </c>
      <c r="G66" s="14">
        <f>IF(AND(INTRO!$E$37="Non endémique",INTRO!$E$41="Non endémique"),0,COUNTRY_INFO!P66)</f>
        <v>1</v>
      </c>
      <c r="H66" s="14">
        <f>IF(AND(INTRO!$E$37="Non endémique",INTRO!$E$41="Non endémique"),0,COUNTRY_INFO!R66)</f>
        <v>1</v>
      </c>
      <c r="I66" s="13">
        <f>IF(INTRO!$E$39="Non endémique",IF($G66=1,DEC!I66,0),IF($G66=1,IVM!G66,0))</f>
        <v>17455</v>
      </c>
      <c r="J66" s="27" t="s">
        <v>245</v>
      </c>
      <c r="K66" s="48">
        <f>IF($J66="ALB", IF(INTRO!$E$39="Non endémique",IF($H66&lt;&gt;0,$D66*($H66-$G66),0),$D66*$H66), 0)</f>
        <v>3074</v>
      </c>
      <c r="L66" s="13">
        <f t="shared" si="13"/>
        <v>0</v>
      </c>
      <c r="M66" s="3"/>
      <c r="N66" s="13">
        <f t="shared" si="14"/>
        <v>3074</v>
      </c>
      <c r="O66" s="48">
        <f>IF($J66="MBD", IF(INTRO!$E$39="Non endémique",IF($H66&lt;&gt;0,$D66*($H66-$G66),0),$D66*$H66),0)</f>
        <v>0</v>
      </c>
      <c r="P66" s="13">
        <f t="shared" si="15"/>
        <v>0</v>
      </c>
      <c r="Q66" s="3"/>
      <c r="R66" s="13">
        <f t="shared" si="16"/>
        <v>0</v>
      </c>
      <c r="S66" s="24"/>
      <c r="T66" s="15">
        <f t="shared" si="17"/>
        <v>17455</v>
      </c>
      <c r="U66" s="15">
        <f t="shared" si="18"/>
        <v>88</v>
      </c>
      <c r="V66" s="24"/>
      <c r="W66" s="15">
        <f t="shared" si="19"/>
        <v>0</v>
      </c>
      <c r="X66" s="15">
        <f t="shared" si="20"/>
        <v>0</v>
      </c>
      <c r="Y66" s="24"/>
      <c r="Z66" s="15">
        <f t="shared" si="21"/>
        <v>0</v>
      </c>
      <c r="AA66" s="15">
        <f t="shared" si="22"/>
        <v>0</v>
      </c>
    </row>
    <row r="67" spans="1:27" x14ac:dyDescent="0.4">
      <c r="A67" s="12" t="str">
        <f>IF(AND(INTRO!$E$37="Non endémique",INTRO!$E$41="Non endémique")," ",IF(COUNTRY_INFO!A67=0," ",COUNTRY_INFO!A67))</f>
        <v>Mali</v>
      </c>
      <c r="B67" s="12" t="str">
        <f>IF(AND(INTRO!$E$37="Non endémique",INTRO!$E$41="Non endémique")," ",IF(COUNTRY_INFO!B67=0," ",COUNTRY_INFO!B67))</f>
        <v>Kidal</v>
      </c>
      <c r="C67" s="12" t="str">
        <f>IF(AND(INTRO!$E$37="Non endémique",INTRO!$E$41="Non endémique")," ",IF(COUNTRY_INFO!C67=0," ",COUNTRY_INFO!C67))</f>
        <v>Tin-Essako</v>
      </c>
      <c r="D67" s="13">
        <f>IF(AND(INTRO!$E$37="Non endémique",INTRO!$E$41="Non endémique"),0,IF(AND(OR(COUNTRY_INFO!$H67=0,COUNTRY_INFO!$H67=4,COUNTRY_INFO!$H67=99),OR(COUNTRY_INFO!$J67=0,COUNTRY_INFO!$J67=4)),0,COUNTRY_INFO!$E67))</f>
        <v>1505</v>
      </c>
      <c r="E67" s="13">
        <f>IF(AND(INTRO!$E$37="Non endémique",INTRO!$E$41="Non endémique"),0,IF(AND(OR(COUNTRY_INFO!$H67=0,COUNTRY_INFO!$H67=4,COUNTRY_INFO!$H67=99),OR(COUNTRY_INFO!$J67=0,COUNTRY_INFO!$J67=4)),0,COUNTRY_INFO!$F67))</f>
        <v>3010</v>
      </c>
      <c r="F67" s="13">
        <f t="shared" si="12"/>
        <v>4515</v>
      </c>
      <c r="G67" s="14">
        <f>IF(AND(INTRO!$E$37="Non endémique",INTRO!$E$41="Non endémique"),0,COUNTRY_INFO!P67)</f>
        <v>1</v>
      </c>
      <c r="H67" s="14">
        <f>IF(AND(INTRO!$E$37="Non endémique",INTRO!$E$41="Non endémique"),0,COUNTRY_INFO!R67)</f>
        <v>1</v>
      </c>
      <c r="I67" s="13">
        <f>IF(INTRO!$E$39="Non endémique",IF($G67=1,DEC!I67,0),IF($G67=1,IVM!G67,0))</f>
        <v>8547</v>
      </c>
      <c r="J67" s="27" t="s">
        <v>245</v>
      </c>
      <c r="K67" s="48">
        <f>IF($J67="ALB", IF(INTRO!$E$39="Non endémique",IF($H67&lt;&gt;0,$D67*($H67-$G67),0),$D67*$H67), 0)</f>
        <v>1505</v>
      </c>
      <c r="L67" s="13">
        <f t="shared" si="13"/>
        <v>0</v>
      </c>
      <c r="M67" s="3"/>
      <c r="N67" s="13">
        <f t="shared" si="14"/>
        <v>1505</v>
      </c>
      <c r="O67" s="48">
        <f>IF($J67="MBD", IF(INTRO!$E$39="Non endémique",IF($H67&lt;&gt;0,$D67*($H67-$G67),0),$D67*$H67),0)</f>
        <v>0</v>
      </c>
      <c r="P67" s="13">
        <f t="shared" si="15"/>
        <v>0</v>
      </c>
      <c r="Q67" s="3"/>
      <c r="R67" s="13">
        <f t="shared" si="16"/>
        <v>0</v>
      </c>
      <c r="S67" s="24"/>
      <c r="T67" s="15">
        <f t="shared" si="17"/>
        <v>8547</v>
      </c>
      <c r="U67" s="15">
        <f t="shared" si="18"/>
        <v>43</v>
      </c>
      <c r="V67" s="24"/>
      <c r="W67" s="15">
        <f t="shared" si="19"/>
        <v>0</v>
      </c>
      <c r="X67" s="15">
        <f t="shared" si="20"/>
        <v>0</v>
      </c>
      <c r="Y67" s="24"/>
      <c r="Z67" s="15">
        <f t="shared" si="21"/>
        <v>0</v>
      </c>
      <c r="AA67" s="15">
        <f t="shared" si="22"/>
        <v>0</v>
      </c>
    </row>
    <row r="68" spans="1:27" x14ac:dyDescent="0.4">
      <c r="A68" s="12" t="str">
        <f>IF(AND(INTRO!$E$37="Non endémique",INTRO!$E$41="Non endémique")," ",IF(COUNTRY_INFO!A68=0," ",COUNTRY_INFO!A68))</f>
        <v>Mali</v>
      </c>
      <c r="B68" s="12" t="str">
        <f>IF(AND(INTRO!$E$37="Non endémique",INTRO!$E$41="Non endémique")," ",IF(COUNTRY_INFO!B68=0," ",COUNTRY_INFO!B68))</f>
        <v>Bamako</v>
      </c>
      <c r="C68" s="12" t="str">
        <f>IF(AND(INTRO!$E$37="Non endémique",INTRO!$E$41="Non endémique")," ",IF(COUNTRY_INFO!C68=0," ",COUNTRY_INFO!C68))</f>
        <v>Commune 1</v>
      </c>
      <c r="D68" s="13">
        <f>IF(AND(INTRO!$E$37="Non endémique",INTRO!$E$41="Non endémique"),0,IF(AND(OR(COUNTRY_INFO!$H68=0,COUNTRY_INFO!$H68=4,COUNTRY_INFO!$H68=99),OR(COUNTRY_INFO!$J68=0,COUNTRY_INFO!$J68=4)),0,COUNTRY_INFO!$E68))</f>
        <v>0</v>
      </c>
      <c r="E68" s="13">
        <f>IF(AND(INTRO!$E$37="Non endémique",INTRO!$E$41="Non endémique"),0,IF(AND(OR(COUNTRY_INFO!$H68=0,COUNTRY_INFO!$H68=4,COUNTRY_INFO!$H68=99),OR(COUNTRY_INFO!$J68=0,COUNTRY_INFO!$J68=4)),0,COUNTRY_INFO!$F68))</f>
        <v>0</v>
      </c>
      <c r="F68" s="13">
        <f t="shared" si="12"/>
        <v>0</v>
      </c>
      <c r="G68" s="14">
        <f>IF(AND(INTRO!$E$37="Non endémique",INTRO!$E$41="Non endémique"),0,COUNTRY_INFO!P68)</f>
        <v>0</v>
      </c>
      <c r="H68" s="14">
        <f>IF(AND(INTRO!$E$37="Non endémique",INTRO!$E$41="Non endémique"),0,COUNTRY_INFO!R68)</f>
        <v>0</v>
      </c>
      <c r="I68" s="13">
        <f>IF(INTRO!$E$39="Non endémique",IF($G68=1,DEC!I68,0),IF($G68=1,IVM!G68,0))</f>
        <v>0</v>
      </c>
      <c r="J68" s="27" t="s">
        <v>245</v>
      </c>
      <c r="K68" s="48">
        <f>IF($J68="ALB", IF(INTRO!$E$39="Non endémique",IF($H68&lt;&gt;0,$D68*($H68-$G68),0),$D68*$H68), 0)</f>
        <v>0</v>
      </c>
      <c r="L68" s="13">
        <f t="shared" si="13"/>
        <v>0</v>
      </c>
      <c r="M68" s="3"/>
      <c r="N68" s="13">
        <f t="shared" si="14"/>
        <v>0</v>
      </c>
      <c r="O68" s="48">
        <f>IF($J68="MBD", IF(INTRO!$E$39="Non endémique",IF($H68&lt;&gt;0,$D68*($H68-$G68),0),$D68*$H68),0)</f>
        <v>0</v>
      </c>
      <c r="P68" s="13">
        <f t="shared" si="15"/>
        <v>0</v>
      </c>
      <c r="Q68" s="3"/>
      <c r="R68" s="13">
        <f t="shared" si="16"/>
        <v>0</v>
      </c>
      <c r="S68" s="24"/>
      <c r="T68" s="15">
        <f t="shared" si="17"/>
        <v>0</v>
      </c>
      <c r="U68" s="15">
        <f t="shared" si="18"/>
        <v>0</v>
      </c>
      <c r="V68" s="24"/>
      <c r="W68" s="15">
        <f t="shared" si="19"/>
        <v>0</v>
      </c>
      <c r="X68" s="15">
        <f t="shared" si="20"/>
        <v>0</v>
      </c>
      <c r="Y68" s="24"/>
      <c r="Z68" s="15">
        <f t="shared" si="21"/>
        <v>0</v>
      </c>
      <c r="AA68" s="15">
        <f t="shared" si="22"/>
        <v>0</v>
      </c>
    </row>
    <row r="69" spans="1:27" x14ac:dyDescent="0.4">
      <c r="A69" s="12" t="str">
        <f>IF(AND(INTRO!$E$37="Non endémique",INTRO!$E$41="Non endémique")," ",IF(COUNTRY_INFO!A69=0," ",COUNTRY_INFO!A69))</f>
        <v>Mali</v>
      </c>
      <c r="B69" s="12" t="str">
        <f>IF(AND(INTRO!$E$37="Non endémique",INTRO!$E$41="Non endémique")," ",IF(COUNTRY_INFO!B69=0," ",COUNTRY_INFO!B69))</f>
        <v>Bamako</v>
      </c>
      <c r="C69" s="12" t="str">
        <f>IF(AND(INTRO!$E$37="Non endémique",INTRO!$E$41="Non endémique")," ",IF(COUNTRY_INFO!C69=0," ",COUNTRY_INFO!C69))</f>
        <v>Commune 2</v>
      </c>
      <c r="D69" s="13">
        <f>IF(AND(INTRO!$E$37="Non endémique",INTRO!$E$41="Non endémique"),0,IF(AND(OR(COUNTRY_INFO!$H69=0,COUNTRY_INFO!$H69=4,COUNTRY_INFO!$H69=99),OR(COUNTRY_INFO!$J69=0,COUNTRY_INFO!$J69=4)),0,COUNTRY_INFO!$E69))</f>
        <v>0</v>
      </c>
      <c r="E69" s="13">
        <f>IF(AND(INTRO!$E$37="Non endémique",INTRO!$E$41="Non endémique"),0,IF(AND(OR(COUNTRY_INFO!$H69=0,COUNTRY_INFO!$H69=4,COUNTRY_INFO!$H69=99),OR(COUNTRY_INFO!$J69=0,COUNTRY_INFO!$J69=4)),0,COUNTRY_INFO!$F69))</f>
        <v>0</v>
      </c>
      <c r="F69" s="13">
        <f t="shared" si="12"/>
        <v>0</v>
      </c>
      <c r="G69" s="14">
        <f>IF(AND(INTRO!$E$37="Non endémique",INTRO!$E$41="Non endémique"),0,COUNTRY_INFO!P69)</f>
        <v>0</v>
      </c>
      <c r="H69" s="14">
        <f>IF(AND(INTRO!$E$37="Non endémique",INTRO!$E$41="Non endémique"),0,COUNTRY_INFO!R69)</f>
        <v>0</v>
      </c>
      <c r="I69" s="13">
        <f>IF(INTRO!$E$39="Non endémique",IF($G69=1,DEC!I69,0),IF($G69=1,IVM!G69,0))</f>
        <v>0</v>
      </c>
      <c r="J69" s="27" t="s">
        <v>245</v>
      </c>
      <c r="K69" s="48">
        <f>IF($J69="ALB", IF(INTRO!$E$39="Non endémique",IF($H69&lt;&gt;0,$D69*($H69-$G69),0),$D69*$H69), 0)</f>
        <v>0</v>
      </c>
      <c r="L69" s="13">
        <f t="shared" si="13"/>
        <v>0</v>
      </c>
      <c r="M69" s="3"/>
      <c r="N69" s="13">
        <f t="shared" si="14"/>
        <v>0</v>
      </c>
      <c r="O69" s="48">
        <f>IF($J69="MBD", IF(INTRO!$E$39="Non endémique",IF($H69&lt;&gt;0,$D69*($H69-$G69),0),$D69*$H69),0)</f>
        <v>0</v>
      </c>
      <c r="P69" s="13">
        <f t="shared" si="15"/>
        <v>0</v>
      </c>
      <c r="Q69" s="3"/>
      <c r="R69" s="13">
        <f t="shared" si="16"/>
        <v>0</v>
      </c>
      <c r="S69" s="24"/>
      <c r="T69" s="15">
        <f t="shared" si="17"/>
        <v>0</v>
      </c>
      <c r="U69" s="15">
        <f t="shared" si="18"/>
        <v>0</v>
      </c>
      <c r="V69" s="24"/>
      <c r="W69" s="15">
        <f t="shared" si="19"/>
        <v>0</v>
      </c>
      <c r="X69" s="15">
        <f t="shared" si="20"/>
        <v>0</v>
      </c>
      <c r="Y69" s="24"/>
      <c r="Z69" s="15">
        <f t="shared" si="21"/>
        <v>0</v>
      </c>
      <c r="AA69" s="15">
        <f t="shared" si="22"/>
        <v>0</v>
      </c>
    </row>
    <row r="70" spans="1:27" x14ac:dyDescent="0.4">
      <c r="A70" s="12" t="str">
        <f>IF(AND(INTRO!$E$37="Non endémique",INTRO!$E$41="Non endémique")," ",IF(COUNTRY_INFO!A70=0," ",COUNTRY_INFO!A70))</f>
        <v>Mali</v>
      </c>
      <c r="B70" s="12" t="str">
        <f>IF(AND(INTRO!$E$37="Non endémique",INTRO!$E$41="Non endémique")," ",IF(COUNTRY_INFO!B70=0," ",COUNTRY_INFO!B70))</f>
        <v>Bamako</v>
      </c>
      <c r="C70" s="12" t="str">
        <f>IF(AND(INTRO!$E$37="Non endémique",INTRO!$E$41="Non endémique")," ",IF(COUNTRY_INFO!C70=0," ",COUNTRY_INFO!C70))</f>
        <v>Commune 3</v>
      </c>
      <c r="D70" s="13">
        <f>IF(AND(INTRO!$E$37="Non endémique",INTRO!$E$41="Non endémique"),0,IF(AND(OR(COUNTRY_INFO!$H70=0,COUNTRY_INFO!$H70=4,COUNTRY_INFO!$H70=99),OR(COUNTRY_INFO!$J70=0,COUNTRY_INFO!$J70=4)),0,COUNTRY_INFO!$E70))</f>
        <v>0</v>
      </c>
      <c r="E70" s="13">
        <f>IF(AND(INTRO!$E$37="Non endémique",INTRO!$E$41="Non endémique"),0,IF(AND(OR(COUNTRY_INFO!$H70=0,COUNTRY_INFO!$H70=4,COUNTRY_INFO!$H70=99),OR(COUNTRY_INFO!$J70=0,COUNTRY_INFO!$J70=4)),0,COUNTRY_INFO!$F70))</f>
        <v>0</v>
      </c>
      <c r="F70" s="13">
        <f t="shared" si="12"/>
        <v>0</v>
      </c>
      <c r="G70" s="14">
        <f>IF(AND(INTRO!$E$37="Non endémique",INTRO!$E$41="Non endémique"),0,COUNTRY_INFO!P70)</f>
        <v>0</v>
      </c>
      <c r="H70" s="14">
        <f>IF(AND(INTRO!$E$37="Non endémique",INTRO!$E$41="Non endémique"),0,COUNTRY_INFO!R70)</f>
        <v>0</v>
      </c>
      <c r="I70" s="13">
        <f>IF(INTRO!$E$39="Non endémique",IF($G70=1,DEC!I70,0),IF($G70=1,IVM!G70,0))</f>
        <v>0</v>
      </c>
      <c r="J70" s="27" t="s">
        <v>245</v>
      </c>
      <c r="K70" s="48">
        <f>IF($J70="ALB", IF(INTRO!$E$39="Non endémique",IF($H70&lt;&gt;0,$D70*($H70-$G70),0),$D70*$H70), 0)</f>
        <v>0</v>
      </c>
      <c r="L70" s="13">
        <f t="shared" si="13"/>
        <v>0</v>
      </c>
      <c r="M70" s="3"/>
      <c r="N70" s="13">
        <f t="shared" si="14"/>
        <v>0</v>
      </c>
      <c r="O70" s="48">
        <f>IF($J70="MBD", IF(INTRO!$E$39="Non endémique",IF($H70&lt;&gt;0,$D70*($H70-$G70),0),$D70*$H70),0)</f>
        <v>0</v>
      </c>
      <c r="P70" s="13">
        <f t="shared" si="15"/>
        <v>0</v>
      </c>
      <c r="Q70" s="3"/>
      <c r="R70" s="13">
        <f t="shared" si="16"/>
        <v>0</v>
      </c>
      <c r="S70" s="24"/>
      <c r="T70" s="15">
        <f t="shared" si="17"/>
        <v>0</v>
      </c>
      <c r="U70" s="15">
        <f t="shared" si="18"/>
        <v>0</v>
      </c>
      <c r="V70" s="24"/>
      <c r="W70" s="15">
        <f t="shared" si="19"/>
        <v>0</v>
      </c>
      <c r="X70" s="15">
        <f t="shared" si="20"/>
        <v>0</v>
      </c>
      <c r="Y70" s="24"/>
      <c r="Z70" s="15">
        <f t="shared" si="21"/>
        <v>0</v>
      </c>
      <c r="AA70" s="15">
        <f t="shared" si="22"/>
        <v>0</v>
      </c>
    </row>
    <row r="71" spans="1:27" x14ac:dyDescent="0.4">
      <c r="A71" s="12" t="str">
        <f>IF(AND(INTRO!$E$37="Non endémique",INTRO!$E$41="Non endémique")," ",IF(COUNTRY_INFO!A71=0," ",COUNTRY_INFO!A71))</f>
        <v>Mali</v>
      </c>
      <c r="B71" s="12" t="str">
        <f>IF(AND(INTRO!$E$37="Non endémique",INTRO!$E$41="Non endémique")," ",IF(COUNTRY_INFO!B71=0," ",COUNTRY_INFO!B71))</f>
        <v>Bamako</v>
      </c>
      <c r="C71" s="12" t="str">
        <f>IF(AND(INTRO!$E$37="Non endémique",INTRO!$E$41="Non endémique")," ",IF(COUNTRY_INFO!C71=0," ",COUNTRY_INFO!C71))</f>
        <v>Commune 4</v>
      </c>
      <c r="D71" s="13">
        <f>IF(AND(INTRO!$E$37="Non endémique",INTRO!$E$41="Non endémique"),0,IF(AND(OR(COUNTRY_INFO!$H71=0,COUNTRY_INFO!$H71=4,COUNTRY_INFO!$H71=99),OR(COUNTRY_INFO!$J71=0,COUNTRY_INFO!$J71=4)),0,COUNTRY_INFO!$E71))</f>
        <v>0</v>
      </c>
      <c r="E71" s="13">
        <f>IF(AND(INTRO!$E$37="Non endémique",INTRO!$E$41="Non endémique"),0,IF(AND(OR(COUNTRY_INFO!$H71=0,COUNTRY_INFO!$H71=4,COUNTRY_INFO!$H71=99),OR(COUNTRY_INFO!$J71=0,COUNTRY_INFO!$J71=4)),0,COUNTRY_INFO!$F71))</f>
        <v>0</v>
      </c>
      <c r="F71" s="13">
        <f t="shared" si="12"/>
        <v>0</v>
      </c>
      <c r="G71" s="14">
        <f>IF(AND(INTRO!$E$37="Non endémique",INTRO!$E$41="Non endémique"),0,COUNTRY_INFO!P71)</f>
        <v>0</v>
      </c>
      <c r="H71" s="14">
        <f>IF(AND(INTRO!$E$37="Non endémique",INTRO!$E$41="Non endémique"),0,COUNTRY_INFO!R71)</f>
        <v>0</v>
      </c>
      <c r="I71" s="13">
        <f>IF(INTRO!$E$39="Non endémique",IF($G71=1,DEC!I71,0),IF($G71=1,IVM!G71,0))</f>
        <v>0</v>
      </c>
      <c r="J71" s="27" t="s">
        <v>245</v>
      </c>
      <c r="K71" s="48">
        <f>IF($J71="ALB", IF(INTRO!$E$39="Non endémique",IF($H71&lt;&gt;0,$D71*($H71-$G71),0),$D71*$H71), 0)</f>
        <v>0</v>
      </c>
      <c r="L71" s="13">
        <f t="shared" si="13"/>
        <v>0</v>
      </c>
      <c r="M71" s="3"/>
      <c r="N71" s="13">
        <f t="shared" si="14"/>
        <v>0</v>
      </c>
      <c r="O71" s="48">
        <f>IF($J71="MBD", IF(INTRO!$E$39="Non endémique",IF($H71&lt;&gt;0,$D71*($H71-$G71),0),$D71*$H71),0)</f>
        <v>0</v>
      </c>
      <c r="P71" s="13">
        <f t="shared" si="15"/>
        <v>0</v>
      </c>
      <c r="Q71" s="3"/>
      <c r="R71" s="13">
        <f t="shared" si="16"/>
        <v>0</v>
      </c>
      <c r="S71" s="24"/>
      <c r="T71" s="15">
        <f t="shared" si="17"/>
        <v>0</v>
      </c>
      <c r="U71" s="15">
        <f t="shared" si="18"/>
        <v>0</v>
      </c>
      <c r="V71" s="24"/>
      <c r="W71" s="15">
        <f t="shared" si="19"/>
        <v>0</v>
      </c>
      <c r="X71" s="15">
        <f t="shared" si="20"/>
        <v>0</v>
      </c>
      <c r="Y71" s="24"/>
      <c r="Z71" s="15">
        <f t="shared" si="21"/>
        <v>0</v>
      </c>
      <c r="AA71" s="15">
        <f t="shared" si="22"/>
        <v>0</v>
      </c>
    </row>
    <row r="72" spans="1:27" x14ac:dyDescent="0.4">
      <c r="A72" s="12" t="str">
        <f>IF(AND(INTRO!$E$37="Non endémique",INTRO!$E$41="Non endémique")," ",IF(COUNTRY_INFO!A72=0," ",COUNTRY_INFO!A72))</f>
        <v>Mali</v>
      </c>
      <c r="B72" s="12" t="str">
        <f>IF(AND(INTRO!$E$37="Non endémique",INTRO!$E$41="Non endémique")," ",IF(COUNTRY_INFO!B72=0," ",COUNTRY_INFO!B72))</f>
        <v>Bamako</v>
      </c>
      <c r="C72" s="12" t="str">
        <f>IF(AND(INTRO!$E$37="Non endémique",INTRO!$E$41="Non endémique")," ",IF(COUNTRY_INFO!C72=0," ",COUNTRY_INFO!C72))</f>
        <v>Commune 5</v>
      </c>
      <c r="D72" s="13">
        <f>IF(AND(INTRO!$E$37="Non endémique",INTRO!$E$41="Non endémique"),0,IF(AND(OR(COUNTRY_INFO!$H72=0,COUNTRY_INFO!$H72=4,COUNTRY_INFO!$H72=99),OR(COUNTRY_INFO!$J72=0,COUNTRY_INFO!$J72=4)),0,COUNTRY_INFO!$E72))</f>
        <v>0</v>
      </c>
      <c r="E72" s="13">
        <f>IF(AND(INTRO!$E$37="Non endémique",INTRO!$E$41="Non endémique"),0,IF(AND(OR(COUNTRY_INFO!$H72=0,COUNTRY_INFO!$H72=4,COUNTRY_INFO!$H72=99),OR(COUNTRY_INFO!$J72=0,COUNTRY_INFO!$J72=4)),0,COUNTRY_INFO!$F72))</f>
        <v>0</v>
      </c>
      <c r="F72" s="13">
        <f t="shared" si="12"/>
        <v>0</v>
      </c>
      <c r="G72" s="14">
        <f>IF(AND(INTRO!$E$37="Non endémique",INTRO!$E$41="Non endémique"),0,COUNTRY_INFO!P72)</f>
        <v>0</v>
      </c>
      <c r="H72" s="14">
        <f>IF(AND(INTRO!$E$37="Non endémique",INTRO!$E$41="Non endémique"),0,COUNTRY_INFO!R72)</f>
        <v>0</v>
      </c>
      <c r="I72" s="13">
        <f>IF(INTRO!$E$39="Non endémique",IF($G72=1,DEC!I72,0),IF($G72=1,IVM!G72,0))</f>
        <v>0</v>
      </c>
      <c r="J72" s="27" t="s">
        <v>245</v>
      </c>
      <c r="K72" s="48">
        <f>IF($J72="ALB", IF(INTRO!$E$39="Non endémique",IF($H72&lt;&gt;0,$D72*($H72-$G72),0),$D72*$H72), 0)</f>
        <v>0</v>
      </c>
      <c r="L72" s="13">
        <f t="shared" si="13"/>
        <v>0</v>
      </c>
      <c r="M72" s="3"/>
      <c r="N72" s="13">
        <f t="shared" si="14"/>
        <v>0</v>
      </c>
      <c r="O72" s="48">
        <f>IF($J72="MBD", IF(INTRO!$E$39="Non endémique",IF($H72&lt;&gt;0,$D72*($H72-$G72),0),$D72*$H72),0)</f>
        <v>0</v>
      </c>
      <c r="P72" s="13">
        <f t="shared" si="15"/>
        <v>0</v>
      </c>
      <c r="Q72" s="3"/>
      <c r="R72" s="13">
        <f t="shared" si="16"/>
        <v>0</v>
      </c>
      <c r="S72" s="24"/>
      <c r="T72" s="15">
        <f t="shared" si="17"/>
        <v>0</v>
      </c>
      <c r="U72" s="15">
        <f t="shared" si="18"/>
        <v>0</v>
      </c>
      <c r="V72" s="24"/>
      <c r="W72" s="15">
        <f t="shared" si="19"/>
        <v>0</v>
      </c>
      <c r="X72" s="15">
        <f t="shared" si="20"/>
        <v>0</v>
      </c>
      <c r="Y72" s="24"/>
      <c r="Z72" s="15">
        <f t="shared" si="21"/>
        <v>0</v>
      </c>
      <c r="AA72" s="15">
        <f t="shared" si="22"/>
        <v>0</v>
      </c>
    </row>
    <row r="73" spans="1:27" x14ac:dyDescent="0.4">
      <c r="A73" s="12" t="str">
        <f>IF(AND(INTRO!$E$37="Non endémique",INTRO!$E$41="Non endémique")," ",IF(COUNTRY_INFO!A73=0," ",COUNTRY_INFO!A73))</f>
        <v>Mali</v>
      </c>
      <c r="B73" s="12" t="str">
        <f>IF(AND(INTRO!$E$37="Non endémique",INTRO!$E$41="Non endémique")," ",IF(COUNTRY_INFO!B73=0," ",COUNTRY_INFO!B73))</f>
        <v>Bamako</v>
      </c>
      <c r="C73" s="12" t="str">
        <f>IF(AND(INTRO!$E$37="Non endémique",INTRO!$E$41="Non endémique")," ",IF(COUNTRY_INFO!C73=0," ",COUNTRY_INFO!C73))</f>
        <v>Commune 6</v>
      </c>
      <c r="D73" s="13">
        <f>IF(AND(INTRO!$E$37="Non endémique",INTRO!$E$41="Non endémique"),0,IF(AND(OR(COUNTRY_INFO!$H73=0,COUNTRY_INFO!$H73=4,COUNTRY_INFO!$H73=99),OR(COUNTRY_INFO!$J73=0,COUNTRY_INFO!$J73=4)),0,COUNTRY_INFO!$E73))</f>
        <v>0</v>
      </c>
      <c r="E73" s="13">
        <f>IF(AND(INTRO!$E$37="Non endémique",INTRO!$E$41="Non endémique"),0,IF(AND(OR(COUNTRY_INFO!$H73=0,COUNTRY_INFO!$H73=4,COUNTRY_INFO!$H73=99),OR(COUNTRY_INFO!$J73=0,COUNTRY_INFO!$J73=4)),0,COUNTRY_INFO!$F73))</f>
        <v>0</v>
      </c>
      <c r="F73" s="13">
        <f t="shared" ref="F73:F83" si="23">SUM(D73:E73)</f>
        <v>0</v>
      </c>
      <c r="G73" s="14">
        <f>IF(AND(INTRO!$E$37="Non endémique",INTRO!$E$41="Non endémique"),0,COUNTRY_INFO!P73)</f>
        <v>0</v>
      </c>
      <c r="H73" s="14">
        <f>IF(AND(INTRO!$E$37="Non endémique",INTRO!$E$41="Non endémique"),0,COUNTRY_INFO!R73)</f>
        <v>0</v>
      </c>
      <c r="I73" s="13">
        <f>IF(INTRO!$E$39="Non endémique",IF($G73=1,DEC!I73,0),IF($G73=1,IVM!G73,0))</f>
        <v>0</v>
      </c>
      <c r="J73" s="27" t="s">
        <v>245</v>
      </c>
      <c r="K73" s="48">
        <f>IF($J73="ALB", IF(INTRO!$E$39="Non endémique",IF($H73&lt;&gt;0,$D73*($H73-$G73),0),$D73*$H73), 0)</f>
        <v>0</v>
      </c>
      <c r="L73" s="13">
        <f t="shared" ref="L73:L83" si="24">IF($J73="ALB", IF($H73&lt;&gt;0, IF($I73=0, $E73*$H73, $E73*($H73-$G73)),0), 0)</f>
        <v>0</v>
      </c>
      <c r="M73" s="3"/>
      <c r="N73" s="13">
        <f t="shared" ref="N73:N83" si="25">SUM(K73:M73)</f>
        <v>0</v>
      </c>
      <c r="O73" s="48">
        <f>IF($J73="MBD", IF(INTRO!$E$39="Non endémique",IF($H73&lt;&gt;0,$D73*($H73-$G73),0),$D73*$H73),0)</f>
        <v>0</v>
      </c>
      <c r="P73" s="13">
        <f t="shared" ref="P73:P83" si="26">IF($J73="MBD", IF($H73&lt;&gt;0,IF($I73=0, $E73*$H73, $E73*($H73-$G73)),0), 0 )</f>
        <v>0</v>
      </c>
      <c r="Q73" s="3"/>
      <c r="R73" s="13">
        <f t="shared" ref="R73:R83" si="27">SUM(O73:Q73)</f>
        <v>0</v>
      </c>
      <c r="S73" s="24"/>
      <c r="T73" s="15">
        <f t="shared" ref="T73:T83" si="28">IF($I73&gt;$S73, $I73-$S73,0)</f>
        <v>0</v>
      </c>
      <c r="U73" s="15">
        <f t="shared" ref="U73:U83" si="29">ROUNDUP($I73/200,0)</f>
        <v>0</v>
      </c>
      <c r="V73" s="24"/>
      <c r="W73" s="15">
        <f t="shared" ref="W73:W83" si="30">IF($L73&gt;$V73,$L73-$V73,0)</f>
        <v>0</v>
      </c>
      <c r="X73" s="15">
        <f t="shared" ref="X73:X83" si="31">ROUNDUP($L73/200,0)</f>
        <v>0</v>
      </c>
      <c r="Y73" s="24"/>
      <c r="Z73" s="15">
        <f t="shared" ref="Z73:Z83" si="32">IF($P73&gt;$Y73,$P73-$Y73,0)</f>
        <v>0</v>
      </c>
      <c r="AA73" s="15">
        <f t="shared" ref="AA73:AA83" si="33">ROUNDUP($P73/150,0)</f>
        <v>0</v>
      </c>
    </row>
    <row r="74" spans="1:27" x14ac:dyDescent="0.4">
      <c r="A74" s="12" t="str">
        <f>IF(AND(INTRO!$E$37="Non endémique",INTRO!$E$41="Non endémique")," ",IF(COUNTRY_INFO!A74=0," ",COUNTRY_INFO!A74))</f>
        <v>Mali</v>
      </c>
      <c r="B74" s="12" t="str">
        <f>IF(AND(INTRO!$E$37="Non endémique",INTRO!$E$41="Non endémique")," ",IF(COUNTRY_INFO!B74=0," ",COUNTRY_INFO!B74))</f>
        <v>Taoudenit</v>
      </c>
      <c r="C74" s="12" t="str">
        <f>IF(AND(INTRO!$E$37="Non endémique",INTRO!$E$41="Non endémique")," ",IF(COUNTRY_INFO!C74=0," ",COUNTRY_INFO!C74))</f>
        <v>Achourat</v>
      </c>
      <c r="D74" s="13">
        <f>IF(AND(INTRO!$E$37="Non endémique",INTRO!$E$41="Non endémique"),0,IF(AND(OR(COUNTRY_INFO!$H74=0,COUNTRY_INFO!$H74=4,COUNTRY_INFO!$H74=99),OR(COUNTRY_INFO!$J74=0,COUNTRY_INFO!$J74=4)),0,COUNTRY_INFO!$E74))</f>
        <v>4675</v>
      </c>
      <c r="E74" s="13">
        <f>IF(AND(INTRO!$E$37="Non endémique",INTRO!$E$41="Non endémique"),0,IF(AND(OR(COUNTRY_INFO!$H74=0,COUNTRY_INFO!$H74=4,COUNTRY_INFO!$H74=99),OR(COUNTRY_INFO!$J74=0,COUNTRY_INFO!$J74=4)),0,COUNTRY_INFO!$F74))</f>
        <v>9351</v>
      </c>
      <c r="F74" s="13">
        <f t="shared" si="23"/>
        <v>14026</v>
      </c>
      <c r="G74" s="14">
        <f>IF(AND(INTRO!$E$37="Non endémique",INTRO!$E$41="Non endémique"),0,COUNTRY_INFO!P74)</f>
        <v>1</v>
      </c>
      <c r="H74" s="14">
        <f>IF(AND(INTRO!$E$37="Non endémique",INTRO!$E$41="Non endémique"),0,COUNTRY_INFO!R74)</f>
        <v>1</v>
      </c>
      <c r="I74" s="13">
        <f>IF(INTRO!$E$39="Non endémique",IF($G74=1,DEC!I74,0),IF($G74=1,IVM!G74,0))</f>
        <v>26549</v>
      </c>
      <c r="J74" s="27" t="s">
        <v>245</v>
      </c>
      <c r="K74" s="48">
        <f>IF($J74="ALB", IF(INTRO!$E$39="Non endémique",IF($H74&lt;&gt;0,$D74*($H74-$G74),0),$D74*$H74), 0)</f>
        <v>4675</v>
      </c>
      <c r="L74" s="13">
        <f t="shared" si="24"/>
        <v>0</v>
      </c>
      <c r="M74" s="3"/>
      <c r="N74" s="13">
        <f t="shared" si="25"/>
        <v>4675</v>
      </c>
      <c r="O74" s="48">
        <f>IF($J74="MBD", IF(INTRO!$E$39="Non endémique",IF($H74&lt;&gt;0,$D74*($H74-$G74),0),$D74*$H74),0)</f>
        <v>0</v>
      </c>
      <c r="P74" s="13">
        <f t="shared" si="26"/>
        <v>0</v>
      </c>
      <c r="Q74" s="3"/>
      <c r="R74" s="13">
        <f t="shared" si="27"/>
        <v>0</v>
      </c>
      <c r="S74" s="24"/>
      <c r="T74" s="15">
        <f t="shared" si="28"/>
        <v>26549</v>
      </c>
      <c r="U74" s="15">
        <f t="shared" si="29"/>
        <v>133</v>
      </c>
      <c r="V74" s="24"/>
      <c r="W74" s="15">
        <f t="shared" si="30"/>
        <v>0</v>
      </c>
      <c r="X74" s="15">
        <f t="shared" si="31"/>
        <v>0</v>
      </c>
      <c r="Y74" s="24"/>
      <c r="Z74" s="15">
        <f t="shared" si="32"/>
        <v>0</v>
      </c>
      <c r="AA74" s="15">
        <f t="shared" si="33"/>
        <v>0</v>
      </c>
    </row>
    <row r="75" spans="1:27" x14ac:dyDescent="0.4">
      <c r="A75" s="12" t="str">
        <f>IF(AND(INTRO!$E$37="Non endémique",INTRO!$E$41="Non endémique")," ",IF(COUNTRY_INFO!A75=0," ",COUNTRY_INFO!A75))</f>
        <v>Mali</v>
      </c>
      <c r="B75" s="12" t="str">
        <f>IF(AND(INTRO!$E$37="Non endémique",INTRO!$E$41="Non endémique")," ",IF(COUNTRY_INFO!B75=0," ",COUNTRY_INFO!B75))</f>
        <v>Taoudenit</v>
      </c>
      <c r="C75" s="12" t="str">
        <f>IF(AND(INTRO!$E$37="Non endémique",INTRO!$E$41="Non endémique")," ",IF(COUNTRY_INFO!C75=0," ",COUNTRY_INFO!C75))</f>
        <v>Al-Ourch</v>
      </c>
      <c r="D75" s="13">
        <f>IF(AND(INTRO!$E$37="Non endémique",INTRO!$E$41="Non endémique"),0,IF(AND(OR(COUNTRY_INFO!$H75=0,COUNTRY_INFO!$H75=4,COUNTRY_INFO!$H75=99),OR(COUNTRY_INFO!$J75=0,COUNTRY_INFO!$J75=4)),0,COUNTRY_INFO!$E75))</f>
        <v>7829</v>
      </c>
      <c r="E75" s="13">
        <f>IF(AND(INTRO!$E$37="Non endémique",INTRO!$E$41="Non endémique"),0,IF(AND(OR(COUNTRY_INFO!$H75=0,COUNTRY_INFO!$H75=4,COUNTRY_INFO!$H75=99),OR(COUNTRY_INFO!$J75=0,COUNTRY_INFO!$J75=4)),0,COUNTRY_INFO!$F75))</f>
        <v>15658</v>
      </c>
      <c r="F75" s="13">
        <f t="shared" si="23"/>
        <v>23487</v>
      </c>
      <c r="G75" s="14">
        <f>IF(AND(INTRO!$E$37="Non endémique",INTRO!$E$41="Non endémique"),0,COUNTRY_INFO!P75)</f>
        <v>1</v>
      </c>
      <c r="H75" s="14">
        <f>IF(AND(INTRO!$E$37="Non endémique",INTRO!$E$41="Non endémique"),0,COUNTRY_INFO!R75)</f>
        <v>1</v>
      </c>
      <c r="I75" s="13">
        <f>IF(INTRO!$E$39="Non endémique",IF($G75=1,DEC!I75,0),IF($G75=1,IVM!G75,0))</f>
        <v>44458</v>
      </c>
      <c r="J75" s="27" t="s">
        <v>245</v>
      </c>
      <c r="K75" s="48">
        <f>IF($J75="ALB", IF(INTRO!$E$39="Non endémique",IF($H75&lt;&gt;0,$D75*($H75-$G75),0),$D75*$H75), 0)</f>
        <v>7829</v>
      </c>
      <c r="L75" s="13">
        <f t="shared" si="24"/>
        <v>0</v>
      </c>
      <c r="M75" s="3"/>
      <c r="N75" s="13">
        <f t="shared" si="25"/>
        <v>7829</v>
      </c>
      <c r="O75" s="48">
        <f>IF($J75="MBD", IF(INTRO!$E$39="Non endémique",IF($H75&lt;&gt;0,$D75*($H75-$G75),0),$D75*$H75),0)</f>
        <v>0</v>
      </c>
      <c r="P75" s="13">
        <f t="shared" si="26"/>
        <v>0</v>
      </c>
      <c r="Q75" s="3"/>
      <c r="R75" s="13">
        <f t="shared" si="27"/>
        <v>0</v>
      </c>
      <c r="S75" s="24"/>
      <c r="T75" s="15">
        <f t="shared" si="28"/>
        <v>44458</v>
      </c>
      <c r="U75" s="15">
        <f t="shared" si="29"/>
        <v>223</v>
      </c>
      <c r="V75" s="24"/>
      <c r="W75" s="15">
        <f t="shared" si="30"/>
        <v>0</v>
      </c>
      <c r="X75" s="15">
        <f t="shared" si="31"/>
        <v>0</v>
      </c>
      <c r="Y75" s="24"/>
      <c r="Z75" s="15">
        <f t="shared" si="32"/>
        <v>0</v>
      </c>
      <c r="AA75" s="15">
        <f t="shared" si="33"/>
        <v>0</v>
      </c>
    </row>
    <row r="76" spans="1:27" x14ac:dyDescent="0.4">
      <c r="A76" s="12" t="str">
        <f>IF(AND(INTRO!$E$37="Non endémique",INTRO!$E$41="Non endémique")," ",IF(COUNTRY_INFO!A76=0," ",COUNTRY_INFO!A76))</f>
        <v>Mali</v>
      </c>
      <c r="B76" s="12" t="str">
        <f>IF(AND(INTRO!$E$37="Non endémique",INTRO!$E$41="Non endémique")," ",IF(COUNTRY_INFO!B76=0," ",COUNTRY_INFO!B76))</f>
        <v>Taoudenit</v>
      </c>
      <c r="C76" s="12" t="str">
        <f>IF(AND(INTRO!$E$37="Non endémique",INTRO!$E$41="Non endémique")," ",IF(COUNTRY_INFO!C76=0," ",COUNTRY_INFO!C76))</f>
        <v>Araouane</v>
      </c>
      <c r="D76" s="13">
        <f>IF(AND(INTRO!$E$37="Non endémique",INTRO!$E$41="Non endémique"),0,IF(AND(OR(COUNTRY_INFO!$H76=0,COUNTRY_INFO!$H76=4,COUNTRY_INFO!$H76=99),OR(COUNTRY_INFO!$J76=0,COUNTRY_INFO!$J76=4)),0,COUNTRY_INFO!$E76))</f>
        <v>3845</v>
      </c>
      <c r="E76" s="13">
        <f>IF(AND(INTRO!$E$37="Non endémique",INTRO!$E$41="Non endémique"),0,IF(AND(OR(COUNTRY_INFO!$H76=0,COUNTRY_INFO!$H76=4,COUNTRY_INFO!$H76=99),OR(COUNTRY_INFO!$J76=0,COUNTRY_INFO!$J76=4)),0,COUNTRY_INFO!$F76))</f>
        <v>7690</v>
      </c>
      <c r="F76" s="13">
        <f t="shared" si="23"/>
        <v>11535</v>
      </c>
      <c r="G76" s="14">
        <f>IF(AND(INTRO!$E$37="Non endémique",INTRO!$E$41="Non endémique"),0,COUNTRY_INFO!P76)</f>
        <v>1</v>
      </c>
      <c r="H76" s="14">
        <f>IF(AND(INTRO!$E$37="Non endémique",INTRO!$E$41="Non endémique"),0,COUNTRY_INFO!R76)</f>
        <v>1</v>
      </c>
      <c r="I76" s="13">
        <f>IF(INTRO!$E$39="Non endémique",IF($G76=1,DEC!I76,0),IF($G76=1,IVM!G76,0))</f>
        <v>21833</v>
      </c>
      <c r="J76" s="27" t="s">
        <v>245</v>
      </c>
      <c r="K76" s="48">
        <f>IF($J76="ALB", IF(INTRO!$E$39="Non endémique",IF($H76&lt;&gt;0,$D76*($H76-$G76),0),$D76*$H76), 0)</f>
        <v>3845</v>
      </c>
      <c r="L76" s="13">
        <f t="shared" si="24"/>
        <v>0</v>
      </c>
      <c r="M76" s="3"/>
      <c r="N76" s="13">
        <f t="shared" si="25"/>
        <v>3845</v>
      </c>
      <c r="O76" s="48">
        <f>IF($J76="MBD", IF(INTRO!$E$39="Non endémique",IF($H76&lt;&gt;0,$D76*($H76-$G76),0),$D76*$H76),0)</f>
        <v>0</v>
      </c>
      <c r="P76" s="13">
        <f t="shared" si="26"/>
        <v>0</v>
      </c>
      <c r="Q76" s="3"/>
      <c r="R76" s="13">
        <f t="shared" si="27"/>
        <v>0</v>
      </c>
      <c r="S76" s="24"/>
      <c r="T76" s="15">
        <f t="shared" si="28"/>
        <v>21833</v>
      </c>
      <c r="U76" s="15">
        <f t="shared" si="29"/>
        <v>110</v>
      </c>
      <c r="V76" s="24"/>
      <c r="W76" s="15">
        <f t="shared" si="30"/>
        <v>0</v>
      </c>
      <c r="X76" s="15">
        <f t="shared" si="31"/>
        <v>0</v>
      </c>
      <c r="Y76" s="24"/>
      <c r="Z76" s="15">
        <f t="shared" si="32"/>
        <v>0</v>
      </c>
      <c r="AA76" s="15">
        <f t="shared" si="33"/>
        <v>0</v>
      </c>
    </row>
    <row r="77" spans="1:27" x14ac:dyDescent="0.4">
      <c r="A77" s="12" t="str">
        <f>IF(AND(INTRO!$E$37="Non endémique",INTRO!$E$41="Non endémique")," ",IF(COUNTRY_INFO!A77=0," ",COUNTRY_INFO!A77))</f>
        <v>Mali</v>
      </c>
      <c r="B77" s="12" t="str">
        <f>IF(AND(INTRO!$E$37="Non endémique",INTRO!$E$41="Non endémique")," ",IF(COUNTRY_INFO!B77=0," ",COUNTRY_INFO!B77))</f>
        <v>Taoudenit</v>
      </c>
      <c r="C77" s="12" t="str">
        <f>IF(AND(INTRO!$E$37="Non endémique",INTRO!$E$41="Non endémique")," ",IF(COUNTRY_INFO!C77=0," ",COUNTRY_INFO!C77))</f>
        <v>Boujbeha</v>
      </c>
      <c r="D77" s="13">
        <f>IF(AND(INTRO!$E$37="Non endémique",INTRO!$E$41="Non endémique"),0,IF(AND(OR(COUNTRY_INFO!$H77=0,COUNTRY_INFO!$H77=4,COUNTRY_INFO!$H77=99),OR(COUNTRY_INFO!$J77=0,COUNTRY_INFO!$J77=4)),0,COUNTRY_INFO!$E77))</f>
        <v>4251</v>
      </c>
      <c r="E77" s="13">
        <f>IF(AND(INTRO!$E$37="Non endémique",INTRO!$E$41="Non endémique"),0,IF(AND(OR(COUNTRY_INFO!$H77=0,COUNTRY_INFO!$H77=4,COUNTRY_INFO!$H77=99),OR(COUNTRY_INFO!$J77=0,COUNTRY_INFO!$J77=4)),0,COUNTRY_INFO!$F77))</f>
        <v>8502</v>
      </c>
      <c r="F77" s="13">
        <f t="shared" si="23"/>
        <v>12753</v>
      </c>
      <c r="G77" s="14">
        <f>IF(AND(INTRO!$E$37="Non endémique",INTRO!$E$41="Non endémique"),0,COUNTRY_INFO!P77)</f>
        <v>1</v>
      </c>
      <c r="H77" s="14">
        <f>IF(AND(INTRO!$E$37="Non endémique",INTRO!$E$41="Non endémique"),0,COUNTRY_INFO!R77)</f>
        <v>1</v>
      </c>
      <c r="I77" s="13">
        <f>IF(INTRO!$E$39="Non endémique",IF($G77=1,DEC!I77,0),IF($G77=1,IVM!G77,0))</f>
        <v>24140</v>
      </c>
      <c r="J77" s="27" t="s">
        <v>245</v>
      </c>
      <c r="K77" s="48">
        <f>IF($J77="ALB", IF(INTRO!$E$39="Non endémique",IF($H77&lt;&gt;0,$D77*($H77-$G77),0),$D77*$H77), 0)</f>
        <v>4251</v>
      </c>
      <c r="L77" s="13">
        <f t="shared" si="24"/>
        <v>0</v>
      </c>
      <c r="M77" s="3"/>
      <c r="N77" s="13">
        <f t="shared" si="25"/>
        <v>4251</v>
      </c>
      <c r="O77" s="48">
        <f>IF($J77="MBD", IF(INTRO!$E$39="Non endémique",IF($H77&lt;&gt;0,$D77*($H77-$G77),0),$D77*$H77),0)</f>
        <v>0</v>
      </c>
      <c r="P77" s="13">
        <f t="shared" si="26"/>
        <v>0</v>
      </c>
      <c r="Q77" s="3"/>
      <c r="R77" s="13">
        <f t="shared" si="27"/>
        <v>0</v>
      </c>
      <c r="S77" s="24"/>
      <c r="T77" s="15">
        <f t="shared" si="28"/>
        <v>24140</v>
      </c>
      <c r="U77" s="15">
        <f t="shared" si="29"/>
        <v>121</v>
      </c>
      <c r="V77" s="24"/>
      <c r="W77" s="15">
        <f t="shared" si="30"/>
        <v>0</v>
      </c>
      <c r="X77" s="15">
        <f t="shared" si="31"/>
        <v>0</v>
      </c>
      <c r="Y77" s="24"/>
      <c r="Z77" s="15">
        <f t="shared" si="32"/>
        <v>0</v>
      </c>
      <c r="AA77" s="15">
        <f t="shared" si="33"/>
        <v>0</v>
      </c>
    </row>
    <row r="78" spans="1:27" x14ac:dyDescent="0.4">
      <c r="A78" s="12" t="str">
        <f>IF(AND(INTRO!$E$37="Non endémique",INTRO!$E$41="Non endémique")," ",IF(COUNTRY_INFO!A78=0," ",COUNTRY_INFO!A78))</f>
        <v>Mali</v>
      </c>
      <c r="B78" s="12" t="str">
        <f>IF(AND(INTRO!$E$37="Non endémique",INTRO!$E$41="Non endémique")," ",IF(COUNTRY_INFO!B78=0," ",COUNTRY_INFO!B78))</f>
        <v>Taoudenit</v>
      </c>
      <c r="C78" s="12" t="str">
        <f>IF(AND(INTRO!$E$37="Non endémique",INTRO!$E$41="Non endémique")," ",IF(COUNTRY_INFO!C78=0," ",COUNTRY_INFO!C78))</f>
        <v>Foum-Elba</v>
      </c>
      <c r="D78" s="13">
        <f>IF(AND(INTRO!$E$37="Non endémique",INTRO!$E$41="Non endémique"),0,IF(AND(OR(COUNTRY_INFO!$H78=0,COUNTRY_INFO!$H78=4,COUNTRY_INFO!$H78=99),OR(COUNTRY_INFO!$J78=0,COUNTRY_INFO!$J78=4)),0,COUNTRY_INFO!$E78))</f>
        <v>2265</v>
      </c>
      <c r="E78" s="13">
        <f>IF(AND(INTRO!$E$37="Non endémique",INTRO!$E$41="Non endémique"),0,IF(AND(OR(COUNTRY_INFO!$H78=0,COUNTRY_INFO!$H78=4,COUNTRY_INFO!$H78=99),OR(COUNTRY_INFO!$J78=0,COUNTRY_INFO!$J78=4)),0,COUNTRY_INFO!$F78))</f>
        <v>4530</v>
      </c>
      <c r="F78" s="13">
        <f t="shared" si="23"/>
        <v>6795</v>
      </c>
      <c r="G78" s="14">
        <f>IF(AND(INTRO!$E$37="Non endémique",INTRO!$E$41="Non endémique"),0,COUNTRY_INFO!P78)</f>
        <v>1</v>
      </c>
      <c r="H78" s="14">
        <f>IF(AND(INTRO!$E$37="Non endémique",INTRO!$E$41="Non endémique"),0,COUNTRY_INFO!R78)</f>
        <v>1</v>
      </c>
      <c r="I78" s="13">
        <f>IF(INTRO!$E$39="Non endémique",IF($G78=1,DEC!I78,0),IF($G78=1,IVM!G78,0))</f>
        <v>12862</v>
      </c>
      <c r="J78" s="27" t="s">
        <v>245</v>
      </c>
      <c r="K78" s="48">
        <f>IF($J78="ALB", IF(INTRO!$E$39="Non endémique",IF($H78&lt;&gt;0,$D78*($H78-$G78),0),$D78*$H78), 0)</f>
        <v>2265</v>
      </c>
      <c r="L78" s="13">
        <f t="shared" si="24"/>
        <v>0</v>
      </c>
      <c r="M78" s="3"/>
      <c r="N78" s="13">
        <f t="shared" si="25"/>
        <v>2265</v>
      </c>
      <c r="O78" s="48">
        <f>IF($J78="MBD", IF(INTRO!$E$39="Non endémique",IF($H78&lt;&gt;0,$D78*($H78-$G78),0),$D78*$H78),0)</f>
        <v>0</v>
      </c>
      <c r="P78" s="13">
        <f t="shared" si="26"/>
        <v>0</v>
      </c>
      <c r="Q78" s="3"/>
      <c r="R78" s="13">
        <f t="shared" si="27"/>
        <v>0</v>
      </c>
      <c r="S78" s="24"/>
      <c r="T78" s="15">
        <f t="shared" si="28"/>
        <v>12862</v>
      </c>
      <c r="U78" s="15">
        <f t="shared" si="29"/>
        <v>65</v>
      </c>
      <c r="V78" s="24"/>
      <c r="W78" s="15">
        <f t="shared" si="30"/>
        <v>0</v>
      </c>
      <c r="X78" s="15">
        <f t="shared" si="31"/>
        <v>0</v>
      </c>
      <c r="Y78" s="24"/>
      <c r="Z78" s="15">
        <f t="shared" si="32"/>
        <v>0</v>
      </c>
      <c r="AA78" s="15">
        <f t="shared" si="33"/>
        <v>0</v>
      </c>
    </row>
    <row r="79" spans="1:27" x14ac:dyDescent="0.4">
      <c r="A79" s="12" t="str">
        <f>IF(AND(INTRO!$E$37="Non endémique",INTRO!$E$41="Non endémique")," ",IF(COUNTRY_INFO!A79=0," ",COUNTRY_INFO!A79))</f>
        <v>Mali</v>
      </c>
      <c r="B79" s="12" t="str">
        <f>IF(AND(INTRO!$E$37="Non endémique",INTRO!$E$41="Non endémique")," ",IF(COUNTRY_INFO!B79=0," ",COUNTRY_INFO!B79))</f>
        <v>Taoudenit</v>
      </c>
      <c r="C79" s="12" t="str">
        <f>IF(AND(INTRO!$E$37="Non endémique",INTRO!$E$41="Non endémique")," ",IF(COUNTRY_INFO!C79=0," ",COUNTRY_INFO!C79))</f>
        <v>Taoudenit</v>
      </c>
      <c r="D79" s="13">
        <f>IF(AND(INTRO!$E$37="Non endémique",INTRO!$E$41="Non endémique"),0,IF(AND(OR(COUNTRY_INFO!$H79=0,COUNTRY_INFO!$H79=4,COUNTRY_INFO!$H79=99),OR(COUNTRY_INFO!$J79=0,COUNTRY_INFO!$J79=4)),0,COUNTRY_INFO!$E79))</f>
        <v>3246</v>
      </c>
      <c r="E79" s="13">
        <f>IF(AND(INTRO!$E$37="Non endémique",INTRO!$E$41="Non endémique"),0,IF(AND(OR(COUNTRY_INFO!$H79=0,COUNTRY_INFO!$H79=4,COUNTRY_INFO!$H79=99),OR(COUNTRY_INFO!$J79=0,COUNTRY_INFO!$J79=4)),0,COUNTRY_INFO!$F79))</f>
        <v>6492</v>
      </c>
      <c r="F79" s="13">
        <f t="shared" si="23"/>
        <v>9738</v>
      </c>
      <c r="G79" s="14">
        <f>IF(AND(INTRO!$E$37="Non endémique",INTRO!$E$41="Non endémique"),0,COUNTRY_INFO!P79)</f>
        <v>1</v>
      </c>
      <c r="H79" s="14">
        <f>IF(AND(INTRO!$E$37="Non endémique",INTRO!$E$41="Non endémique"),0,COUNTRY_INFO!R79)</f>
        <v>1</v>
      </c>
      <c r="I79" s="13">
        <f>IF(INTRO!$E$39="Non endémique",IF($G79=1,DEC!I79,0),IF($G79=1,IVM!G79,0))</f>
        <v>18432</v>
      </c>
      <c r="J79" s="27" t="s">
        <v>245</v>
      </c>
      <c r="K79" s="48">
        <f>IF($J79="ALB", IF(INTRO!$E$39="Non endémique",IF($H79&lt;&gt;0,$D79*($H79-$G79),0),$D79*$H79), 0)</f>
        <v>3246</v>
      </c>
      <c r="L79" s="13">
        <f t="shared" si="24"/>
        <v>0</v>
      </c>
      <c r="M79" s="3"/>
      <c r="N79" s="13">
        <f t="shared" si="25"/>
        <v>3246</v>
      </c>
      <c r="O79" s="48">
        <f>IF($J79="MBD", IF(INTRO!$E$39="Non endémique",IF($H79&lt;&gt;0,$D79*($H79-$G79),0),$D79*$H79),0)</f>
        <v>0</v>
      </c>
      <c r="P79" s="13">
        <f t="shared" si="26"/>
        <v>0</v>
      </c>
      <c r="Q79" s="3"/>
      <c r="R79" s="13">
        <f t="shared" si="27"/>
        <v>0</v>
      </c>
      <c r="S79" s="24"/>
      <c r="T79" s="15">
        <f t="shared" si="28"/>
        <v>18432</v>
      </c>
      <c r="U79" s="15">
        <f t="shared" si="29"/>
        <v>93</v>
      </c>
      <c r="V79" s="24"/>
      <c r="W79" s="15">
        <f t="shared" si="30"/>
        <v>0</v>
      </c>
      <c r="X79" s="15">
        <f t="shared" si="31"/>
        <v>0</v>
      </c>
      <c r="Y79" s="24"/>
      <c r="Z79" s="15">
        <f t="shared" si="32"/>
        <v>0</v>
      </c>
      <c r="AA79" s="15">
        <f t="shared" si="33"/>
        <v>0</v>
      </c>
    </row>
    <row r="80" spans="1:27" x14ac:dyDescent="0.4">
      <c r="A80" s="12" t="str">
        <f>IF(AND(INTRO!$E$37="Non endémique",INTRO!$E$41="Non endémique")," ",IF(COUNTRY_INFO!A80=0," ",COUNTRY_INFO!A80))</f>
        <v>Mali</v>
      </c>
      <c r="B80" s="12" t="str">
        <f>IF(AND(INTRO!$E$37="Non endémique",INTRO!$E$41="Non endémique")," ",IF(COUNTRY_INFO!B80=0," ",COUNTRY_INFO!B80))</f>
        <v>Menaka</v>
      </c>
      <c r="C80" s="12" t="str">
        <f>IF(AND(INTRO!$E$37="Non endémique",INTRO!$E$41="Non endémique")," ",IF(COUNTRY_INFO!C80=0," ",COUNTRY_INFO!C80))</f>
        <v>Anderamboukane</v>
      </c>
      <c r="D80" s="13">
        <f>IF(AND(INTRO!$E$37="Non endémique",INTRO!$E$41="Non endémique"),0,IF(AND(OR(COUNTRY_INFO!$H80=0,COUNTRY_INFO!$H80=4,COUNTRY_INFO!$H80=99),OR(COUNTRY_INFO!$J80=0,COUNTRY_INFO!$J80=4)),0,COUNTRY_INFO!$E80))</f>
        <v>2214</v>
      </c>
      <c r="E80" s="13">
        <f>IF(AND(INTRO!$E$37="Non endémique",INTRO!$E$41="Non endémique"),0,IF(AND(OR(COUNTRY_INFO!$H80=0,COUNTRY_INFO!$H80=4,COUNTRY_INFO!$H80=99),OR(COUNTRY_INFO!$J80=0,COUNTRY_INFO!$J80=4)),0,COUNTRY_INFO!$F80))</f>
        <v>4428</v>
      </c>
      <c r="F80" s="13">
        <f t="shared" si="23"/>
        <v>6642</v>
      </c>
      <c r="G80" s="14">
        <f>IF(AND(INTRO!$E$37="Non endémique",INTRO!$E$41="Non endémique"),0,COUNTRY_INFO!P80)</f>
        <v>1</v>
      </c>
      <c r="H80" s="14">
        <f>IF(AND(INTRO!$E$37="Non endémique",INTRO!$E$41="Non endémique"),0,COUNTRY_INFO!R80)</f>
        <v>1</v>
      </c>
      <c r="I80" s="13">
        <f>IF(INTRO!$E$39="Non endémique",IF($G80=1,DEC!I80,0),IF($G80=1,IVM!G80,0))</f>
        <v>12573</v>
      </c>
      <c r="J80" s="27" t="s">
        <v>245</v>
      </c>
      <c r="K80" s="48">
        <f>IF($J80="ALB", IF(INTRO!$E$39="Non endémique",IF($H80&lt;&gt;0,$D80*($H80-$G80),0),$D80*$H80), 0)</f>
        <v>2214</v>
      </c>
      <c r="L80" s="13">
        <f t="shared" si="24"/>
        <v>0</v>
      </c>
      <c r="M80" s="3"/>
      <c r="N80" s="13">
        <f t="shared" si="25"/>
        <v>2214</v>
      </c>
      <c r="O80" s="48">
        <f>IF($J80="MBD", IF(INTRO!$E$39="Non endémique",IF($H80&lt;&gt;0,$D80*($H80-$G80),0),$D80*$H80),0)</f>
        <v>0</v>
      </c>
      <c r="P80" s="13">
        <f t="shared" si="26"/>
        <v>0</v>
      </c>
      <c r="Q80" s="3"/>
      <c r="R80" s="13">
        <f t="shared" si="27"/>
        <v>0</v>
      </c>
      <c r="S80" s="24"/>
      <c r="T80" s="15">
        <f t="shared" si="28"/>
        <v>12573</v>
      </c>
      <c r="U80" s="15">
        <f t="shared" si="29"/>
        <v>63</v>
      </c>
      <c r="V80" s="24"/>
      <c r="W80" s="15">
        <f t="shared" si="30"/>
        <v>0</v>
      </c>
      <c r="X80" s="15">
        <f t="shared" si="31"/>
        <v>0</v>
      </c>
      <c r="Y80" s="24"/>
      <c r="Z80" s="15">
        <f t="shared" si="32"/>
        <v>0</v>
      </c>
      <c r="AA80" s="15">
        <f t="shared" si="33"/>
        <v>0</v>
      </c>
    </row>
    <row r="81" spans="1:27" x14ac:dyDescent="0.4">
      <c r="A81" s="12" t="str">
        <f>IF(AND(INTRO!$E$37="Non endémique",INTRO!$E$41="Non endémique")," ",IF(COUNTRY_INFO!A81=0," ",COUNTRY_INFO!A81))</f>
        <v>Mali</v>
      </c>
      <c r="B81" s="12" t="str">
        <f>IF(AND(INTRO!$E$37="Non endémique",INTRO!$E$41="Non endémique")," ",IF(COUNTRY_INFO!B81=0," ",COUNTRY_INFO!B81))</f>
        <v>Menaka</v>
      </c>
      <c r="C81" s="12" t="str">
        <f>IF(AND(INTRO!$E$37="Non endémique",INTRO!$E$41="Non endémique")," ",IF(COUNTRY_INFO!C81=0," ",COUNTRY_INFO!C81))</f>
        <v>Inekar</v>
      </c>
      <c r="D81" s="13">
        <f>IF(AND(INTRO!$E$37="Non endémique",INTRO!$E$41="Non endémique"),0,IF(AND(OR(COUNTRY_INFO!$H81=0,COUNTRY_INFO!$H81=4,COUNTRY_INFO!$H81=99),OR(COUNTRY_INFO!$J81=0,COUNTRY_INFO!$J81=4)),0,COUNTRY_INFO!$E81))</f>
        <v>843</v>
      </c>
      <c r="E81" s="13">
        <f>IF(AND(INTRO!$E$37="Non endémique",INTRO!$E$41="Non endémique"),0,IF(AND(OR(COUNTRY_INFO!$H81=0,COUNTRY_INFO!$H81=4,COUNTRY_INFO!$H81=99),OR(COUNTRY_INFO!$J81=0,COUNTRY_INFO!$J81=4)),0,COUNTRY_INFO!$F81))</f>
        <v>1687</v>
      </c>
      <c r="F81" s="13">
        <f t="shared" si="23"/>
        <v>2530</v>
      </c>
      <c r="G81" s="14">
        <f>IF(AND(INTRO!$E$37="Non endémique",INTRO!$E$41="Non endémique"),0,COUNTRY_INFO!P81)</f>
        <v>1</v>
      </c>
      <c r="H81" s="14">
        <f>IF(AND(INTRO!$E$37="Non endémique",INTRO!$E$41="Non endémique"),0,COUNTRY_INFO!R81)</f>
        <v>1</v>
      </c>
      <c r="I81" s="13">
        <f>IF(INTRO!$E$39="Non endémique",IF($G81=1,DEC!I81,0),IF($G81=1,IVM!G81,0))</f>
        <v>4789</v>
      </c>
      <c r="J81" s="27" t="s">
        <v>245</v>
      </c>
      <c r="K81" s="48">
        <f>IF($J81="ALB", IF(INTRO!$E$39="Non endémique",IF($H81&lt;&gt;0,$D81*($H81-$G81),0),$D81*$H81), 0)</f>
        <v>843</v>
      </c>
      <c r="L81" s="13">
        <f t="shared" si="24"/>
        <v>0</v>
      </c>
      <c r="M81" s="3"/>
      <c r="N81" s="13">
        <f t="shared" si="25"/>
        <v>843</v>
      </c>
      <c r="O81" s="48">
        <f>IF($J81="MBD", IF(INTRO!$E$39="Non endémique",IF($H81&lt;&gt;0,$D81*($H81-$G81),0),$D81*$H81),0)</f>
        <v>0</v>
      </c>
      <c r="P81" s="13">
        <f t="shared" si="26"/>
        <v>0</v>
      </c>
      <c r="Q81" s="3"/>
      <c r="R81" s="13">
        <f t="shared" si="27"/>
        <v>0</v>
      </c>
      <c r="S81" s="24"/>
      <c r="T81" s="15">
        <f t="shared" si="28"/>
        <v>4789</v>
      </c>
      <c r="U81" s="15">
        <f t="shared" si="29"/>
        <v>24</v>
      </c>
      <c r="V81" s="24"/>
      <c r="W81" s="15">
        <f t="shared" si="30"/>
        <v>0</v>
      </c>
      <c r="X81" s="15">
        <f t="shared" si="31"/>
        <v>0</v>
      </c>
      <c r="Y81" s="24"/>
      <c r="Z81" s="15">
        <f t="shared" si="32"/>
        <v>0</v>
      </c>
      <c r="AA81" s="15">
        <f t="shared" si="33"/>
        <v>0</v>
      </c>
    </row>
    <row r="82" spans="1:27" x14ac:dyDescent="0.4">
      <c r="A82" s="12" t="str">
        <f>IF(AND(INTRO!$E$37="Non endémique",INTRO!$E$41="Non endémique")," ",IF(COUNTRY_INFO!A82=0," ",COUNTRY_INFO!A82))</f>
        <v>Mali</v>
      </c>
      <c r="B82" s="12" t="str">
        <f>IF(AND(INTRO!$E$37="Non endémique",INTRO!$E$41="Non endémique")," ",IF(COUNTRY_INFO!B82=0," ",COUNTRY_INFO!B82))</f>
        <v>Menaka</v>
      </c>
      <c r="C82" s="12" t="str">
        <f>IF(AND(INTRO!$E$37="Non endémique",INTRO!$E$41="Non endémique")," ",IF(COUNTRY_INFO!C82=0," ",COUNTRY_INFO!C82))</f>
        <v>Menaka</v>
      </c>
      <c r="D82" s="13">
        <f>IF(AND(INTRO!$E$37="Non endémique",INTRO!$E$41="Non endémique"),0,IF(AND(OR(COUNTRY_INFO!$H82=0,COUNTRY_INFO!$H82=4,COUNTRY_INFO!$H82=99),OR(COUNTRY_INFO!$J82=0,COUNTRY_INFO!$J82=4)),0,COUNTRY_INFO!$E82))</f>
        <v>6958</v>
      </c>
      <c r="E82" s="13">
        <f>IF(AND(INTRO!$E$37="Non endémique",INTRO!$E$41="Non endémique"),0,IF(AND(OR(COUNTRY_INFO!$H82=0,COUNTRY_INFO!$H82=4,COUNTRY_INFO!$H82=99),OR(COUNTRY_INFO!$J82=0,COUNTRY_INFO!$J82=4)),0,COUNTRY_INFO!$F82))</f>
        <v>13917</v>
      </c>
      <c r="F82" s="13">
        <f t="shared" si="23"/>
        <v>20875</v>
      </c>
      <c r="G82" s="14">
        <f>IF(AND(INTRO!$E$37="Non endémique",INTRO!$E$41="Non endémique"),0,COUNTRY_INFO!P82)</f>
        <v>1</v>
      </c>
      <c r="H82" s="14">
        <f>IF(AND(INTRO!$E$37="Non endémique",INTRO!$E$41="Non endémique"),0,COUNTRY_INFO!R82)</f>
        <v>1</v>
      </c>
      <c r="I82" s="13">
        <f>IF(INTRO!$E$39="Non endémique",IF($G82=1,DEC!I82,0),IF($G82=1,IVM!G82,0))</f>
        <v>39514</v>
      </c>
      <c r="J82" s="27" t="s">
        <v>245</v>
      </c>
      <c r="K82" s="48">
        <f>IF($J82="ALB", IF(INTRO!$E$39="Non endémique",IF($H82&lt;&gt;0,$D82*($H82-$G82),0),$D82*$H82), 0)</f>
        <v>6958</v>
      </c>
      <c r="L82" s="13">
        <f t="shared" si="24"/>
        <v>0</v>
      </c>
      <c r="M82" s="3"/>
      <c r="N82" s="13">
        <f t="shared" si="25"/>
        <v>6958</v>
      </c>
      <c r="O82" s="48">
        <f>IF($J82="MBD", IF(INTRO!$E$39="Non endémique",IF($H82&lt;&gt;0,$D82*($H82-$G82),0),$D82*$H82),0)</f>
        <v>0</v>
      </c>
      <c r="P82" s="13">
        <f t="shared" si="26"/>
        <v>0</v>
      </c>
      <c r="Q82" s="3"/>
      <c r="R82" s="13">
        <f t="shared" si="27"/>
        <v>0</v>
      </c>
      <c r="S82" s="24"/>
      <c r="T82" s="15">
        <f t="shared" si="28"/>
        <v>39514</v>
      </c>
      <c r="U82" s="15">
        <f t="shared" si="29"/>
        <v>198</v>
      </c>
      <c r="V82" s="24"/>
      <c r="W82" s="15">
        <f t="shared" si="30"/>
        <v>0</v>
      </c>
      <c r="X82" s="15">
        <f t="shared" si="31"/>
        <v>0</v>
      </c>
      <c r="Y82" s="24"/>
      <c r="Z82" s="15">
        <f t="shared" si="32"/>
        <v>0</v>
      </c>
      <c r="AA82" s="15">
        <f t="shared" si="33"/>
        <v>0</v>
      </c>
    </row>
    <row r="83" spans="1:27" x14ac:dyDescent="0.4">
      <c r="A83" s="12" t="str">
        <f>IF(AND(INTRO!$E$37="Non endémique",INTRO!$E$41="Non endémique")," ",IF(COUNTRY_INFO!A83=0," ",COUNTRY_INFO!A83))</f>
        <v>Mali</v>
      </c>
      <c r="B83" s="12" t="str">
        <f>IF(AND(INTRO!$E$37="Non endémique",INTRO!$E$41="Non endémique")," ",IF(COUNTRY_INFO!B83=0," ",COUNTRY_INFO!B83))</f>
        <v>Menaka</v>
      </c>
      <c r="C83" s="12" t="str">
        <f>IF(AND(INTRO!$E$37="Non endémique",INTRO!$E$41="Non endémique")," ",IF(COUNTRY_INFO!C83=0," ",COUNTRY_INFO!C83))</f>
        <v>Tidermene</v>
      </c>
      <c r="D83" s="13">
        <f>IF(AND(INTRO!$E$37="Non endémique",INTRO!$E$41="Non endémique"),0,IF(AND(OR(COUNTRY_INFO!$H83=0,COUNTRY_INFO!$H83=4,COUNTRY_INFO!$H83=99),OR(COUNTRY_INFO!$J83=0,COUNTRY_INFO!$J83=4)),0,COUNTRY_INFO!$E83))</f>
        <v>527</v>
      </c>
      <c r="E83" s="13">
        <f>IF(AND(INTRO!$E$37="Non endémique",INTRO!$E$41="Non endémique"),0,IF(AND(OR(COUNTRY_INFO!$H83=0,COUNTRY_INFO!$H83=4,COUNTRY_INFO!$H83=99),OR(COUNTRY_INFO!$J83=0,COUNTRY_INFO!$J83=4)),0,COUNTRY_INFO!$F83))</f>
        <v>1054</v>
      </c>
      <c r="F83" s="13">
        <f t="shared" si="23"/>
        <v>1581</v>
      </c>
      <c r="G83" s="14">
        <f>IF(AND(INTRO!$E$37="Non endémique",INTRO!$E$41="Non endémique"),0,COUNTRY_INFO!P83)</f>
        <v>1</v>
      </c>
      <c r="H83" s="14">
        <f>IF(AND(INTRO!$E$37="Non endémique",INTRO!$E$41="Non endémique"),0,COUNTRY_INFO!R83)</f>
        <v>1</v>
      </c>
      <c r="I83" s="13">
        <f>IF(INTRO!$E$39="Non endémique",IF($G83=1,DEC!I83,0),IF($G83=1,IVM!G83,0))</f>
        <v>2993</v>
      </c>
      <c r="J83" s="27" t="s">
        <v>245</v>
      </c>
      <c r="K83" s="48">
        <f>IF($J83="ALB", IF(INTRO!$E$39="Non endémique",IF($H83&lt;&gt;0,$D83*($H83-$G83),0),$D83*$H83), 0)</f>
        <v>527</v>
      </c>
      <c r="L83" s="13">
        <f t="shared" si="24"/>
        <v>0</v>
      </c>
      <c r="M83" s="3"/>
      <c r="N83" s="13">
        <f t="shared" si="25"/>
        <v>527</v>
      </c>
      <c r="O83" s="48">
        <f>IF($J83="MBD", IF(INTRO!$E$39="Non endémique",IF($H83&lt;&gt;0,$D83*($H83-$G83),0),$D83*$H83),0)</f>
        <v>0</v>
      </c>
      <c r="P83" s="13">
        <f t="shared" si="26"/>
        <v>0</v>
      </c>
      <c r="Q83" s="3"/>
      <c r="R83" s="13">
        <f t="shared" si="27"/>
        <v>0</v>
      </c>
      <c r="S83" s="24"/>
      <c r="T83" s="15">
        <f t="shared" si="28"/>
        <v>2993</v>
      </c>
      <c r="U83" s="15">
        <f t="shared" si="29"/>
        <v>15</v>
      </c>
      <c r="V83" s="24"/>
      <c r="W83" s="15">
        <f t="shared" si="30"/>
        <v>0</v>
      </c>
      <c r="X83" s="15">
        <f t="shared" si="31"/>
        <v>0</v>
      </c>
      <c r="Y83" s="24"/>
      <c r="Z83" s="15">
        <f t="shared" si="32"/>
        <v>0</v>
      </c>
      <c r="AA83" s="15">
        <f t="shared" si="33"/>
        <v>0</v>
      </c>
    </row>
    <row r="84" spans="1:27" x14ac:dyDescent="0.4">
      <c r="A84"/>
      <c r="B84"/>
      <c r="C84"/>
      <c r="D84"/>
      <c r="E84"/>
      <c r="F84"/>
      <c r="G84"/>
      <c r="H84"/>
      <c r="I84"/>
      <c r="J84"/>
      <c r="K84"/>
      <c r="L84"/>
      <c r="M84"/>
      <c r="N84"/>
      <c r="O84"/>
      <c r="P84"/>
      <c r="Q84"/>
      <c r="R84"/>
      <c r="S84"/>
      <c r="T84"/>
      <c r="U84"/>
      <c r="V84"/>
      <c r="W84"/>
      <c r="X84"/>
      <c r="Y84"/>
      <c r="Z84"/>
      <c r="AA84"/>
    </row>
    <row r="85" spans="1:27" x14ac:dyDescent="0.4">
      <c r="A85"/>
      <c r="B85"/>
      <c r="C85"/>
      <c r="D85"/>
      <c r="E85"/>
      <c r="F85"/>
      <c r="G85"/>
      <c r="H85"/>
      <c r="I85"/>
      <c r="J85"/>
      <c r="K85"/>
      <c r="L85"/>
      <c r="M85"/>
      <c r="N85"/>
      <c r="O85"/>
      <c r="P85"/>
      <c r="Q85"/>
      <c r="R85"/>
      <c r="S85"/>
      <c r="T85"/>
      <c r="U85"/>
      <c r="V85"/>
      <c r="W85"/>
      <c r="X85"/>
      <c r="Y85"/>
      <c r="Z85"/>
      <c r="AA85"/>
    </row>
    <row r="86" spans="1:27" x14ac:dyDescent="0.4">
      <c r="A86"/>
      <c r="B86"/>
      <c r="C86"/>
      <c r="D86"/>
      <c r="E86"/>
      <c r="F86"/>
      <c r="G86"/>
      <c r="H86"/>
      <c r="I86"/>
      <c r="J86"/>
      <c r="K86"/>
      <c r="L86"/>
      <c r="M86"/>
      <c r="N86"/>
      <c r="O86"/>
      <c r="P86"/>
      <c r="Q86"/>
      <c r="R86"/>
      <c r="S86"/>
      <c r="T86"/>
      <c r="U86"/>
      <c r="V86"/>
      <c r="W86"/>
      <c r="X86"/>
      <c r="Y86"/>
      <c r="Z86"/>
      <c r="AA86"/>
    </row>
    <row r="87" spans="1:27" x14ac:dyDescent="0.4">
      <c r="A87"/>
      <c r="B87"/>
      <c r="C87"/>
      <c r="D87"/>
      <c r="E87"/>
      <c r="F87"/>
      <c r="G87"/>
      <c r="H87"/>
      <c r="I87"/>
      <c r="J87"/>
      <c r="K87"/>
      <c r="L87"/>
      <c r="M87"/>
      <c r="N87"/>
      <c r="O87"/>
      <c r="P87"/>
      <c r="Q87"/>
      <c r="R87"/>
      <c r="S87"/>
      <c r="T87"/>
      <c r="U87"/>
      <c r="V87"/>
      <c r="W87"/>
      <c r="X87"/>
      <c r="Y87"/>
      <c r="Z87"/>
      <c r="AA87"/>
    </row>
    <row r="88" spans="1:27" x14ac:dyDescent="0.4">
      <c r="A88"/>
      <c r="B88"/>
      <c r="C88"/>
      <c r="D88"/>
      <c r="E88"/>
      <c r="F88"/>
      <c r="G88"/>
      <c r="H88"/>
      <c r="I88"/>
      <c r="J88"/>
      <c r="K88"/>
      <c r="L88"/>
      <c r="M88"/>
      <c r="N88"/>
      <c r="O88"/>
      <c r="P88"/>
      <c r="Q88"/>
      <c r="R88"/>
      <c r="S88"/>
      <c r="T88"/>
      <c r="U88"/>
      <c r="V88"/>
      <c r="W88"/>
      <c r="X88"/>
      <c r="Y88"/>
      <c r="Z88"/>
      <c r="AA88"/>
    </row>
    <row r="89" spans="1:27" x14ac:dyDescent="0.4">
      <c r="A89"/>
      <c r="B89"/>
      <c r="C89"/>
      <c r="D89"/>
      <c r="E89"/>
      <c r="F89"/>
      <c r="G89"/>
      <c r="H89"/>
      <c r="I89"/>
      <c r="J89"/>
      <c r="K89"/>
      <c r="L89"/>
      <c r="M89"/>
      <c r="N89"/>
      <c r="O89"/>
      <c r="P89"/>
      <c r="Q89"/>
      <c r="R89"/>
      <c r="S89"/>
      <c r="T89"/>
      <c r="U89"/>
      <c r="V89"/>
      <c r="W89"/>
      <c r="X89"/>
      <c r="Y89"/>
      <c r="Z89"/>
      <c r="AA89"/>
    </row>
    <row r="90" spans="1:27" x14ac:dyDescent="0.4">
      <c r="A90"/>
      <c r="B90"/>
      <c r="C90"/>
      <c r="D90"/>
      <c r="E90"/>
      <c r="F90"/>
      <c r="G90"/>
      <c r="H90"/>
      <c r="I90"/>
      <c r="J90"/>
      <c r="K90"/>
      <c r="L90"/>
      <c r="M90"/>
      <c r="N90"/>
      <c r="O90"/>
      <c r="P90"/>
      <c r="Q90"/>
      <c r="R90"/>
      <c r="S90"/>
      <c r="T90"/>
      <c r="U90"/>
      <c r="V90"/>
      <c r="W90"/>
      <c r="X90"/>
      <c r="Y90"/>
      <c r="Z90"/>
      <c r="AA90"/>
    </row>
    <row r="91" spans="1:27" x14ac:dyDescent="0.4">
      <c r="A91"/>
      <c r="B91"/>
      <c r="C91"/>
      <c r="D91"/>
      <c r="E91"/>
      <c r="F91"/>
      <c r="G91"/>
      <c r="H91"/>
      <c r="I91"/>
      <c r="J91"/>
      <c r="K91"/>
      <c r="L91"/>
      <c r="M91"/>
      <c r="N91"/>
      <c r="O91"/>
      <c r="P91"/>
      <c r="Q91"/>
      <c r="R91"/>
      <c r="S91"/>
      <c r="T91"/>
      <c r="U91"/>
      <c r="V91"/>
      <c r="W91"/>
      <c r="X91"/>
      <c r="Y91"/>
      <c r="Z91"/>
      <c r="AA91"/>
    </row>
    <row r="92" spans="1:27" x14ac:dyDescent="0.4">
      <c r="A92"/>
      <c r="B92"/>
      <c r="C92"/>
      <c r="D92"/>
      <c r="E92"/>
      <c r="F92"/>
      <c r="G92"/>
      <c r="H92"/>
      <c r="I92"/>
      <c r="J92"/>
      <c r="K92"/>
      <c r="L92"/>
      <c r="M92"/>
      <c r="N92"/>
      <c r="O92"/>
      <c r="P92"/>
      <c r="Q92"/>
      <c r="R92"/>
      <c r="S92"/>
      <c r="T92"/>
      <c r="U92"/>
      <c r="V92"/>
      <c r="W92"/>
      <c r="X92"/>
      <c r="Y92"/>
      <c r="Z92"/>
      <c r="AA92"/>
    </row>
    <row r="93" spans="1:27" x14ac:dyDescent="0.4">
      <c r="A93"/>
      <c r="B93"/>
      <c r="C93"/>
      <c r="D93"/>
      <c r="E93"/>
      <c r="F93"/>
      <c r="G93"/>
      <c r="H93"/>
      <c r="I93"/>
      <c r="J93"/>
      <c r="K93"/>
      <c r="L93"/>
      <c r="M93"/>
      <c r="N93"/>
      <c r="O93"/>
      <c r="P93"/>
      <c r="Q93"/>
      <c r="R93"/>
      <c r="S93"/>
      <c r="T93"/>
      <c r="U93"/>
      <c r="V93"/>
      <c r="W93"/>
      <c r="X93"/>
      <c r="Y93"/>
      <c r="Z93"/>
      <c r="AA93"/>
    </row>
    <row r="94" spans="1:27" x14ac:dyDescent="0.4">
      <c r="A94"/>
      <c r="B94"/>
      <c r="C94"/>
      <c r="D94"/>
      <c r="E94"/>
      <c r="F94"/>
      <c r="G94"/>
      <c r="H94"/>
      <c r="I94"/>
      <c r="J94"/>
      <c r="K94"/>
      <c r="L94"/>
      <c r="M94"/>
      <c r="N94"/>
      <c r="O94"/>
      <c r="P94"/>
      <c r="Q94"/>
      <c r="R94"/>
      <c r="S94"/>
      <c r="T94"/>
      <c r="U94"/>
      <c r="V94"/>
      <c r="W94"/>
      <c r="X94"/>
      <c r="Y94"/>
      <c r="Z94"/>
      <c r="AA94"/>
    </row>
    <row r="95" spans="1:27" x14ac:dyDescent="0.4">
      <c r="A95"/>
      <c r="B95"/>
      <c r="C95"/>
      <c r="D95"/>
      <c r="E95"/>
      <c r="F95"/>
      <c r="G95"/>
      <c r="H95"/>
      <c r="I95"/>
      <c r="J95"/>
      <c r="K95"/>
      <c r="L95"/>
      <c r="M95"/>
      <c r="N95"/>
      <c r="O95"/>
      <c r="P95"/>
      <c r="Q95"/>
      <c r="R95"/>
      <c r="S95"/>
      <c r="T95"/>
      <c r="U95"/>
      <c r="V95"/>
      <c r="W95"/>
      <c r="X95"/>
      <c r="Y95"/>
      <c r="Z95"/>
      <c r="AA95"/>
    </row>
    <row r="96" spans="1:27" x14ac:dyDescent="0.4">
      <c r="A96"/>
      <c r="B96"/>
      <c r="C96"/>
      <c r="D96"/>
      <c r="E96"/>
      <c r="F96"/>
      <c r="G96"/>
      <c r="H96"/>
      <c r="I96"/>
      <c r="J96"/>
      <c r="K96"/>
      <c r="L96"/>
      <c r="M96"/>
      <c r="N96"/>
      <c r="O96"/>
      <c r="P96"/>
      <c r="Q96"/>
      <c r="R96"/>
      <c r="S96"/>
      <c r="T96"/>
      <c r="U96"/>
      <c r="V96"/>
      <c r="W96"/>
      <c r="X96"/>
      <c r="Y96"/>
      <c r="Z96"/>
      <c r="AA96"/>
    </row>
    <row r="97" spans="1:27" x14ac:dyDescent="0.4">
      <c r="A97"/>
      <c r="B97"/>
      <c r="C97"/>
      <c r="D97"/>
      <c r="E97"/>
      <c r="F97"/>
      <c r="G97"/>
      <c r="H97"/>
      <c r="I97"/>
      <c r="J97"/>
      <c r="K97"/>
      <c r="L97"/>
      <c r="M97"/>
      <c r="N97"/>
      <c r="O97"/>
      <c r="P97"/>
      <c r="Q97"/>
      <c r="R97"/>
      <c r="S97"/>
      <c r="T97"/>
      <c r="U97"/>
      <c r="V97"/>
      <c r="W97"/>
      <c r="X97"/>
      <c r="Y97"/>
      <c r="Z97"/>
      <c r="AA97"/>
    </row>
    <row r="98" spans="1:27" x14ac:dyDescent="0.4">
      <c r="A98"/>
      <c r="B98"/>
      <c r="C98"/>
      <c r="D98"/>
      <c r="E98"/>
      <c r="F98"/>
      <c r="G98"/>
      <c r="H98"/>
      <c r="I98"/>
      <c r="J98"/>
      <c r="K98"/>
      <c r="L98"/>
      <c r="M98"/>
      <c r="N98"/>
      <c r="O98"/>
      <c r="P98"/>
      <c r="Q98"/>
      <c r="R98"/>
      <c r="S98"/>
      <c r="T98"/>
      <c r="U98"/>
      <c r="V98"/>
      <c r="W98"/>
      <c r="X98"/>
      <c r="Y98"/>
      <c r="Z98"/>
      <c r="AA98"/>
    </row>
    <row r="99" spans="1:27" x14ac:dyDescent="0.4">
      <c r="A99"/>
      <c r="B99"/>
      <c r="C99"/>
      <c r="D99"/>
      <c r="E99"/>
      <c r="F99"/>
      <c r="G99"/>
      <c r="H99"/>
      <c r="I99"/>
      <c r="J99"/>
      <c r="K99"/>
      <c r="L99"/>
      <c r="M99"/>
      <c r="N99"/>
      <c r="O99"/>
      <c r="P99"/>
      <c r="Q99"/>
      <c r="R99"/>
      <c r="S99"/>
      <c r="T99"/>
      <c r="U99"/>
      <c r="V99"/>
      <c r="W99"/>
      <c r="X99"/>
      <c r="Y99"/>
      <c r="Z99"/>
      <c r="AA99"/>
    </row>
    <row r="100" spans="1:27" x14ac:dyDescent="0.4">
      <c r="A100"/>
      <c r="B100"/>
      <c r="C100"/>
      <c r="D100"/>
      <c r="E100"/>
      <c r="F100"/>
      <c r="G100"/>
      <c r="H100"/>
      <c r="I100"/>
      <c r="J100"/>
      <c r="K100"/>
      <c r="L100"/>
      <c r="M100"/>
      <c r="N100"/>
      <c r="O100"/>
      <c r="P100"/>
      <c r="Q100"/>
      <c r="R100"/>
      <c r="S100"/>
      <c r="T100"/>
      <c r="U100"/>
      <c r="V100"/>
      <c r="W100"/>
      <c r="X100"/>
      <c r="Y100"/>
      <c r="Z100"/>
      <c r="AA100"/>
    </row>
    <row r="101" spans="1:27" x14ac:dyDescent="0.4">
      <c r="A101"/>
      <c r="B101"/>
      <c r="C101"/>
      <c r="D101"/>
      <c r="E101"/>
      <c r="F101"/>
      <c r="G101"/>
      <c r="H101"/>
      <c r="I101"/>
      <c r="J101"/>
      <c r="K101"/>
      <c r="L101"/>
      <c r="M101"/>
      <c r="N101"/>
      <c r="O101"/>
      <c r="P101"/>
      <c r="Q101"/>
      <c r="R101"/>
      <c r="S101"/>
      <c r="T101"/>
      <c r="U101"/>
      <c r="V101"/>
      <c r="W101"/>
      <c r="X101"/>
      <c r="Y101"/>
      <c r="Z101"/>
      <c r="AA101"/>
    </row>
    <row r="102" spans="1:27" x14ac:dyDescent="0.4">
      <c r="A102"/>
      <c r="B102"/>
      <c r="C102"/>
      <c r="D102"/>
      <c r="E102"/>
      <c r="F102"/>
      <c r="G102"/>
      <c r="H102"/>
      <c r="I102"/>
      <c r="J102"/>
      <c r="K102"/>
      <c r="L102"/>
      <c r="M102"/>
      <c r="N102"/>
      <c r="O102"/>
      <c r="P102"/>
      <c r="Q102"/>
      <c r="R102"/>
      <c r="S102"/>
      <c r="T102"/>
      <c r="U102"/>
      <c r="V102"/>
      <c r="W102"/>
      <c r="X102"/>
      <c r="Y102"/>
      <c r="Z102"/>
      <c r="AA102"/>
    </row>
    <row r="103" spans="1:27" x14ac:dyDescent="0.4">
      <c r="A103"/>
      <c r="B103"/>
      <c r="C103"/>
      <c r="D103"/>
      <c r="E103"/>
      <c r="F103"/>
      <c r="G103"/>
      <c r="H103"/>
      <c r="I103"/>
      <c r="J103"/>
      <c r="K103"/>
      <c r="L103"/>
      <c r="M103"/>
      <c r="N103"/>
      <c r="O103"/>
      <c r="P103"/>
      <c r="Q103"/>
      <c r="R103"/>
      <c r="S103"/>
      <c r="T103"/>
      <c r="U103"/>
      <c r="V103"/>
      <c r="W103"/>
      <c r="X103"/>
      <c r="Y103"/>
      <c r="Z103"/>
      <c r="AA103"/>
    </row>
    <row r="104" spans="1:27" x14ac:dyDescent="0.4">
      <c r="A104"/>
      <c r="B104"/>
      <c r="C104"/>
      <c r="D104"/>
      <c r="E104"/>
      <c r="F104"/>
      <c r="G104"/>
      <c r="H104"/>
      <c r="I104"/>
      <c r="J104"/>
      <c r="K104"/>
      <c r="L104"/>
      <c r="M104"/>
      <c r="N104"/>
      <c r="O104"/>
      <c r="P104"/>
      <c r="Q104"/>
      <c r="R104"/>
      <c r="S104"/>
      <c r="T104"/>
      <c r="U104"/>
      <c r="V104"/>
      <c r="W104"/>
      <c r="X104"/>
      <c r="Y104"/>
      <c r="Z104"/>
      <c r="AA104"/>
    </row>
    <row r="105" spans="1:27" x14ac:dyDescent="0.4">
      <c r="A105"/>
      <c r="B105"/>
      <c r="C105"/>
      <c r="D105"/>
      <c r="E105"/>
      <c r="F105"/>
      <c r="G105"/>
      <c r="H105"/>
      <c r="I105"/>
      <c r="J105"/>
      <c r="K105"/>
      <c r="L105"/>
      <c r="M105"/>
      <c r="N105"/>
      <c r="O105"/>
      <c r="P105"/>
      <c r="Q105"/>
      <c r="R105"/>
      <c r="S105"/>
      <c r="T105"/>
      <c r="U105"/>
      <c r="V105"/>
      <c r="W105"/>
      <c r="X105"/>
      <c r="Y105"/>
      <c r="Z105"/>
      <c r="AA105"/>
    </row>
    <row r="106" spans="1:27" x14ac:dyDescent="0.4">
      <c r="A106"/>
      <c r="B106"/>
      <c r="C106"/>
      <c r="D106"/>
      <c r="E106"/>
      <c r="F106"/>
      <c r="G106"/>
      <c r="H106"/>
      <c r="I106"/>
      <c r="J106"/>
      <c r="K106"/>
      <c r="L106"/>
      <c r="M106"/>
      <c r="N106"/>
      <c r="O106"/>
      <c r="P106"/>
      <c r="Q106"/>
      <c r="R106"/>
      <c r="S106"/>
      <c r="T106"/>
      <c r="U106"/>
      <c r="V106"/>
      <c r="W106"/>
      <c r="X106"/>
      <c r="Y106"/>
      <c r="Z106"/>
      <c r="AA106"/>
    </row>
    <row r="107" spans="1:27" x14ac:dyDescent="0.4">
      <c r="A107"/>
      <c r="B107"/>
      <c r="C107"/>
      <c r="D107"/>
      <c r="E107"/>
      <c r="F107"/>
      <c r="G107"/>
      <c r="H107"/>
      <c r="I107"/>
      <c r="J107"/>
      <c r="K107"/>
      <c r="L107"/>
      <c r="M107"/>
      <c r="N107"/>
      <c r="O107"/>
      <c r="P107"/>
      <c r="Q107"/>
      <c r="R107"/>
      <c r="S107"/>
      <c r="T107"/>
      <c r="U107"/>
      <c r="V107"/>
      <c r="W107"/>
      <c r="X107"/>
      <c r="Y107"/>
      <c r="Z107"/>
      <c r="AA107"/>
    </row>
    <row r="108" spans="1:27" x14ac:dyDescent="0.4">
      <c r="A108"/>
      <c r="B108"/>
      <c r="C108"/>
      <c r="D108"/>
      <c r="E108"/>
      <c r="F108"/>
      <c r="G108"/>
      <c r="H108"/>
      <c r="I108"/>
      <c r="J108"/>
      <c r="K108"/>
      <c r="L108"/>
      <c r="M108"/>
      <c r="N108"/>
      <c r="O108"/>
      <c r="P108"/>
      <c r="Q108"/>
      <c r="R108"/>
      <c r="S108"/>
      <c r="T108"/>
      <c r="U108"/>
      <c r="V108"/>
      <c r="W108"/>
      <c r="X108"/>
      <c r="Y108"/>
      <c r="Z108"/>
      <c r="AA108"/>
    </row>
    <row r="109" spans="1:27" x14ac:dyDescent="0.4">
      <c r="A109"/>
      <c r="B109"/>
      <c r="C109"/>
      <c r="D109"/>
      <c r="E109"/>
      <c r="F109"/>
      <c r="G109"/>
      <c r="H109"/>
      <c r="I109"/>
      <c r="J109"/>
      <c r="K109"/>
      <c r="L109"/>
      <c r="M109"/>
      <c r="N109"/>
      <c r="O109"/>
      <c r="P109"/>
      <c r="Q109"/>
      <c r="R109"/>
      <c r="S109"/>
      <c r="T109"/>
      <c r="U109"/>
      <c r="V109"/>
      <c r="W109"/>
      <c r="X109"/>
      <c r="Y109"/>
      <c r="Z109"/>
      <c r="AA109"/>
    </row>
    <row r="110" spans="1:27" x14ac:dyDescent="0.4">
      <c r="A110"/>
      <c r="B110"/>
      <c r="C110"/>
      <c r="D110"/>
      <c r="E110"/>
      <c r="F110"/>
      <c r="G110"/>
      <c r="H110"/>
      <c r="I110"/>
      <c r="J110"/>
      <c r="K110"/>
      <c r="L110"/>
      <c r="M110"/>
      <c r="N110"/>
      <c r="O110"/>
      <c r="P110"/>
      <c r="Q110"/>
      <c r="R110"/>
      <c r="S110"/>
      <c r="T110"/>
      <c r="U110"/>
      <c r="V110"/>
      <c r="W110"/>
      <c r="X110"/>
      <c r="Y110"/>
      <c r="Z110"/>
      <c r="AA110"/>
    </row>
    <row r="111" spans="1:27" x14ac:dyDescent="0.4">
      <c r="A111"/>
      <c r="B111"/>
      <c r="C111"/>
      <c r="D111"/>
      <c r="E111"/>
      <c r="F111"/>
      <c r="G111"/>
      <c r="H111"/>
      <c r="I111"/>
      <c r="J111"/>
      <c r="K111"/>
      <c r="L111"/>
      <c r="M111"/>
      <c r="N111"/>
      <c r="O111"/>
      <c r="P111"/>
      <c r="Q111"/>
      <c r="R111"/>
      <c r="S111"/>
      <c r="T111"/>
      <c r="U111"/>
      <c r="V111"/>
      <c r="W111"/>
      <c r="X111"/>
      <c r="Y111"/>
      <c r="Z111"/>
      <c r="AA111"/>
    </row>
    <row r="112" spans="1:27" x14ac:dyDescent="0.4">
      <c r="A112"/>
      <c r="B112"/>
      <c r="C112"/>
      <c r="D112"/>
      <c r="E112"/>
      <c r="F112"/>
      <c r="G112"/>
      <c r="H112"/>
      <c r="I112"/>
      <c r="J112"/>
      <c r="K112"/>
      <c r="L112"/>
      <c r="M112"/>
      <c r="N112"/>
      <c r="O112"/>
      <c r="P112"/>
      <c r="Q112"/>
      <c r="R112"/>
      <c r="S112"/>
      <c r="T112"/>
      <c r="U112"/>
      <c r="V112"/>
      <c r="W112"/>
      <c r="X112"/>
      <c r="Y112"/>
      <c r="Z112"/>
      <c r="AA112"/>
    </row>
    <row r="113" spans="1:27" x14ac:dyDescent="0.4">
      <c r="A113"/>
      <c r="B113"/>
      <c r="C113"/>
      <c r="D113"/>
      <c r="E113"/>
      <c r="F113"/>
      <c r="G113"/>
      <c r="H113"/>
      <c r="I113"/>
      <c r="J113"/>
      <c r="K113"/>
      <c r="L113"/>
      <c r="M113"/>
      <c r="N113"/>
      <c r="O113"/>
      <c r="P113"/>
      <c r="Q113"/>
      <c r="R113"/>
      <c r="S113"/>
      <c r="T113"/>
      <c r="U113"/>
      <c r="V113"/>
      <c r="W113"/>
      <c r="X113"/>
      <c r="Y113"/>
      <c r="Z113"/>
      <c r="AA113"/>
    </row>
    <row r="114" spans="1:27" x14ac:dyDescent="0.4">
      <c r="A114"/>
      <c r="B114"/>
      <c r="C114"/>
      <c r="D114"/>
      <c r="E114"/>
      <c r="F114"/>
      <c r="G114"/>
      <c r="H114"/>
      <c r="I114"/>
      <c r="J114"/>
      <c r="K114"/>
      <c r="L114"/>
      <c r="M114"/>
      <c r="N114"/>
      <c r="O114"/>
      <c r="P114"/>
      <c r="Q114"/>
      <c r="R114"/>
      <c r="S114"/>
      <c r="T114"/>
      <c r="U114"/>
      <c r="V114"/>
      <c r="W114"/>
      <c r="X114"/>
      <c r="Y114"/>
      <c r="Z114"/>
      <c r="AA114"/>
    </row>
    <row r="115" spans="1:27" x14ac:dyDescent="0.4">
      <c r="A115"/>
      <c r="B115"/>
      <c r="C115"/>
      <c r="D115"/>
      <c r="E115"/>
      <c r="F115"/>
      <c r="G115"/>
      <c r="H115"/>
      <c r="I115"/>
      <c r="J115"/>
      <c r="K115"/>
      <c r="L115"/>
      <c r="M115"/>
      <c r="N115"/>
      <c r="O115"/>
      <c r="P115"/>
      <c r="Q115"/>
      <c r="R115"/>
      <c r="S115"/>
      <c r="T115"/>
      <c r="U115"/>
      <c r="V115"/>
      <c r="W115"/>
      <c r="X115"/>
      <c r="Y115"/>
      <c r="Z115"/>
      <c r="AA115"/>
    </row>
    <row r="116" spans="1:27" x14ac:dyDescent="0.4">
      <c r="A116"/>
      <c r="B116"/>
      <c r="C116"/>
      <c r="D116"/>
      <c r="E116"/>
      <c r="F116"/>
      <c r="G116"/>
      <c r="H116"/>
      <c r="I116"/>
      <c r="J116"/>
      <c r="K116"/>
      <c r="L116"/>
      <c r="M116"/>
      <c r="N116"/>
      <c r="O116"/>
      <c r="P116"/>
      <c r="Q116"/>
      <c r="R116"/>
      <c r="S116"/>
      <c r="T116"/>
      <c r="U116"/>
      <c r="V116"/>
      <c r="W116"/>
      <c r="X116"/>
      <c r="Y116"/>
      <c r="Z116"/>
      <c r="AA116"/>
    </row>
    <row r="117" spans="1:27" x14ac:dyDescent="0.4">
      <c r="A117"/>
      <c r="B117"/>
      <c r="C117"/>
      <c r="D117"/>
      <c r="E117"/>
      <c r="F117"/>
      <c r="G117"/>
      <c r="H117"/>
      <c r="I117"/>
      <c r="J117"/>
      <c r="K117"/>
      <c r="L117"/>
      <c r="M117"/>
      <c r="N117"/>
      <c r="O117"/>
      <c r="P117"/>
      <c r="Q117"/>
      <c r="R117"/>
      <c r="S117"/>
      <c r="T117"/>
      <c r="U117"/>
      <c r="V117"/>
      <c r="W117"/>
      <c r="X117"/>
      <c r="Y117"/>
      <c r="Z117"/>
      <c r="AA117"/>
    </row>
    <row r="118" spans="1:27" x14ac:dyDescent="0.4">
      <c r="A118"/>
      <c r="B118"/>
      <c r="C118"/>
      <c r="D118"/>
      <c r="E118"/>
      <c r="F118"/>
      <c r="G118"/>
      <c r="H118"/>
      <c r="I118"/>
      <c r="J118"/>
      <c r="K118"/>
      <c r="L118"/>
      <c r="M118"/>
      <c r="N118"/>
      <c r="O118"/>
      <c r="P118"/>
      <c r="Q118"/>
      <c r="R118"/>
      <c r="S118"/>
      <c r="T118"/>
      <c r="U118"/>
      <c r="V118"/>
      <c r="W118"/>
      <c r="X118"/>
      <c r="Y118"/>
      <c r="Z118"/>
      <c r="AA118"/>
    </row>
    <row r="119" spans="1:27" x14ac:dyDescent="0.4">
      <c r="A119"/>
      <c r="B119"/>
      <c r="C119"/>
      <c r="D119"/>
      <c r="E119"/>
      <c r="F119"/>
      <c r="G119"/>
      <c r="H119"/>
      <c r="I119"/>
      <c r="J119"/>
      <c r="K119"/>
      <c r="L119"/>
      <c r="M119"/>
      <c r="N119"/>
      <c r="O119"/>
      <c r="P119"/>
      <c r="Q119"/>
      <c r="R119"/>
      <c r="S119"/>
      <c r="T119"/>
      <c r="U119"/>
      <c r="V119"/>
      <c r="W119"/>
      <c r="X119"/>
      <c r="Y119"/>
      <c r="Z119"/>
      <c r="AA119"/>
    </row>
    <row r="120" spans="1:27" x14ac:dyDescent="0.4">
      <c r="A120"/>
      <c r="B120"/>
      <c r="C120"/>
      <c r="D120"/>
      <c r="E120"/>
      <c r="F120"/>
      <c r="G120"/>
      <c r="H120"/>
      <c r="I120"/>
      <c r="J120"/>
      <c r="K120"/>
      <c r="L120"/>
      <c r="M120"/>
      <c r="N120"/>
      <c r="O120"/>
      <c r="P120"/>
      <c r="Q120"/>
      <c r="R120"/>
      <c r="S120"/>
      <c r="T120"/>
      <c r="U120"/>
      <c r="V120"/>
      <c r="W120"/>
      <c r="X120"/>
      <c r="Y120"/>
      <c r="Z120"/>
      <c r="AA120"/>
    </row>
    <row r="121" spans="1:27" x14ac:dyDescent="0.4">
      <c r="A121"/>
      <c r="B121"/>
      <c r="C121"/>
      <c r="D121"/>
      <c r="E121"/>
      <c r="F121"/>
      <c r="G121"/>
      <c r="H121"/>
      <c r="I121"/>
      <c r="J121"/>
      <c r="K121"/>
      <c r="L121"/>
      <c r="M121"/>
      <c r="N121"/>
      <c r="O121"/>
      <c r="P121"/>
      <c r="Q121"/>
      <c r="R121"/>
      <c r="S121"/>
      <c r="T121"/>
      <c r="U121"/>
      <c r="V121"/>
      <c r="W121"/>
      <c r="X121"/>
      <c r="Y121"/>
      <c r="Z121"/>
      <c r="AA121"/>
    </row>
    <row r="122" spans="1:27" x14ac:dyDescent="0.4">
      <c r="A122"/>
      <c r="B122"/>
      <c r="C122"/>
      <c r="D122"/>
      <c r="E122"/>
      <c r="F122"/>
      <c r="G122"/>
      <c r="H122"/>
      <c r="I122"/>
      <c r="J122"/>
      <c r="K122"/>
      <c r="L122"/>
      <c r="M122"/>
      <c r="N122"/>
      <c r="O122"/>
      <c r="P122"/>
      <c r="Q122"/>
      <c r="R122"/>
      <c r="S122"/>
      <c r="T122"/>
      <c r="U122"/>
      <c r="V122"/>
      <c r="W122"/>
      <c r="X122"/>
      <c r="Y122"/>
      <c r="Z122"/>
      <c r="AA122"/>
    </row>
    <row r="123" spans="1:27" x14ac:dyDescent="0.4">
      <c r="A123"/>
      <c r="B123"/>
      <c r="C123"/>
      <c r="D123"/>
      <c r="E123"/>
      <c r="F123"/>
      <c r="G123"/>
      <c r="H123"/>
      <c r="I123"/>
      <c r="J123"/>
      <c r="K123"/>
      <c r="L123"/>
      <c r="M123"/>
      <c r="N123"/>
      <c r="O123"/>
      <c r="P123"/>
      <c r="Q123"/>
      <c r="R123"/>
      <c r="S123"/>
      <c r="T123"/>
      <c r="U123"/>
      <c r="V123"/>
      <c r="W123"/>
      <c r="X123"/>
      <c r="Y123"/>
      <c r="Z123"/>
      <c r="AA123"/>
    </row>
    <row r="124" spans="1:27" x14ac:dyDescent="0.4">
      <c r="A124"/>
      <c r="B124"/>
      <c r="C124"/>
      <c r="D124"/>
      <c r="E124"/>
      <c r="F124"/>
      <c r="G124"/>
      <c r="H124"/>
      <c r="I124"/>
      <c r="J124"/>
      <c r="K124"/>
      <c r="L124"/>
      <c r="M124"/>
      <c r="N124"/>
      <c r="O124"/>
      <c r="P124"/>
      <c r="Q124"/>
      <c r="R124"/>
      <c r="S124"/>
      <c r="T124"/>
      <c r="U124"/>
      <c r="V124"/>
      <c r="W124"/>
      <c r="X124"/>
      <c r="Y124"/>
      <c r="Z124"/>
      <c r="AA124"/>
    </row>
    <row r="125" spans="1:27" x14ac:dyDescent="0.4">
      <c r="A125"/>
      <c r="B125"/>
      <c r="C125"/>
      <c r="D125"/>
      <c r="E125"/>
      <c r="F125"/>
      <c r="G125"/>
      <c r="H125"/>
      <c r="I125"/>
      <c r="J125"/>
      <c r="K125"/>
      <c r="L125"/>
      <c r="M125"/>
      <c r="N125"/>
      <c r="O125"/>
      <c r="P125"/>
      <c r="Q125"/>
      <c r="R125"/>
      <c r="S125"/>
      <c r="T125"/>
      <c r="U125"/>
      <c r="V125"/>
      <c r="W125"/>
      <c r="X125"/>
      <c r="Y125"/>
      <c r="Z125"/>
      <c r="AA125"/>
    </row>
    <row r="126" spans="1:27" x14ac:dyDescent="0.4">
      <c r="A126"/>
      <c r="B126"/>
      <c r="C126"/>
      <c r="D126"/>
      <c r="E126"/>
      <c r="F126"/>
      <c r="G126"/>
      <c r="H126"/>
      <c r="I126"/>
      <c r="J126"/>
      <c r="K126"/>
      <c r="L126"/>
      <c r="M126"/>
      <c r="N126"/>
      <c r="O126"/>
      <c r="P126"/>
      <c r="Q126"/>
      <c r="R126"/>
      <c r="S126"/>
      <c r="T126"/>
      <c r="U126"/>
      <c r="V126"/>
      <c r="W126"/>
      <c r="X126"/>
      <c r="Y126"/>
      <c r="Z126"/>
      <c r="AA126"/>
    </row>
    <row r="127" spans="1:27" x14ac:dyDescent="0.4">
      <c r="A127"/>
      <c r="B127"/>
      <c r="C127"/>
      <c r="D127"/>
      <c r="E127"/>
      <c r="F127"/>
      <c r="G127"/>
      <c r="H127"/>
      <c r="I127"/>
      <c r="J127"/>
      <c r="K127"/>
      <c r="L127"/>
      <c r="M127"/>
      <c r="N127"/>
      <c r="O127"/>
      <c r="P127"/>
      <c r="Q127"/>
      <c r="R127"/>
      <c r="S127"/>
      <c r="T127"/>
      <c r="U127"/>
      <c r="V127"/>
      <c r="W127"/>
      <c r="X127"/>
      <c r="Y127"/>
      <c r="Z127"/>
      <c r="AA127"/>
    </row>
    <row r="128" spans="1:27" x14ac:dyDescent="0.4">
      <c r="A128"/>
      <c r="B128"/>
      <c r="C128"/>
      <c r="D128"/>
      <c r="E128"/>
      <c r="F128"/>
      <c r="G128"/>
      <c r="H128"/>
      <c r="I128"/>
      <c r="J128"/>
      <c r="K128"/>
      <c r="L128"/>
      <c r="M128"/>
      <c r="N128"/>
      <c r="O128"/>
      <c r="P128"/>
      <c r="Q128"/>
      <c r="R128"/>
      <c r="S128"/>
      <c r="T128"/>
      <c r="U128"/>
      <c r="V128"/>
      <c r="W128"/>
      <c r="X128"/>
      <c r="Y128"/>
      <c r="Z128"/>
      <c r="AA128"/>
    </row>
    <row r="129" spans="1:27" x14ac:dyDescent="0.4">
      <c r="A129"/>
      <c r="B129"/>
      <c r="C129"/>
      <c r="D129"/>
      <c r="E129"/>
      <c r="F129"/>
      <c r="G129"/>
      <c r="H129"/>
      <c r="I129"/>
      <c r="J129"/>
      <c r="K129"/>
      <c r="L129"/>
      <c r="M129"/>
      <c r="N129"/>
      <c r="O129"/>
      <c r="P129"/>
      <c r="Q129"/>
      <c r="R129"/>
      <c r="S129"/>
      <c r="T129"/>
      <c r="U129"/>
      <c r="V129"/>
      <c r="W129"/>
      <c r="X129"/>
      <c r="Y129"/>
      <c r="Z129"/>
      <c r="AA129"/>
    </row>
    <row r="130" spans="1:27" x14ac:dyDescent="0.4">
      <c r="A130"/>
      <c r="B130"/>
      <c r="C130"/>
      <c r="D130"/>
      <c r="E130"/>
      <c r="F130"/>
      <c r="G130"/>
      <c r="H130"/>
      <c r="I130"/>
      <c r="J130"/>
      <c r="K130"/>
      <c r="L130"/>
      <c r="M130"/>
      <c r="N130"/>
      <c r="O130"/>
      <c r="P130"/>
      <c r="Q130"/>
      <c r="R130"/>
      <c r="S130"/>
      <c r="T130"/>
      <c r="U130"/>
      <c r="V130"/>
      <c r="W130"/>
      <c r="X130"/>
      <c r="Y130"/>
      <c r="Z130"/>
      <c r="AA130"/>
    </row>
    <row r="131" spans="1:27" x14ac:dyDescent="0.4">
      <c r="A131"/>
      <c r="B131"/>
      <c r="C131"/>
      <c r="D131"/>
      <c r="E131"/>
      <c r="F131"/>
      <c r="G131"/>
      <c r="H131"/>
      <c r="I131"/>
      <c r="J131"/>
      <c r="K131"/>
      <c r="L131"/>
      <c r="M131"/>
      <c r="N131"/>
      <c r="O131"/>
      <c r="P131"/>
      <c r="Q131"/>
      <c r="R131"/>
      <c r="S131"/>
      <c r="T131"/>
      <c r="U131"/>
      <c r="V131"/>
      <c r="W131"/>
      <c r="X131"/>
      <c r="Y131"/>
      <c r="Z131"/>
      <c r="AA131"/>
    </row>
    <row r="132" spans="1:27" x14ac:dyDescent="0.4">
      <c r="A132"/>
      <c r="B132"/>
      <c r="C132"/>
      <c r="D132"/>
      <c r="E132"/>
      <c r="F132"/>
      <c r="G132"/>
      <c r="H132"/>
      <c r="I132"/>
      <c r="J132"/>
      <c r="K132"/>
      <c r="L132"/>
      <c r="M132"/>
      <c r="N132"/>
      <c r="O132"/>
      <c r="P132"/>
      <c r="Q132"/>
      <c r="R132"/>
      <c r="S132"/>
      <c r="T132"/>
      <c r="U132"/>
      <c r="V132"/>
      <c r="W132"/>
      <c r="X132"/>
      <c r="Y132"/>
      <c r="Z132"/>
      <c r="AA132"/>
    </row>
    <row r="133" spans="1:27" x14ac:dyDescent="0.4">
      <c r="A133"/>
      <c r="B133"/>
      <c r="C133"/>
      <c r="D133"/>
      <c r="E133"/>
      <c r="F133"/>
      <c r="G133"/>
      <c r="H133"/>
      <c r="I133"/>
      <c r="J133"/>
      <c r="K133"/>
      <c r="L133"/>
      <c r="M133"/>
      <c r="N133"/>
      <c r="O133"/>
      <c r="P133"/>
      <c r="Q133"/>
      <c r="R133"/>
      <c r="S133"/>
      <c r="T133"/>
      <c r="U133"/>
      <c r="V133"/>
      <c r="W133"/>
      <c r="X133"/>
      <c r="Y133"/>
      <c r="Z133"/>
      <c r="AA133"/>
    </row>
    <row r="134" spans="1:27" x14ac:dyDescent="0.4">
      <c r="A134"/>
      <c r="B134"/>
      <c r="C134"/>
      <c r="D134"/>
      <c r="E134"/>
      <c r="F134"/>
      <c r="G134"/>
      <c r="H134"/>
      <c r="I134"/>
      <c r="J134"/>
      <c r="K134"/>
      <c r="L134"/>
      <c r="M134"/>
      <c r="N134"/>
      <c r="O134"/>
      <c r="P134"/>
      <c r="Q134"/>
      <c r="R134"/>
      <c r="S134"/>
      <c r="T134"/>
      <c r="U134"/>
      <c r="V134"/>
      <c r="W134"/>
      <c r="X134"/>
      <c r="Y134"/>
      <c r="Z134"/>
      <c r="AA134"/>
    </row>
    <row r="135" spans="1:27" x14ac:dyDescent="0.4">
      <c r="A135"/>
      <c r="B135"/>
      <c r="C135"/>
      <c r="D135"/>
      <c r="E135"/>
      <c r="F135"/>
      <c r="G135"/>
      <c r="H135"/>
      <c r="I135"/>
      <c r="J135"/>
      <c r="K135"/>
      <c r="L135"/>
      <c r="M135"/>
      <c r="N135"/>
      <c r="O135"/>
      <c r="P135"/>
      <c r="Q135"/>
      <c r="R135"/>
      <c r="S135"/>
      <c r="T135"/>
      <c r="U135"/>
      <c r="V135"/>
      <c r="W135"/>
      <c r="X135"/>
      <c r="Y135"/>
      <c r="Z135"/>
      <c r="AA135"/>
    </row>
    <row r="136" spans="1:27" x14ac:dyDescent="0.4">
      <c r="A136"/>
      <c r="B136"/>
      <c r="C136"/>
      <c r="D136"/>
      <c r="E136"/>
      <c r="F136"/>
      <c r="G136"/>
      <c r="H136"/>
      <c r="I136"/>
      <c r="J136"/>
      <c r="K136"/>
      <c r="L136"/>
      <c r="M136"/>
      <c r="N136"/>
      <c r="O136"/>
      <c r="P136"/>
      <c r="Q136"/>
      <c r="R136"/>
      <c r="S136"/>
      <c r="T136"/>
      <c r="U136"/>
      <c r="V136"/>
      <c r="W136"/>
      <c r="X136"/>
      <c r="Y136"/>
      <c r="Z136"/>
      <c r="AA136"/>
    </row>
    <row r="137" spans="1:27" x14ac:dyDescent="0.4">
      <c r="A137"/>
      <c r="B137"/>
      <c r="C137"/>
      <c r="D137"/>
      <c r="E137"/>
      <c r="F137"/>
      <c r="G137"/>
      <c r="H137"/>
      <c r="I137"/>
      <c r="J137"/>
      <c r="K137"/>
      <c r="L137"/>
      <c r="M137"/>
      <c r="N137"/>
      <c r="O137"/>
      <c r="P137"/>
      <c r="Q137"/>
      <c r="R137"/>
      <c r="S137"/>
      <c r="T137"/>
      <c r="U137"/>
      <c r="V137"/>
      <c r="W137"/>
      <c r="X137"/>
      <c r="Y137"/>
      <c r="Z137"/>
      <c r="AA137"/>
    </row>
    <row r="138" spans="1:27" x14ac:dyDescent="0.4">
      <c r="A138"/>
      <c r="B138"/>
      <c r="C138"/>
      <c r="D138"/>
      <c r="E138"/>
      <c r="F138"/>
      <c r="G138"/>
      <c r="H138"/>
      <c r="I138"/>
      <c r="J138"/>
      <c r="K138"/>
      <c r="L138"/>
      <c r="M138"/>
      <c r="N138"/>
      <c r="O138"/>
      <c r="P138"/>
      <c r="Q138"/>
      <c r="R138"/>
      <c r="S138"/>
      <c r="T138"/>
      <c r="U138"/>
      <c r="V138"/>
      <c r="W138"/>
      <c r="X138"/>
      <c r="Y138"/>
      <c r="Z138"/>
      <c r="AA138"/>
    </row>
    <row r="139" spans="1:27" x14ac:dyDescent="0.4">
      <c r="A139"/>
      <c r="B139"/>
      <c r="C139"/>
      <c r="D139"/>
      <c r="E139"/>
      <c r="F139"/>
      <c r="G139"/>
      <c r="H139"/>
      <c r="I139"/>
      <c r="J139"/>
      <c r="K139"/>
      <c r="L139"/>
      <c r="M139"/>
      <c r="N139"/>
      <c r="O139"/>
      <c r="P139"/>
      <c r="Q139"/>
      <c r="R139"/>
      <c r="S139"/>
      <c r="T139"/>
      <c r="U139"/>
      <c r="V139"/>
      <c r="W139"/>
      <c r="X139"/>
      <c r="Y139"/>
      <c r="Z139"/>
      <c r="AA139"/>
    </row>
    <row r="140" spans="1:27" x14ac:dyDescent="0.4">
      <c r="A140"/>
      <c r="B140"/>
      <c r="C140"/>
      <c r="D140"/>
      <c r="E140"/>
      <c r="F140"/>
      <c r="G140"/>
      <c r="H140"/>
      <c r="I140"/>
      <c r="J140"/>
      <c r="K140"/>
      <c r="L140"/>
      <c r="M140"/>
      <c r="N140"/>
      <c r="O140"/>
      <c r="P140"/>
      <c r="Q140"/>
      <c r="R140"/>
      <c r="S140"/>
      <c r="T140"/>
      <c r="U140"/>
      <c r="V140"/>
      <c r="W140"/>
      <c r="X140"/>
      <c r="Y140"/>
      <c r="Z140"/>
      <c r="AA140"/>
    </row>
    <row r="141" spans="1:27" x14ac:dyDescent="0.4">
      <c r="A141"/>
      <c r="B141"/>
      <c r="C141"/>
      <c r="D141"/>
      <c r="E141"/>
      <c r="F141"/>
      <c r="G141"/>
      <c r="H141"/>
      <c r="I141"/>
      <c r="J141"/>
      <c r="K141"/>
      <c r="L141"/>
      <c r="M141"/>
      <c r="N141"/>
      <c r="O141"/>
      <c r="P141"/>
      <c r="Q141"/>
      <c r="R141"/>
      <c r="S141"/>
      <c r="T141"/>
      <c r="U141"/>
      <c r="V141"/>
      <c r="W141"/>
      <c r="X141"/>
      <c r="Y141"/>
      <c r="Z141"/>
      <c r="AA141"/>
    </row>
    <row r="142" spans="1:27" x14ac:dyDescent="0.4">
      <c r="A142"/>
      <c r="B142"/>
      <c r="C142"/>
      <c r="D142"/>
      <c r="E142"/>
      <c r="F142"/>
      <c r="G142"/>
      <c r="H142"/>
      <c r="I142"/>
      <c r="J142"/>
      <c r="K142"/>
      <c r="L142"/>
      <c r="M142"/>
      <c r="N142"/>
      <c r="O142"/>
      <c r="P142"/>
      <c r="Q142"/>
      <c r="R142"/>
      <c r="S142"/>
      <c r="T142"/>
      <c r="U142"/>
      <c r="V142"/>
      <c r="W142"/>
      <c r="X142"/>
      <c r="Y142"/>
      <c r="Z142"/>
      <c r="AA142"/>
    </row>
    <row r="143" spans="1:27" x14ac:dyDescent="0.4">
      <c r="A143"/>
      <c r="B143"/>
      <c r="C143"/>
      <c r="D143"/>
      <c r="E143"/>
      <c r="F143"/>
      <c r="G143"/>
      <c r="H143"/>
      <c r="I143"/>
      <c r="J143"/>
      <c r="K143"/>
      <c r="L143"/>
      <c r="M143"/>
      <c r="N143"/>
      <c r="O143"/>
      <c r="P143"/>
      <c r="Q143"/>
      <c r="R143"/>
      <c r="S143"/>
      <c r="T143"/>
      <c r="U143"/>
      <c r="V143"/>
      <c r="W143"/>
      <c r="X143"/>
      <c r="Y143"/>
      <c r="Z143"/>
      <c r="AA143"/>
    </row>
    <row r="144" spans="1:27" x14ac:dyDescent="0.4">
      <c r="A144"/>
      <c r="B144"/>
      <c r="C144"/>
      <c r="D144"/>
      <c r="E144"/>
      <c r="F144"/>
      <c r="G144"/>
      <c r="H144"/>
      <c r="I144"/>
      <c r="J144"/>
      <c r="K144"/>
      <c r="L144"/>
      <c r="M144"/>
      <c r="N144"/>
      <c r="O144"/>
      <c r="P144"/>
      <c r="Q144"/>
      <c r="R144"/>
      <c r="S144"/>
      <c r="T144"/>
      <c r="U144"/>
      <c r="V144"/>
      <c r="W144"/>
      <c r="X144"/>
      <c r="Y144"/>
      <c r="Z144"/>
      <c r="AA144"/>
    </row>
    <row r="145" spans="1:27" x14ac:dyDescent="0.4">
      <c r="A145"/>
      <c r="B145"/>
      <c r="C145"/>
      <c r="D145"/>
      <c r="E145"/>
      <c r="F145"/>
      <c r="G145"/>
      <c r="H145"/>
      <c r="I145"/>
      <c r="J145"/>
      <c r="K145"/>
      <c r="L145"/>
      <c r="M145"/>
      <c r="N145"/>
      <c r="O145"/>
      <c r="P145"/>
      <c r="Q145"/>
      <c r="R145"/>
      <c r="S145"/>
      <c r="T145"/>
      <c r="U145"/>
      <c r="V145"/>
      <c r="W145"/>
      <c r="X145"/>
      <c r="Y145"/>
      <c r="Z145"/>
      <c r="AA145"/>
    </row>
    <row r="146" spans="1:27" x14ac:dyDescent="0.4">
      <c r="A146"/>
      <c r="B146"/>
      <c r="C146"/>
      <c r="D146"/>
      <c r="E146"/>
      <c r="F146"/>
      <c r="G146"/>
      <c r="H146"/>
      <c r="I146"/>
      <c r="J146"/>
      <c r="K146"/>
      <c r="L146"/>
      <c r="M146"/>
      <c r="N146"/>
      <c r="O146"/>
      <c r="P146"/>
      <c r="Q146"/>
      <c r="R146"/>
      <c r="S146"/>
      <c r="T146"/>
      <c r="U146"/>
      <c r="V146"/>
      <c r="W146"/>
      <c r="X146"/>
      <c r="Y146"/>
      <c r="Z146"/>
      <c r="AA146"/>
    </row>
    <row r="147" spans="1:27" x14ac:dyDescent="0.4">
      <c r="A147"/>
      <c r="B147"/>
      <c r="C147"/>
      <c r="D147"/>
      <c r="E147"/>
      <c r="F147"/>
      <c r="G147"/>
      <c r="H147"/>
      <c r="I147"/>
      <c r="J147"/>
      <c r="K147"/>
      <c r="L147"/>
      <c r="M147"/>
      <c r="N147"/>
      <c r="O147"/>
      <c r="P147"/>
      <c r="Q147"/>
      <c r="R147"/>
      <c r="S147"/>
      <c r="T147"/>
      <c r="U147"/>
      <c r="V147"/>
      <c r="W147"/>
      <c r="X147"/>
      <c r="Y147"/>
      <c r="Z147"/>
      <c r="AA147"/>
    </row>
    <row r="148" spans="1:27" x14ac:dyDescent="0.4">
      <c r="A148"/>
      <c r="B148"/>
      <c r="C148"/>
      <c r="D148"/>
      <c r="E148"/>
      <c r="F148"/>
      <c r="G148"/>
      <c r="H148"/>
      <c r="I148"/>
      <c r="J148"/>
      <c r="K148"/>
      <c r="L148"/>
      <c r="M148"/>
      <c r="N148"/>
      <c r="O148"/>
      <c r="P148"/>
      <c r="Q148"/>
      <c r="R148"/>
      <c r="S148"/>
      <c r="T148"/>
      <c r="U148"/>
      <c r="V148"/>
      <c r="W148"/>
      <c r="X148"/>
      <c r="Y148"/>
      <c r="Z148"/>
      <c r="AA148"/>
    </row>
    <row r="149" spans="1:27" x14ac:dyDescent="0.4">
      <c r="A149"/>
      <c r="B149"/>
      <c r="C149"/>
      <c r="D149"/>
      <c r="E149"/>
      <c r="F149"/>
      <c r="G149"/>
      <c r="H149"/>
      <c r="I149"/>
      <c r="J149"/>
      <c r="K149"/>
      <c r="L149"/>
      <c r="M149"/>
      <c r="N149"/>
      <c r="O149"/>
      <c r="P149"/>
      <c r="Q149"/>
      <c r="R149"/>
      <c r="S149"/>
      <c r="T149"/>
      <c r="U149"/>
      <c r="V149"/>
      <c r="W149"/>
      <c r="X149"/>
      <c r="Y149"/>
      <c r="Z149"/>
      <c r="AA149"/>
    </row>
    <row r="150" spans="1:27" x14ac:dyDescent="0.4">
      <c r="A150"/>
      <c r="B150"/>
      <c r="C150"/>
      <c r="D150"/>
      <c r="E150"/>
      <c r="F150"/>
      <c r="G150"/>
      <c r="H150"/>
      <c r="I150"/>
      <c r="J150"/>
      <c r="K150"/>
      <c r="L150"/>
      <c r="M150"/>
      <c r="N150"/>
      <c r="O150"/>
      <c r="P150"/>
      <c r="Q150"/>
      <c r="R150"/>
      <c r="S150"/>
      <c r="T150"/>
      <c r="U150"/>
      <c r="V150"/>
      <c r="W150"/>
      <c r="X150"/>
      <c r="Y150"/>
      <c r="Z150"/>
      <c r="AA150"/>
    </row>
    <row r="151" spans="1:27" x14ac:dyDescent="0.4">
      <c r="A151"/>
      <c r="B151"/>
      <c r="C151"/>
      <c r="D151"/>
      <c r="E151"/>
      <c r="F151"/>
      <c r="G151"/>
      <c r="H151"/>
      <c r="I151"/>
      <c r="J151"/>
      <c r="K151"/>
      <c r="L151"/>
      <c r="M151"/>
      <c r="N151"/>
      <c r="O151"/>
      <c r="P151"/>
      <c r="Q151"/>
      <c r="R151"/>
      <c r="S151"/>
      <c r="T151"/>
      <c r="U151"/>
      <c r="V151"/>
      <c r="W151"/>
      <c r="X151"/>
      <c r="Y151"/>
      <c r="Z151"/>
      <c r="AA151"/>
    </row>
    <row r="152" spans="1:27" x14ac:dyDescent="0.4">
      <c r="A152"/>
      <c r="B152"/>
      <c r="C152"/>
      <c r="D152"/>
      <c r="E152"/>
      <c r="F152"/>
      <c r="G152"/>
      <c r="H152"/>
      <c r="I152"/>
      <c r="J152"/>
      <c r="K152"/>
      <c r="L152"/>
      <c r="M152"/>
      <c r="N152"/>
      <c r="O152"/>
      <c r="P152"/>
      <c r="Q152"/>
      <c r="R152"/>
      <c r="S152"/>
      <c r="T152"/>
      <c r="U152"/>
      <c r="V152"/>
      <c r="W152"/>
      <c r="X152"/>
      <c r="Y152"/>
      <c r="Z152"/>
      <c r="AA152"/>
    </row>
    <row r="153" spans="1:27" x14ac:dyDescent="0.4">
      <c r="A153"/>
      <c r="B153"/>
      <c r="C153"/>
      <c r="D153"/>
      <c r="E153"/>
      <c r="F153"/>
      <c r="G153"/>
      <c r="H153"/>
      <c r="I153"/>
      <c r="J153"/>
      <c r="K153"/>
      <c r="L153"/>
      <c r="M153"/>
      <c r="N153"/>
      <c r="O153"/>
      <c r="P153"/>
      <c r="Q153"/>
      <c r="R153"/>
      <c r="S153"/>
      <c r="T153"/>
      <c r="U153"/>
      <c r="V153"/>
      <c r="W153"/>
      <c r="X153"/>
      <c r="Y153"/>
      <c r="Z153"/>
      <c r="AA153"/>
    </row>
    <row r="154" spans="1:27" x14ac:dyDescent="0.4">
      <c r="A154"/>
      <c r="B154"/>
      <c r="C154"/>
      <c r="D154"/>
      <c r="E154"/>
      <c r="F154"/>
      <c r="G154"/>
      <c r="H154"/>
      <c r="I154"/>
      <c r="J154"/>
      <c r="K154"/>
      <c r="L154"/>
      <c r="M154"/>
      <c r="N154"/>
      <c r="O154"/>
      <c r="P154"/>
      <c r="Q154"/>
      <c r="R154"/>
      <c r="S154"/>
      <c r="T154"/>
      <c r="U154"/>
      <c r="V154"/>
      <c r="W154"/>
      <c r="X154"/>
      <c r="Y154"/>
      <c r="Z154"/>
      <c r="AA154"/>
    </row>
    <row r="155" spans="1:27" x14ac:dyDescent="0.4">
      <c r="A155"/>
      <c r="B155"/>
      <c r="C155"/>
      <c r="D155"/>
      <c r="E155"/>
      <c r="F155"/>
      <c r="G155"/>
      <c r="H155"/>
      <c r="I155"/>
      <c r="J155"/>
      <c r="K155"/>
      <c r="L155"/>
      <c r="M155"/>
      <c r="N155"/>
      <c r="O155"/>
      <c r="P155"/>
      <c r="Q155"/>
      <c r="R155"/>
      <c r="S155"/>
      <c r="T155"/>
      <c r="U155"/>
      <c r="V155"/>
      <c r="W155"/>
      <c r="X155"/>
      <c r="Y155"/>
      <c r="Z155"/>
      <c r="AA155"/>
    </row>
    <row r="156" spans="1:27" x14ac:dyDescent="0.4">
      <c r="A156"/>
      <c r="B156"/>
      <c r="C156"/>
      <c r="D156"/>
      <c r="E156"/>
      <c r="F156"/>
      <c r="G156"/>
      <c r="H156"/>
      <c r="I156"/>
      <c r="J156"/>
      <c r="K156"/>
      <c r="L156"/>
      <c r="M156"/>
      <c r="N156"/>
      <c r="O156"/>
      <c r="P156"/>
      <c r="Q156"/>
      <c r="R156"/>
      <c r="S156"/>
      <c r="T156"/>
      <c r="U156"/>
      <c r="V156"/>
      <c r="W156"/>
      <c r="X156"/>
      <c r="Y156"/>
      <c r="Z156"/>
      <c r="AA156"/>
    </row>
    <row r="157" spans="1:27" x14ac:dyDescent="0.4">
      <c r="A157"/>
      <c r="B157"/>
      <c r="C157"/>
      <c r="D157"/>
      <c r="E157"/>
      <c r="F157"/>
      <c r="G157"/>
      <c r="H157"/>
      <c r="I157"/>
      <c r="J157"/>
      <c r="K157"/>
      <c r="L157"/>
      <c r="M157"/>
      <c r="N157"/>
      <c r="O157"/>
      <c r="P157"/>
      <c r="Q157"/>
      <c r="R157"/>
      <c r="S157"/>
      <c r="T157"/>
      <c r="U157"/>
      <c r="V157"/>
      <c r="W157"/>
      <c r="X157"/>
      <c r="Y157"/>
      <c r="Z157"/>
      <c r="AA157"/>
    </row>
    <row r="158" spans="1:27" x14ac:dyDescent="0.4">
      <c r="A158"/>
      <c r="B158"/>
      <c r="C158"/>
      <c r="D158"/>
      <c r="E158"/>
      <c r="F158"/>
      <c r="G158"/>
      <c r="H158"/>
      <c r="I158"/>
      <c r="J158"/>
      <c r="K158"/>
      <c r="L158"/>
      <c r="M158"/>
      <c r="N158"/>
      <c r="O158"/>
      <c r="P158"/>
      <c r="Q158"/>
      <c r="R158"/>
      <c r="S158"/>
      <c r="T158"/>
      <c r="U158"/>
      <c r="V158"/>
      <c r="W158"/>
      <c r="X158"/>
      <c r="Y158"/>
      <c r="Z158"/>
      <c r="AA158"/>
    </row>
    <row r="159" spans="1:27" x14ac:dyDescent="0.4">
      <c r="A159"/>
      <c r="B159"/>
      <c r="C159"/>
      <c r="D159"/>
      <c r="E159"/>
      <c r="F159"/>
      <c r="G159"/>
      <c r="H159"/>
      <c r="I159"/>
      <c r="J159"/>
      <c r="K159"/>
      <c r="L159"/>
      <c r="M159"/>
      <c r="N159"/>
      <c r="O159"/>
      <c r="P159"/>
      <c r="Q159"/>
      <c r="R159"/>
      <c r="S159"/>
      <c r="T159"/>
      <c r="U159"/>
      <c r="V159"/>
      <c r="W159"/>
      <c r="X159"/>
      <c r="Y159"/>
      <c r="Z159"/>
      <c r="AA159"/>
    </row>
    <row r="160" spans="1:27" x14ac:dyDescent="0.4">
      <c r="A160"/>
      <c r="B160"/>
      <c r="C160"/>
      <c r="D160"/>
      <c r="E160"/>
      <c r="F160"/>
      <c r="G160"/>
      <c r="H160"/>
      <c r="I160"/>
      <c r="J160"/>
      <c r="K160"/>
      <c r="L160"/>
      <c r="M160"/>
      <c r="N160"/>
      <c r="O160"/>
      <c r="P160"/>
      <c r="Q160"/>
      <c r="R160"/>
      <c r="S160"/>
      <c r="T160"/>
      <c r="U160"/>
      <c r="V160"/>
      <c r="W160"/>
      <c r="X160"/>
      <c r="Y160"/>
      <c r="Z160"/>
      <c r="AA160"/>
    </row>
    <row r="161" spans="1:27" x14ac:dyDescent="0.4">
      <c r="A161"/>
      <c r="B161"/>
      <c r="C161"/>
      <c r="D161"/>
      <c r="E161"/>
      <c r="F161"/>
      <c r="G161"/>
      <c r="H161"/>
      <c r="I161"/>
      <c r="J161"/>
      <c r="K161"/>
      <c r="L161"/>
      <c r="M161"/>
      <c r="N161"/>
      <c r="O161"/>
      <c r="P161"/>
      <c r="Q161"/>
      <c r="R161"/>
      <c r="S161"/>
      <c r="T161"/>
      <c r="U161"/>
      <c r="V161"/>
      <c r="W161"/>
      <c r="X161"/>
      <c r="Y161"/>
      <c r="Z161"/>
      <c r="AA161"/>
    </row>
    <row r="162" spans="1:27" x14ac:dyDescent="0.4">
      <c r="A162"/>
      <c r="B162"/>
      <c r="C162"/>
      <c r="D162"/>
      <c r="E162"/>
      <c r="F162"/>
      <c r="G162"/>
      <c r="H162"/>
      <c r="I162"/>
      <c r="J162"/>
      <c r="K162"/>
      <c r="L162"/>
      <c r="M162"/>
      <c r="N162"/>
      <c r="O162"/>
      <c r="P162"/>
      <c r="Q162"/>
      <c r="R162"/>
      <c r="S162"/>
      <c r="T162"/>
      <c r="U162"/>
      <c r="V162"/>
      <c r="W162"/>
      <c r="X162"/>
      <c r="Y162"/>
      <c r="Z162"/>
      <c r="AA162"/>
    </row>
    <row r="163" spans="1:27" x14ac:dyDescent="0.4">
      <c r="A163"/>
      <c r="B163"/>
      <c r="C163"/>
      <c r="D163"/>
      <c r="E163"/>
      <c r="F163"/>
      <c r="G163"/>
      <c r="H163"/>
      <c r="I163"/>
      <c r="J163"/>
      <c r="K163"/>
      <c r="L163"/>
      <c r="M163"/>
      <c r="N163"/>
      <c r="O163"/>
      <c r="P163"/>
      <c r="Q163"/>
      <c r="R163"/>
      <c r="S163"/>
      <c r="T163"/>
      <c r="U163"/>
      <c r="V163"/>
      <c r="W163"/>
      <c r="X163"/>
      <c r="Y163"/>
      <c r="Z163"/>
      <c r="AA163"/>
    </row>
    <row r="164" spans="1:27" x14ac:dyDescent="0.4">
      <c r="A164"/>
      <c r="B164"/>
      <c r="C164"/>
      <c r="D164"/>
      <c r="E164"/>
      <c r="F164"/>
      <c r="G164"/>
      <c r="H164"/>
      <c r="I164"/>
      <c r="J164"/>
      <c r="K164"/>
      <c r="L164"/>
      <c r="M164"/>
      <c r="N164"/>
      <c r="O164"/>
      <c r="P164"/>
      <c r="Q164"/>
      <c r="R164"/>
      <c r="S164"/>
      <c r="T164"/>
      <c r="U164"/>
      <c r="V164"/>
      <c r="W164"/>
      <c r="X164"/>
      <c r="Y164"/>
      <c r="Z164"/>
      <c r="AA164"/>
    </row>
    <row r="165" spans="1:27" x14ac:dyDescent="0.4">
      <c r="A165"/>
      <c r="B165"/>
      <c r="C165"/>
      <c r="D165"/>
      <c r="E165"/>
      <c r="F165"/>
      <c r="G165"/>
      <c r="H165"/>
      <c r="I165"/>
      <c r="J165"/>
      <c r="K165"/>
      <c r="L165"/>
      <c r="M165"/>
      <c r="N165"/>
      <c r="O165"/>
      <c r="P165"/>
      <c r="Q165"/>
      <c r="R165"/>
      <c r="S165"/>
      <c r="T165"/>
      <c r="U165"/>
      <c r="V165"/>
      <c r="W165"/>
      <c r="X165"/>
      <c r="Y165"/>
      <c r="Z165"/>
      <c r="AA165"/>
    </row>
    <row r="166" spans="1:27" x14ac:dyDescent="0.4">
      <c r="A166"/>
      <c r="B166"/>
      <c r="C166"/>
      <c r="D166"/>
      <c r="E166"/>
      <c r="F166"/>
      <c r="G166"/>
      <c r="H166"/>
      <c r="I166"/>
      <c r="J166"/>
      <c r="K166"/>
      <c r="L166"/>
      <c r="M166"/>
      <c r="N166"/>
      <c r="O166"/>
      <c r="P166"/>
      <c r="Q166"/>
      <c r="R166"/>
      <c r="S166"/>
      <c r="T166"/>
      <c r="U166"/>
      <c r="V166"/>
      <c r="W166"/>
      <c r="X166"/>
      <c r="Y166"/>
      <c r="Z166"/>
      <c r="AA166"/>
    </row>
    <row r="167" spans="1:27" x14ac:dyDescent="0.4">
      <c r="A167"/>
      <c r="B167"/>
      <c r="C167"/>
      <c r="D167"/>
      <c r="E167"/>
      <c r="F167"/>
      <c r="G167"/>
      <c r="H167"/>
      <c r="I167"/>
      <c r="J167"/>
      <c r="K167"/>
      <c r="L167"/>
      <c r="M167"/>
      <c r="N167"/>
      <c r="O167"/>
      <c r="P167"/>
      <c r="Q167"/>
      <c r="R167"/>
      <c r="S167"/>
      <c r="T167"/>
      <c r="U167"/>
      <c r="V167"/>
      <c r="W167"/>
      <c r="X167"/>
      <c r="Y167"/>
      <c r="Z167"/>
      <c r="AA167"/>
    </row>
    <row r="168" spans="1:27" x14ac:dyDescent="0.4">
      <c r="A168"/>
      <c r="B168"/>
      <c r="C168"/>
      <c r="D168"/>
      <c r="E168"/>
      <c r="F168"/>
      <c r="G168"/>
      <c r="H168"/>
      <c r="I168"/>
      <c r="J168"/>
      <c r="K168"/>
      <c r="L168"/>
      <c r="M168"/>
      <c r="N168"/>
      <c r="O168"/>
      <c r="P168"/>
      <c r="Q168"/>
      <c r="R168"/>
      <c r="S168"/>
      <c r="T168"/>
      <c r="U168"/>
      <c r="V168"/>
      <c r="W168"/>
      <c r="X168"/>
      <c r="Y168"/>
      <c r="Z168"/>
      <c r="AA168"/>
    </row>
    <row r="169" spans="1:27" x14ac:dyDescent="0.4">
      <c r="A169"/>
      <c r="B169"/>
      <c r="C169"/>
      <c r="D169"/>
      <c r="E169"/>
      <c r="F169"/>
      <c r="G169"/>
      <c r="H169"/>
      <c r="I169"/>
      <c r="J169"/>
      <c r="K169"/>
      <c r="L169"/>
      <c r="M169"/>
      <c r="N169"/>
      <c r="O169"/>
      <c r="P169"/>
      <c r="Q169"/>
      <c r="R169"/>
      <c r="S169"/>
      <c r="T169"/>
      <c r="U169"/>
      <c r="V169"/>
      <c r="W169"/>
      <c r="X169"/>
      <c r="Y169"/>
      <c r="Z169"/>
      <c r="AA169"/>
    </row>
    <row r="170" spans="1:27" x14ac:dyDescent="0.4">
      <c r="A170"/>
      <c r="B170"/>
      <c r="C170"/>
      <c r="D170"/>
      <c r="E170"/>
      <c r="F170"/>
      <c r="G170"/>
      <c r="H170"/>
      <c r="I170"/>
      <c r="J170"/>
      <c r="K170"/>
      <c r="L170"/>
      <c r="M170"/>
      <c r="N170"/>
      <c r="O170"/>
      <c r="P170"/>
      <c r="Q170"/>
      <c r="R170"/>
      <c r="S170"/>
      <c r="T170"/>
      <c r="U170"/>
      <c r="V170"/>
      <c r="W170"/>
      <c r="X170"/>
      <c r="Y170"/>
      <c r="Z170"/>
      <c r="AA170"/>
    </row>
    <row r="171" spans="1:27" x14ac:dyDescent="0.4">
      <c r="A171"/>
      <c r="B171"/>
      <c r="C171"/>
      <c r="D171"/>
      <c r="E171"/>
      <c r="F171"/>
      <c r="G171"/>
      <c r="H171"/>
      <c r="I171"/>
      <c r="J171"/>
      <c r="K171"/>
      <c r="L171"/>
      <c r="M171"/>
      <c r="N171"/>
      <c r="O171"/>
      <c r="P171"/>
      <c r="Q171"/>
      <c r="R171"/>
      <c r="S171"/>
      <c r="T171"/>
      <c r="U171"/>
      <c r="V171"/>
      <c r="W171"/>
      <c r="X171"/>
      <c r="Y171"/>
      <c r="Z171"/>
      <c r="AA171"/>
    </row>
    <row r="172" spans="1:27" x14ac:dyDescent="0.4">
      <c r="A172"/>
      <c r="B172"/>
      <c r="C172"/>
      <c r="D172"/>
      <c r="E172"/>
      <c r="F172"/>
      <c r="G172"/>
      <c r="H172"/>
      <c r="I172"/>
      <c r="J172"/>
      <c r="K172"/>
      <c r="L172"/>
      <c r="M172"/>
      <c r="N172"/>
      <c r="O172"/>
      <c r="P172"/>
      <c r="Q172"/>
      <c r="R172"/>
      <c r="S172"/>
      <c r="T172"/>
      <c r="U172"/>
      <c r="V172"/>
      <c r="W172"/>
      <c r="X172"/>
      <c r="Y172"/>
      <c r="Z172"/>
      <c r="AA172"/>
    </row>
    <row r="173" spans="1:27" x14ac:dyDescent="0.4">
      <c r="A173"/>
      <c r="B173"/>
      <c r="C173"/>
      <c r="D173"/>
      <c r="E173"/>
      <c r="F173"/>
      <c r="G173"/>
      <c r="H173"/>
      <c r="I173"/>
      <c r="J173"/>
      <c r="K173"/>
      <c r="L173"/>
      <c r="M173"/>
      <c r="N173"/>
      <c r="O173"/>
      <c r="P173"/>
      <c r="Q173"/>
      <c r="R173"/>
      <c r="S173"/>
      <c r="T173"/>
      <c r="U173"/>
      <c r="V173"/>
      <c r="W173"/>
      <c r="X173"/>
      <c r="Y173"/>
      <c r="Z173"/>
      <c r="AA173"/>
    </row>
    <row r="174" spans="1:27" x14ac:dyDescent="0.4">
      <c r="A174"/>
      <c r="B174"/>
      <c r="C174"/>
      <c r="D174"/>
      <c r="E174"/>
      <c r="F174"/>
      <c r="G174"/>
      <c r="H174"/>
      <c r="I174"/>
      <c r="J174"/>
      <c r="K174"/>
      <c r="L174"/>
      <c r="M174"/>
      <c r="N174"/>
      <c r="O174"/>
      <c r="P174"/>
      <c r="Q174"/>
      <c r="R174"/>
      <c r="S174"/>
      <c r="T174"/>
      <c r="U174"/>
      <c r="V174"/>
      <c r="W174"/>
      <c r="X174"/>
      <c r="Y174"/>
      <c r="Z174"/>
      <c r="AA174"/>
    </row>
    <row r="175" spans="1:27" x14ac:dyDescent="0.4">
      <c r="A175"/>
      <c r="B175"/>
      <c r="C175"/>
      <c r="D175"/>
      <c r="E175"/>
      <c r="F175"/>
      <c r="G175"/>
      <c r="H175"/>
      <c r="I175"/>
      <c r="J175"/>
      <c r="K175"/>
      <c r="L175"/>
      <c r="M175"/>
      <c r="N175"/>
      <c r="O175"/>
      <c r="P175"/>
      <c r="Q175"/>
      <c r="R175"/>
      <c r="S175"/>
      <c r="T175"/>
      <c r="U175"/>
      <c r="V175"/>
      <c r="W175"/>
      <c r="X175"/>
      <c r="Y175"/>
      <c r="Z175"/>
      <c r="AA175"/>
    </row>
    <row r="176" spans="1:27" x14ac:dyDescent="0.4">
      <c r="A176"/>
      <c r="B176"/>
      <c r="C176"/>
      <c r="D176"/>
      <c r="E176"/>
      <c r="F176"/>
      <c r="G176"/>
      <c r="H176"/>
      <c r="I176"/>
      <c r="J176"/>
      <c r="K176"/>
      <c r="L176"/>
      <c r="M176"/>
      <c r="N176"/>
      <c r="O176"/>
      <c r="P176"/>
      <c r="Q176"/>
      <c r="R176"/>
      <c r="S176"/>
      <c r="T176"/>
      <c r="U176"/>
      <c r="V176"/>
      <c r="W176"/>
      <c r="X176"/>
      <c r="Y176"/>
      <c r="Z176"/>
      <c r="AA176"/>
    </row>
    <row r="177" spans="1:27" x14ac:dyDescent="0.4">
      <c r="A177"/>
      <c r="B177"/>
      <c r="C177"/>
      <c r="D177"/>
      <c r="E177"/>
      <c r="F177"/>
      <c r="G177"/>
      <c r="H177"/>
      <c r="I177"/>
      <c r="J177"/>
      <c r="K177"/>
      <c r="L177"/>
      <c r="M177"/>
      <c r="N177"/>
      <c r="O177"/>
      <c r="P177"/>
      <c r="Q177"/>
      <c r="R177"/>
      <c r="S177"/>
      <c r="T177"/>
      <c r="U177"/>
      <c r="V177"/>
      <c r="W177"/>
      <c r="X177"/>
      <c r="Y177"/>
      <c r="Z177"/>
      <c r="AA177"/>
    </row>
    <row r="178" spans="1:27" x14ac:dyDescent="0.4">
      <c r="A178"/>
      <c r="B178"/>
      <c r="C178"/>
      <c r="D178"/>
      <c r="E178"/>
      <c r="F178"/>
      <c r="G178"/>
      <c r="H178"/>
      <c r="I178"/>
      <c r="J178"/>
      <c r="K178"/>
      <c r="L178"/>
      <c r="M178"/>
      <c r="N178"/>
      <c r="O178"/>
      <c r="P178"/>
      <c r="Q178"/>
      <c r="R178"/>
      <c r="S178"/>
      <c r="T178"/>
      <c r="U178"/>
      <c r="V178"/>
      <c r="W178"/>
      <c r="X178"/>
      <c r="Y178"/>
      <c r="Z178"/>
      <c r="AA178"/>
    </row>
    <row r="179" spans="1:27" x14ac:dyDescent="0.4">
      <c r="A179"/>
      <c r="B179"/>
      <c r="C179"/>
      <c r="D179"/>
      <c r="E179"/>
      <c r="F179"/>
      <c r="G179"/>
      <c r="H179"/>
      <c r="I179"/>
      <c r="J179"/>
      <c r="K179"/>
      <c r="L179"/>
      <c r="M179"/>
      <c r="N179"/>
      <c r="O179"/>
      <c r="P179"/>
      <c r="Q179"/>
      <c r="R179"/>
      <c r="S179"/>
      <c r="T179"/>
      <c r="U179"/>
      <c r="V179"/>
      <c r="W179"/>
      <c r="X179"/>
      <c r="Y179"/>
      <c r="Z179"/>
      <c r="AA179"/>
    </row>
    <row r="180" spans="1:27" x14ac:dyDescent="0.4">
      <c r="A180"/>
      <c r="B180"/>
      <c r="C180"/>
      <c r="D180"/>
      <c r="E180"/>
      <c r="F180"/>
      <c r="G180"/>
      <c r="H180"/>
      <c r="I180"/>
      <c r="J180"/>
      <c r="K180"/>
      <c r="L180"/>
      <c r="M180"/>
      <c r="N180"/>
      <c r="O180"/>
      <c r="P180"/>
      <c r="Q180"/>
      <c r="R180"/>
      <c r="S180"/>
      <c r="T180"/>
      <c r="U180"/>
      <c r="V180"/>
      <c r="W180"/>
      <c r="X180"/>
      <c r="Y180"/>
      <c r="Z180"/>
      <c r="AA180"/>
    </row>
    <row r="181" spans="1:27" x14ac:dyDescent="0.4">
      <c r="A181"/>
      <c r="B181"/>
      <c r="C181"/>
      <c r="D181"/>
      <c r="E181"/>
      <c r="F181"/>
      <c r="G181"/>
      <c r="H181"/>
      <c r="I181"/>
      <c r="J181"/>
      <c r="K181"/>
      <c r="L181"/>
      <c r="M181"/>
      <c r="N181"/>
      <c r="O181"/>
      <c r="P181"/>
      <c r="Q181"/>
      <c r="R181"/>
      <c r="S181"/>
      <c r="T181"/>
      <c r="U181"/>
      <c r="V181"/>
      <c r="W181"/>
      <c r="X181"/>
      <c r="Y181"/>
      <c r="Z181"/>
      <c r="AA181"/>
    </row>
    <row r="182" spans="1:27" x14ac:dyDescent="0.4">
      <c r="A182"/>
      <c r="B182"/>
      <c r="C182"/>
      <c r="D182"/>
      <c r="E182"/>
      <c r="F182"/>
      <c r="G182"/>
      <c r="H182"/>
      <c r="I182"/>
      <c r="J182"/>
      <c r="K182"/>
      <c r="L182"/>
      <c r="M182"/>
      <c r="N182"/>
      <c r="O182"/>
      <c r="P182"/>
      <c r="Q182"/>
      <c r="R182"/>
      <c r="S182"/>
      <c r="T182"/>
      <c r="U182"/>
      <c r="V182"/>
      <c r="W182"/>
      <c r="X182"/>
      <c r="Y182"/>
      <c r="Z182"/>
      <c r="AA182"/>
    </row>
    <row r="183" spans="1:27" x14ac:dyDescent="0.4">
      <c r="A183"/>
      <c r="B183"/>
      <c r="C183"/>
      <c r="D183"/>
      <c r="E183"/>
      <c r="F183"/>
      <c r="G183"/>
      <c r="H183"/>
      <c r="I183"/>
      <c r="J183"/>
      <c r="K183"/>
      <c r="L183"/>
      <c r="M183"/>
      <c r="N183"/>
      <c r="O183"/>
      <c r="P183"/>
      <c r="Q183"/>
      <c r="R183"/>
      <c r="S183"/>
      <c r="T183"/>
      <c r="U183"/>
      <c r="V183"/>
      <c r="W183"/>
      <c r="X183"/>
      <c r="Y183"/>
      <c r="Z183"/>
      <c r="AA183"/>
    </row>
    <row r="184" spans="1:27" x14ac:dyDescent="0.4">
      <c r="A184"/>
      <c r="B184"/>
      <c r="C184"/>
      <c r="D184"/>
      <c r="E184"/>
      <c r="F184"/>
      <c r="G184"/>
      <c r="H184"/>
      <c r="I184"/>
      <c r="J184"/>
      <c r="K184"/>
      <c r="L184"/>
      <c r="M184"/>
      <c r="N184"/>
      <c r="O184"/>
      <c r="P184"/>
      <c r="Q184"/>
      <c r="R184"/>
      <c r="S184"/>
      <c r="T184"/>
      <c r="U184"/>
      <c r="V184"/>
      <c r="W184"/>
      <c r="X184"/>
      <c r="Y184"/>
      <c r="Z184"/>
      <c r="AA184"/>
    </row>
    <row r="185" spans="1:27" x14ac:dyDescent="0.4">
      <c r="A185"/>
      <c r="B185"/>
      <c r="C185"/>
      <c r="D185"/>
      <c r="E185"/>
      <c r="F185"/>
      <c r="G185"/>
      <c r="H185"/>
      <c r="I185"/>
      <c r="J185"/>
      <c r="K185"/>
      <c r="L185"/>
      <c r="M185"/>
      <c r="N185"/>
      <c r="O185"/>
      <c r="P185"/>
      <c r="Q185"/>
      <c r="R185"/>
      <c r="S185"/>
      <c r="T185"/>
      <c r="U185"/>
      <c r="V185"/>
      <c r="W185"/>
      <c r="X185"/>
      <c r="Y185"/>
      <c r="Z185"/>
      <c r="AA185"/>
    </row>
    <row r="186" spans="1:27" x14ac:dyDescent="0.4">
      <c r="A186"/>
      <c r="B186"/>
      <c r="C186"/>
      <c r="D186"/>
      <c r="E186"/>
      <c r="F186"/>
      <c r="G186"/>
      <c r="H186"/>
      <c r="I186"/>
      <c r="J186"/>
      <c r="K186"/>
      <c r="L186"/>
      <c r="M186"/>
      <c r="N186"/>
      <c r="O186"/>
      <c r="P186"/>
      <c r="Q186"/>
      <c r="R186"/>
      <c r="S186"/>
      <c r="T186"/>
      <c r="U186"/>
      <c r="V186"/>
      <c r="W186"/>
      <c r="X186"/>
      <c r="Y186"/>
      <c r="Z186"/>
      <c r="AA186"/>
    </row>
    <row r="187" spans="1:27" x14ac:dyDescent="0.4">
      <c r="A187"/>
      <c r="B187"/>
      <c r="C187"/>
      <c r="D187"/>
      <c r="E187"/>
      <c r="F187"/>
      <c r="G187"/>
      <c r="H187"/>
      <c r="I187"/>
      <c r="J187"/>
      <c r="K187"/>
      <c r="L187"/>
      <c r="M187"/>
      <c r="N187"/>
      <c r="O187"/>
      <c r="P187"/>
      <c r="Q187"/>
      <c r="R187"/>
      <c r="S187"/>
      <c r="T187"/>
      <c r="U187"/>
      <c r="V187"/>
      <c r="W187"/>
      <c r="X187"/>
      <c r="Y187"/>
      <c r="Z187"/>
      <c r="AA187"/>
    </row>
    <row r="188" spans="1:27" x14ac:dyDescent="0.4">
      <c r="A188"/>
      <c r="B188"/>
      <c r="C188"/>
      <c r="D188"/>
      <c r="E188"/>
      <c r="F188"/>
      <c r="G188"/>
      <c r="H188"/>
      <c r="I188"/>
      <c r="J188"/>
      <c r="K188"/>
      <c r="L188"/>
      <c r="M188"/>
      <c r="N188"/>
      <c r="O188"/>
      <c r="P188"/>
      <c r="Q188"/>
      <c r="R188"/>
      <c r="S188"/>
      <c r="T188"/>
      <c r="U188"/>
      <c r="V188"/>
      <c r="W188"/>
      <c r="X188"/>
      <c r="Y188"/>
      <c r="Z188"/>
      <c r="AA188"/>
    </row>
    <row r="189" spans="1:27" x14ac:dyDescent="0.4">
      <c r="A189"/>
      <c r="B189"/>
      <c r="C189"/>
      <c r="D189"/>
      <c r="E189"/>
      <c r="F189"/>
      <c r="G189"/>
      <c r="H189"/>
      <c r="I189"/>
      <c r="J189"/>
      <c r="K189"/>
      <c r="L189"/>
      <c r="M189"/>
      <c r="N189"/>
      <c r="O189"/>
      <c r="P189"/>
      <c r="Q189"/>
      <c r="R189"/>
      <c r="S189"/>
      <c r="T189"/>
      <c r="U189"/>
      <c r="V189"/>
      <c r="W189"/>
      <c r="X189"/>
      <c r="Y189"/>
      <c r="Z189"/>
      <c r="AA189"/>
    </row>
    <row r="190" spans="1:27" x14ac:dyDescent="0.4">
      <c r="A190"/>
      <c r="B190"/>
      <c r="C190"/>
      <c r="D190"/>
      <c r="E190"/>
      <c r="F190"/>
      <c r="G190"/>
      <c r="H190"/>
      <c r="I190"/>
      <c r="J190"/>
      <c r="K190"/>
      <c r="L190"/>
      <c r="M190"/>
      <c r="N190"/>
      <c r="O190"/>
      <c r="P190"/>
      <c r="Q190"/>
      <c r="R190"/>
      <c r="S190"/>
      <c r="T190"/>
      <c r="U190"/>
      <c r="V190"/>
      <c r="W190"/>
      <c r="X190"/>
      <c r="Y190"/>
      <c r="Z190"/>
      <c r="AA190"/>
    </row>
    <row r="191" spans="1:27" x14ac:dyDescent="0.4">
      <c r="A191"/>
      <c r="B191"/>
      <c r="C191"/>
      <c r="D191"/>
      <c r="E191"/>
      <c r="F191"/>
      <c r="G191"/>
      <c r="H191"/>
      <c r="I191"/>
      <c r="J191"/>
      <c r="K191"/>
      <c r="L191"/>
      <c r="M191"/>
      <c r="N191"/>
      <c r="O191"/>
      <c r="P191"/>
      <c r="Q191"/>
      <c r="R191"/>
      <c r="S191"/>
      <c r="T191"/>
      <c r="U191"/>
      <c r="V191"/>
      <c r="W191"/>
      <c r="X191"/>
      <c r="Y191"/>
      <c r="Z191"/>
      <c r="AA191"/>
    </row>
    <row r="192" spans="1:27" x14ac:dyDescent="0.4">
      <c r="A192"/>
      <c r="B192"/>
      <c r="C192"/>
      <c r="D192"/>
      <c r="E192"/>
      <c r="F192"/>
      <c r="G192"/>
      <c r="H192"/>
      <c r="I192"/>
      <c r="J192"/>
      <c r="K192"/>
      <c r="L192"/>
      <c r="M192"/>
      <c r="N192"/>
      <c r="O192"/>
      <c r="P192"/>
      <c r="Q192"/>
      <c r="R192"/>
      <c r="S192"/>
      <c r="T192"/>
      <c r="U192"/>
      <c r="V192"/>
      <c r="W192"/>
      <c r="X192"/>
      <c r="Y192"/>
      <c r="Z192"/>
      <c r="AA192"/>
    </row>
    <row r="193" spans="1:27" x14ac:dyDescent="0.4">
      <c r="A193"/>
      <c r="B193"/>
      <c r="C193"/>
      <c r="D193"/>
      <c r="E193"/>
      <c r="F193"/>
      <c r="G193"/>
      <c r="H193"/>
      <c r="I193"/>
      <c r="J193"/>
      <c r="K193"/>
      <c r="L193"/>
      <c r="M193"/>
      <c r="N193"/>
      <c r="O193"/>
      <c r="P193"/>
      <c r="Q193"/>
      <c r="R193"/>
      <c r="S193"/>
      <c r="T193"/>
      <c r="U193"/>
      <c r="V193"/>
      <c r="W193"/>
      <c r="X193"/>
      <c r="Y193"/>
      <c r="Z193"/>
      <c r="AA193"/>
    </row>
    <row r="194" spans="1:27" x14ac:dyDescent="0.4">
      <c r="A194"/>
      <c r="B194"/>
      <c r="C194"/>
      <c r="D194"/>
      <c r="E194"/>
      <c r="F194"/>
      <c r="G194"/>
      <c r="H194"/>
      <c r="I194"/>
      <c r="J194"/>
      <c r="K194"/>
      <c r="L194"/>
      <c r="M194"/>
      <c r="N194"/>
      <c r="O194"/>
      <c r="P194"/>
      <c r="Q194"/>
      <c r="R194"/>
      <c r="S194"/>
      <c r="T194"/>
      <c r="U194"/>
      <c r="V194"/>
      <c r="W194"/>
      <c r="X194"/>
      <c r="Y194"/>
      <c r="Z194"/>
      <c r="AA194"/>
    </row>
    <row r="195" spans="1:27" x14ac:dyDescent="0.4">
      <c r="A195"/>
      <c r="B195"/>
      <c r="C195"/>
      <c r="D195"/>
      <c r="E195"/>
      <c r="F195"/>
      <c r="G195"/>
      <c r="H195"/>
      <c r="I195"/>
      <c r="J195"/>
      <c r="K195"/>
      <c r="L195"/>
      <c r="M195"/>
      <c r="N195"/>
      <c r="O195"/>
      <c r="P195"/>
      <c r="Q195"/>
      <c r="R195"/>
      <c r="S195"/>
      <c r="T195"/>
      <c r="U195"/>
      <c r="V195"/>
      <c r="W195"/>
      <c r="X195"/>
      <c r="Y195"/>
      <c r="Z195"/>
      <c r="AA195"/>
    </row>
    <row r="196" spans="1:27" x14ac:dyDescent="0.4">
      <c r="A196"/>
      <c r="B196"/>
      <c r="C196"/>
      <c r="D196"/>
      <c r="E196"/>
      <c r="F196"/>
      <c r="G196"/>
      <c r="H196"/>
      <c r="I196"/>
      <c r="J196"/>
      <c r="K196"/>
      <c r="L196"/>
      <c r="M196"/>
      <c r="N196"/>
      <c r="O196"/>
      <c r="P196"/>
      <c r="Q196"/>
      <c r="R196"/>
      <c r="S196"/>
      <c r="T196"/>
      <c r="U196"/>
      <c r="V196"/>
      <c r="W196"/>
      <c r="X196"/>
      <c r="Y196"/>
      <c r="Z196"/>
      <c r="AA196"/>
    </row>
    <row r="197" spans="1:27" x14ac:dyDescent="0.4">
      <c r="A197"/>
      <c r="B197"/>
      <c r="C197"/>
      <c r="D197"/>
      <c r="E197"/>
      <c r="F197"/>
      <c r="G197"/>
      <c r="H197"/>
      <c r="I197"/>
      <c r="J197"/>
      <c r="K197"/>
      <c r="L197"/>
      <c r="M197"/>
      <c r="N197"/>
      <c r="O197"/>
      <c r="P197"/>
      <c r="Q197"/>
      <c r="R197"/>
      <c r="S197"/>
      <c r="T197"/>
      <c r="U197"/>
      <c r="V197"/>
      <c r="W197"/>
      <c r="X197"/>
      <c r="Y197"/>
      <c r="Z197"/>
      <c r="AA197"/>
    </row>
    <row r="198" spans="1:27" x14ac:dyDescent="0.4">
      <c r="A198"/>
      <c r="B198"/>
      <c r="C198"/>
      <c r="D198"/>
      <c r="E198"/>
      <c r="F198"/>
      <c r="G198"/>
      <c r="H198"/>
      <c r="I198"/>
      <c r="J198"/>
      <c r="K198"/>
      <c r="L198"/>
      <c r="M198"/>
      <c r="N198"/>
      <c r="O198"/>
      <c r="P198"/>
      <c r="Q198"/>
      <c r="R198"/>
      <c r="S198"/>
      <c r="T198"/>
      <c r="U198"/>
      <c r="V198"/>
      <c r="W198"/>
      <c r="X198"/>
      <c r="Y198"/>
      <c r="Z198"/>
      <c r="AA198"/>
    </row>
    <row r="199" spans="1:27" x14ac:dyDescent="0.4">
      <c r="A199"/>
      <c r="B199"/>
      <c r="C199"/>
      <c r="D199"/>
      <c r="E199"/>
      <c r="F199"/>
      <c r="G199"/>
      <c r="H199"/>
      <c r="I199"/>
      <c r="J199"/>
      <c r="K199"/>
      <c r="L199"/>
      <c r="M199"/>
      <c r="N199"/>
      <c r="O199"/>
      <c r="P199"/>
      <c r="Q199"/>
      <c r="R199"/>
      <c r="S199"/>
      <c r="T199"/>
      <c r="U199"/>
      <c r="V199"/>
      <c r="W199"/>
      <c r="X199"/>
      <c r="Y199"/>
      <c r="Z199"/>
      <c r="AA199"/>
    </row>
    <row r="200" spans="1:27" x14ac:dyDescent="0.4">
      <c r="A200"/>
      <c r="B200"/>
      <c r="C200"/>
      <c r="D200"/>
      <c r="E200"/>
      <c r="F200"/>
      <c r="G200"/>
      <c r="H200"/>
      <c r="I200"/>
      <c r="J200"/>
      <c r="K200"/>
      <c r="L200"/>
      <c r="M200"/>
      <c r="N200"/>
      <c r="O200"/>
      <c r="P200"/>
      <c r="Q200"/>
      <c r="R200"/>
      <c r="S200"/>
      <c r="T200"/>
      <c r="U200"/>
      <c r="V200"/>
      <c r="W200"/>
      <c r="X200"/>
      <c r="Y200"/>
      <c r="Z200"/>
      <c r="AA200"/>
    </row>
    <row r="201" spans="1:27" x14ac:dyDescent="0.4">
      <c r="A201"/>
      <c r="B201"/>
      <c r="C201"/>
      <c r="D201"/>
      <c r="E201"/>
      <c r="F201"/>
      <c r="G201"/>
      <c r="H201"/>
      <c r="I201"/>
      <c r="J201"/>
      <c r="K201"/>
      <c r="L201"/>
      <c r="M201"/>
      <c r="N201"/>
      <c r="O201"/>
      <c r="P201"/>
      <c r="Q201"/>
      <c r="R201"/>
      <c r="S201"/>
      <c r="T201"/>
      <c r="U201"/>
      <c r="V201"/>
      <c r="W201"/>
      <c r="X201"/>
      <c r="Y201"/>
      <c r="Z201"/>
      <c r="AA201"/>
    </row>
    <row r="202" spans="1:27" x14ac:dyDescent="0.4">
      <c r="A202"/>
      <c r="B202"/>
      <c r="C202"/>
      <c r="D202"/>
      <c r="E202"/>
      <c r="F202"/>
      <c r="G202"/>
      <c r="H202"/>
      <c r="I202"/>
      <c r="J202"/>
      <c r="K202"/>
      <c r="L202"/>
      <c r="M202"/>
      <c r="N202"/>
      <c r="O202"/>
      <c r="P202"/>
      <c r="Q202"/>
      <c r="R202"/>
      <c r="S202"/>
      <c r="T202"/>
      <c r="U202"/>
      <c r="V202"/>
      <c r="W202"/>
      <c r="X202"/>
      <c r="Y202"/>
      <c r="Z202"/>
      <c r="AA202"/>
    </row>
    <row r="203" spans="1:27" x14ac:dyDescent="0.4">
      <c r="A203"/>
      <c r="B203"/>
      <c r="C203"/>
      <c r="D203"/>
      <c r="E203"/>
      <c r="F203"/>
      <c r="G203"/>
      <c r="H203"/>
      <c r="I203"/>
      <c r="J203"/>
      <c r="K203"/>
      <c r="L203"/>
      <c r="M203"/>
      <c r="N203"/>
      <c r="O203"/>
      <c r="P203"/>
      <c r="Q203"/>
      <c r="R203"/>
      <c r="S203"/>
      <c r="T203"/>
      <c r="U203"/>
      <c r="V203"/>
      <c r="W203"/>
      <c r="X203"/>
      <c r="Y203"/>
      <c r="Z203"/>
      <c r="AA203"/>
    </row>
    <row r="204" spans="1:27" x14ac:dyDescent="0.4">
      <c r="A204"/>
      <c r="B204"/>
      <c r="C204"/>
      <c r="D204"/>
      <c r="E204"/>
      <c r="F204"/>
      <c r="G204"/>
      <c r="H204"/>
      <c r="I204"/>
      <c r="J204"/>
      <c r="K204"/>
      <c r="L204"/>
      <c r="M204"/>
      <c r="N204"/>
      <c r="O204"/>
      <c r="P204"/>
      <c r="Q204"/>
      <c r="R204"/>
      <c r="S204"/>
      <c r="T204"/>
      <c r="U204"/>
      <c r="V204"/>
      <c r="W204"/>
      <c r="X204"/>
      <c r="Y204"/>
      <c r="Z204"/>
      <c r="AA204"/>
    </row>
    <row r="205" spans="1:27" x14ac:dyDescent="0.4">
      <c r="A205"/>
      <c r="B205"/>
      <c r="C205"/>
      <c r="D205"/>
      <c r="E205"/>
      <c r="F205"/>
      <c r="G205"/>
      <c r="H205"/>
      <c r="I205"/>
      <c r="J205"/>
      <c r="K205"/>
      <c r="L205"/>
      <c r="M205"/>
      <c r="N205"/>
      <c r="O205"/>
      <c r="P205"/>
      <c r="Q205"/>
      <c r="R205"/>
      <c r="S205"/>
      <c r="T205"/>
      <c r="U205"/>
      <c r="V205"/>
      <c r="W205"/>
      <c r="X205"/>
      <c r="Y205"/>
      <c r="Z205"/>
      <c r="AA205"/>
    </row>
    <row r="206" spans="1:27" x14ac:dyDescent="0.4">
      <c r="A206"/>
      <c r="B206"/>
      <c r="C206"/>
      <c r="D206"/>
      <c r="E206"/>
      <c r="F206"/>
      <c r="G206"/>
      <c r="H206"/>
      <c r="I206"/>
      <c r="J206"/>
      <c r="K206"/>
      <c r="L206"/>
      <c r="M206"/>
      <c r="N206"/>
      <c r="O206"/>
      <c r="P206"/>
      <c r="Q206"/>
      <c r="R206"/>
      <c r="S206"/>
      <c r="T206"/>
      <c r="U206"/>
      <c r="V206"/>
      <c r="W206"/>
      <c r="X206"/>
      <c r="Y206"/>
      <c r="Z206"/>
      <c r="AA206"/>
    </row>
    <row r="207" spans="1:27" x14ac:dyDescent="0.4">
      <c r="A207"/>
      <c r="B207"/>
      <c r="C207"/>
      <c r="D207"/>
      <c r="E207"/>
      <c r="F207"/>
      <c r="G207"/>
      <c r="H207"/>
      <c r="I207"/>
      <c r="J207"/>
      <c r="K207"/>
      <c r="L207"/>
      <c r="M207"/>
      <c r="N207"/>
      <c r="O207"/>
      <c r="P207"/>
      <c r="Q207"/>
      <c r="R207"/>
      <c r="S207"/>
      <c r="T207"/>
      <c r="U207"/>
      <c r="V207"/>
      <c r="W207"/>
      <c r="X207"/>
      <c r="Y207"/>
      <c r="Z207"/>
      <c r="AA207"/>
    </row>
    <row r="208" spans="1:27" x14ac:dyDescent="0.4">
      <c r="A208"/>
      <c r="B208"/>
      <c r="C208"/>
      <c r="D208"/>
      <c r="E208"/>
      <c r="F208"/>
      <c r="G208"/>
      <c r="H208"/>
      <c r="I208"/>
      <c r="J208"/>
      <c r="K208"/>
      <c r="L208"/>
      <c r="M208"/>
      <c r="N208"/>
      <c r="O208"/>
      <c r="P208"/>
      <c r="Q208"/>
      <c r="R208"/>
      <c r="S208"/>
      <c r="T208"/>
      <c r="U208"/>
      <c r="V208"/>
      <c r="W208"/>
      <c r="X208"/>
      <c r="Y208"/>
      <c r="Z208"/>
      <c r="AA208"/>
    </row>
    <row r="209" spans="1:27" x14ac:dyDescent="0.4">
      <c r="A209"/>
      <c r="B209"/>
      <c r="C209"/>
      <c r="D209"/>
      <c r="E209"/>
      <c r="F209"/>
      <c r="G209"/>
      <c r="H209"/>
      <c r="I209"/>
      <c r="J209"/>
      <c r="K209"/>
      <c r="L209"/>
      <c r="M209"/>
      <c r="N209"/>
      <c r="O209"/>
      <c r="P209"/>
      <c r="Q209"/>
      <c r="R209"/>
      <c r="S209"/>
      <c r="T209"/>
      <c r="U209"/>
      <c r="V209"/>
      <c r="W209"/>
      <c r="X209"/>
      <c r="Y209"/>
      <c r="Z209"/>
      <c r="AA209"/>
    </row>
    <row r="210" spans="1:27" x14ac:dyDescent="0.4">
      <c r="A210"/>
      <c r="B210"/>
      <c r="C210"/>
      <c r="D210"/>
      <c r="E210"/>
      <c r="F210"/>
      <c r="G210"/>
      <c r="H210"/>
      <c r="I210"/>
      <c r="J210"/>
      <c r="K210"/>
      <c r="L210"/>
      <c r="M210"/>
      <c r="N210"/>
      <c r="O210"/>
      <c r="P210"/>
      <c r="Q210"/>
      <c r="R210"/>
      <c r="S210"/>
      <c r="T210"/>
      <c r="U210"/>
      <c r="V210"/>
      <c r="W210"/>
      <c r="X210"/>
      <c r="Y210"/>
      <c r="Z210"/>
      <c r="AA210"/>
    </row>
    <row r="211" spans="1:27" x14ac:dyDescent="0.4">
      <c r="A211"/>
      <c r="B211"/>
      <c r="C211"/>
      <c r="D211"/>
      <c r="E211"/>
      <c r="F211"/>
      <c r="G211"/>
      <c r="H211"/>
      <c r="I211"/>
      <c r="J211"/>
      <c r="K211"/>
      <c r="L211"/>
      <c r="M211"/>
      <c r="N211"/>
      <c r="O211"/>
      <c r="P211"/>
      <c r="Q211"/>
      <c r="R211"/>
      <c r="S211"/>
      <c r="T211"/>
      <c r="U211"/>
      <c r="V211"/>
      <c r="W211"/>
      <c r="X211"/>
      <c r="Y211"/>
      <c r="Z211"/>
      <c r="AA211"/>
    </row>
    <row r="212" spans="1:27" x14ac:dyDescent="0.4">
      <c r="A212"/>
      <c r="B212"/>
      <c r="C212"/>
      <c r="D212"/>
      <c r="E212"/>
      <c r="F212"/>
      <c r="G212"/>
      <c r="H212"/>
      <c r="I212"/>
      <c r="J212"/>
      <c r="K212"/>
      <c r="L212"/>
      <c r="M212"/>
      <c r="N212"/>
      <c r="O212"/>
      <c r="P212"/>
      <c r="Q212"/>
      <c r="R212"/>
      <c r="S212"/>
      <c r="T212"/>
      <c r="U212"/>
      <c r="V212"/>
      <c r="W212"/>
      <c r="X212"/>
      <c r="Y212"/>
      <c r="Z212"/>
      <c r="AA212"/>
    </row>
    <row r="213" spans="1:27" x14ac:dyDescent="0.4">
      <c r="A213"/>
      <c r="B213"/>
      <c r="C213"/>
      <c r="D213"/>
      <c r="E213"/>
      <c r="F213"/>
      <c r="G213"/>
      <c r="H213"/>
      <c r="I213"/>
      <c r="J213"/>
      <c r="K213"/>
      <c r="L213"/>
      <c r="M213"/>
      <c r="N213"/>
      <c r="O213"/>
      <c r="P213"/>
      <c r="Q213"/>
      <c r="R213"/>
      <c r="S213"/>
      <c r="T213"/>
      <c r="U213"/>
      <c r="V213"/>
      <c r="W213"/>
      <c r="X213"/>
      <c r="Y213"/>
      <c r="Z213"/>
      <c r="AA213"/>
    </row>
    <row r="214" spans="1:27" x14ac:dyDescent="0.4">
      <c r="A214"/>
      <c r="B214"/>
      <c r="C214"/>
      <c r="D214"/>
      <c r="E214"/>
      <c r="F214"/>
      <c r="G214"/>
      <c r="H214"/>
      <c r="I214"/>
      <c r="J214"/>
      <c r="K214"/>
      <c r="L214"/>
      <c r="M214"/>
      <c r="N214"/>
      <c r="O214"/>
      <c r="P214"/>
      <c r="Q214"/>
      <c r="R214"/>
      <c r="S214"/>
      <c r="T214"/>
      <c r="U214"/>
      <c r="V214"/>
      <c r="W214"/>
      <c r="X214"/>
      <c r="Y214"/>
      <c r="Z214"/>
      <c r="AA214"/>
    </row>
    <row r="215" spans="1:27" x14ac:dyDescent="0.4">
      <c r="A215"/>
      <c r="B215"/>
      <c r="C215"/>
      <c r="D215"/>
      <c r="E215"/>
      <c r="F215"/>
      <c r="G215"/>
      <c r="H215"/>
      <c r="I215"/>
      <c r="J215"/>
      <c r="K215"/>
      <c r="L215"/>
      <c r="M215"/>
      <c r="N215"/>
      <c r="O215"/>
      <c r="P215"/>
      <c r="Q215"/>
      <c r="R215"/>
      <c r="S215"/>
      <c r="T215"/>
      <c r="U215"/>
      <c r="V215"/>
      <c r="W215"/>
      <c r="X215"/>
      <c r="Y215"/>
      <c r="Z215"/>
      <c r="AA215"/>
    </row>
    <row r="216" spans="1:27" x14ac:dyDescent="0.4">
      <c r="A216"/>
      <c r="B216"/>
      <c r="C216"/>
      <c r="D216"/>
      <c r="E216"/>
      <c r="F216"/>
      <c r="G216"/>
      <c r="H216"/>
      <c r="I216"/>
      <c r="J216"/>
      <c r="K216"/>
      <c r="L216"/>
      <c r="M216"/>
      <c r="N216"/>
      <c r="O216"/>
      <c r="P216"/>
      <c r="Q216"/>
      <c r="R216"/>
      <c r="S216"/>
      <c r="T216"/>
      <c r="U216"/>
      <c r="V216"/>
      <c r="W216"/>
      <c r="X216"/>
      <c r="Y216"/>
      <c r="Z216"/>
      <c r="AA216"/>
    </row>
    <row r="217" spans="1:27" x14ac:dyDescent="0.4">
      <c r="A217"/>
      <c r="B217"/>
      <c r="C217"/>
      <c r="D217"/>
      <c r="E217"/>
      <c r="F217"/>
      <c r="G217"/>
      <c r="H217"/>
      <c r="I217"/>
      <c r="J217"/>
      <c r="K217"/>
      <c r="L217"/>
      <c r="M217"/>
      <c r="N217"/>
      <c r="O217"/>
      <c r="P217"/>
      <c r="Q217"/>
      <c r="R217"/>
      <c r="S217"/>
      <c r="T217"/>
      <c r="U217"/>
      <c r="V217"/>
      <c r="W217"/>
      <c r="X217"/>
      <c r="Y217"/>
      <c r="Z217"/>
      <c r="AA217"/>
    </row>
    <row r="218" spans="1:27" x14ac:dyDescent="0.4">
      <c r="A218"/>
      <c r="B218"/>
      <c r="C218"/>
      <c r="D218"/>
      <c r="E218"/>
      <c r="F218"/>
      <c r="G218"/>
      <c r="H218"/>
      <c r="I218"/>
      <c r="J218"/>
      <c r="K218"/>
      <c r="L218"/>
      <c r="M218"/>
      <c r="N218"/>
      <c r="O218"/>
      <c r="P218"/>
      <c r="Q218"/>
      <c r="R218"/>
      <c r="S218"/>
      <c r="T218"/>
      <c r="U218"/>
      <c r="V218"/>
      <c r="W218"/>
      <c r="X218"/>
      <c r="Y218"/>
      <c r="Z218"/>
      <c r="AA218"/>
    </row>
    <row r="219" spans="1:27" x14ac:dyDescent="0.4">
      <c r="A219"/>
      <c r="B219"/>
      <c r="C219"/>
      <c r="D219"/>
      <c r="E219"/>
      <c r="F219"/>
      <c r="G219"/>
      <c r="H219"/>
      <c r="I219"/>
      <c r="J219"/>
      <c r="K219"/>
      <c r="L219"/>
      <c r="M219"/>
      <c r="N219"/>
      <c r="O219"/>
      <c r="P219"/>
      <c r="Q219"/>
      <c r="R219"/>
      <c r="S219"/>
      <c r="T219"/>
      <c r="U219"/>
      <c r="V219"/>
      <c r="W219"/>
      <c r="X219"/>
      <c r="Y219"/>
      <c r="Z219"/>
      <c r="AA219"/>
    </row>
    <row r="220" spans="1:27" x14ac:dyDescent="0.4">
      <c r="A220"/>
      <c r="B220"/>
      <c r="C220"/>
      <c r="D220"/>
      <c r="E220"/>
      <c r="F220"/>
      <c r="G220"/>
      <c r="H220"/>
      <c r="I220"/>
      <c r="J220"/>
      <c r="K220"/>
      <c r="L220"/>
      <c r="M220"/>
      <c r="N220"/>
      <c r="O220"/>
      <c r="P220"/>
      <c r="Q220"/>
      <c r="R220"/>
      <c r="S220"/>
      <c r="T220"/>
      <c r="U220"/>
      <c r="V220"/>
      <c r="W220"/>
      <c r="X220"/>
      <c r="Y220"/>
      <c r="Z220"/>
      <c r="AA220"/>
    </row>
    <row r="221" spans="1:27" x14ac:dyDescent="0.4">
      <c r="A221"/>
      <c r="B221"/>
      <c r="C221"/>
      <c r="D221"/>
      <c r="E221"/>
      <c r="F221"/>
      <c r="G221"/>
      <c r="H221"/>
      <c r="I221"/>
      <c r="J221"/>
      <c r="K221"/>
      <c r="L221"/>
      <c r="M221"/>
      <c r="N221"/>
      <c r="O221"/>
      <c r="P221"/>
      <c r="Q221"/>
      <c r="R221"/>
      <c r="S221"/>
      <c r="T221"/>
      <c r="U221"/>
      <c r="V221"/>
      <c r="W221"/>
      <c r="X221"/>
      <c r="Y221"/>
      <c r="Z221"/>
      <c r="AA221"/>
    </row>
    <row r="222" spans="1:27" x14ac:dyDescent="0.4">
      <c r="A222"/>
      <c r="B222"/>
      <c r="C222"/>
      <c r="D222"/>
      <c r="E222"/>
      <c r="F222"/>
      <c r="G222"/>
      <c r="H222"/>
      <c r="I222"/>
      <c r="J222"/>
      <c r="K222"/>
      <c r="L222"/>
      <c r="M222"/>
      <c r="N222"/>
      <c r="O222"/>
      <c r="P222"/>
      <c r="Q222"/>
      <c r="R222"/>
      <c r="S222"/>
      <c r="T222"/>
      <c r="U222"/>
      <c r="V222"/>
      <c r="W222"/>
      <c r="X222"/>
      <c r="Y222"/>
      <c r="Z222"/>
      <c r="AA222"/>
    </row>
    <row r="223" spans="1:27" x14ac:dyDescent="0.4">
      <c r="A223"/>
      <c r="B223"/>
      <c r="C223"/>
      <c r="D223"/>
      <c r="E223"/>
      <c r="F223"/>
      <c r="G223"/>
      <c r="H223"/>
      <c r="I223"/>
      <c r="J223"/>
      <c r="K223"/>
      <c r="L223"/>
      <c r="M223"/>
      <c r="N223"/>
      <c r="O223"/>
      <c r="P223"/>
      <c r="Q223"/>
      <c r="R223"/>
      <c r="S223"/>
      <c r="T223"/>
      <c r="U223"/>
      <c r="V223"/>
      <c r="W223"/>
      <c r="X223"/>
      <c r="Y223"/>
      <c r="Z223"/>
      <c r="AA223"/>
    </row>
    <row r="224" spans="1:27" x14ac:dyDescent="0.4">
      <c r="A224"/>
      <c r="B224"/>
      <c r="C224"/>
      <c r="D224"/>
      <c r="E224"/>
      <c r="F224"/>
      <c r="G224"/>
      <c r="H224"/>
      <c r="I224"/>
      <c r="J224"/>
      <c r="K224"/>
      <c r="L224"/>
      <c r="M224"/>
      <c r="N224"/>
      <c r="O224"/>
      <c r="P224"/>
      <c r="Q224"/>
      <c r="R224"/>
      <c r="S224"/>
      <c r="T224"/>
      <c r="U224"/>
      <c r="V224"/>
      <c r="W224"/>
      <c r="X224"/>
      <c r="Y224"/>
      <c r="Z224"/>
      <c r="AA224"/>
    </row>
    <row r="225" spans="1:27" x14ac:dyDescent="0.4">
      <c r="A225"/>
      <c r="B225"/>
      <c r="C225"/>
      <c r="D225"/>
      <c r="E225"/>
      <c r="F225"/>
      <c r="G225"/>
      <c r="H225"/>
      <c r="I225"/>
      <c r="J225"/>
      <c r="K225"/>
      <c r="L225"/>
      <c r="M225"/>
      <c r="N225"/>
      <c r="O225"/>
      <c r="P225"/>
      <c r="Q225"/>
      <c r="R225"/>
      <c r="S225"/>
      <c r="T225"/>
      <c r="U225"/>
      <c r="V225"/>
      <c r="W225"/>
      <c r="X225"/>
      <c r="Y225"/>
      <c r="Z225"/>
      <c r="AA225"/>
    </row>
    <row r="226" spans="1:27" x14ac:dyDescent="0.4">
      <c r="A226"/>
      <c r="B226"/>
      <c r="C226"/>
      <c r="D226"/>
      <c r="E226"/>
      <c r="F226"/>
      <c r="G226"/>
      <c r="H226"/>
      <c r="I226"/>
      <c r="J226"/>
      <c r="K226"/>
      <c r="L226"/>
      <c r="M226"/>
      <c r="N226"/>
      <c r="O226"/>
      <c r="P226"/>
      <c r="Q226"/>
      <c r="R226"/>
      <c r="S226"/>
      <c r="T226"/>
      <c r="U226"/>
      <c r="V226"/>
      <c r="W226"/>
      <c r="X226"/>
      <c r="Y226"/>
      <c r="Z226"/>
      <c r="AA226"/>
    </row>
    <row r="227" spans="1:27" x14ac:dyDescent="0.4">
      <c r="A227"/>
      <c r="B227"/>
      <c r="C227"/>
      <c r="D227"/>
      <c r="E227"/>
      <c r="F227"/>
      <c r="G227"/>
      <c r="H227"/>
      <c r="I227"/>
      <c r="J227"/>
      <c r="K227"/>
      <c r="L227"/>
      <c r="M227"/>
      <c r="N227"/>
      <c r="O227"/>
      <c r="P227"/>
      <c r="Q227"/>
      <c r="R227"/>
      <c r="S227"/>
      <c r="T227"/>
      <c r="U227"/>
      <c r="V227"/>
      <c r="W227"/>
      <c r="X227"/>
      <c r="Y227"/>
      <c r="Z227"/>
      <c r="AA227"/>
    </row>
    <row r="228" spans="1:27" x14ac:dyDescent="0.4">
      <c r="A228"/>
      <c r="B228"/>
      <c r="C228"/>
      <c r="D228"/>
      <c r="E228"/>
      <c r="F228"/>
      <c r="G228"/>
      <c r="H228"/>
      <c r="I228"/>
      <c r="J228"/>
      <c r="K228"/>
      <c r="L228"/>
      <c r="M228"/>
      <c r="N228"/>
      <c r="O228"/>
      <c r="P228"/>
      <c r="Q228"/>
      <c r="R228"/>
      <c r="S228"/>
      <c r="T228"/>
      <c r="U228"/>
      <c r="V228"/>
      <c r="W228"/>
      <c r="X228"/>
      <c r="Y228"/>
      <c r="Z228"/>
      <c r="AA228"/>
    </row>
    <row r="229" spans="1:27" x14ac:dyDescent="0.4">
      <c r="A229"/>
      <c r="B229"/>
      <c r="C229"/>
      <c r="D229"/>
      <c r="E229"/>
      <c r="F229"/>
      <c r="G229"/>
      <c r="H229"/>
      <c r="I229"/>
      <c r="J229"/>
      <c r="K229"/>
      <c r="L229"/>
      <c r="M229"/>
      <c r="N229"/>
      <c r="O229"/>
      <c r="P229"/>
      <c r="Q229"/>
      <c r="R229"/>
      <c r="S229"/>
      <c r="T229"/>
      <c r="U229"/>
      <c r="V229"/>
      <c r="W229"/>
      <c r="X229"/>
      <c r="Y229"/>
      <c r="Z229"/>
      <c r="AA229"/>
    </row>
    <row r="230" spans="1:27" x14ac:dyDescent="0.4">
      <c r="A230"/>
      <c r="B230"/>
      <c r="C230"/>
      <c r="D230"/>
      <c r="E230"/>
      <c r="F230"/>
      <c r="G230"/>
      <c r="H230"/>
      <c r="I230"/>
      <c r="J230"/>
      <c r="K230"/>
      <c r="L230"/>
      <c r="M230"/>
      <c r="N230"/>
      <c r="O230"/>
      <c r="P230"/>
      <c r="Q230"/>
      <c r="R230"/>
      <c r="S230"/>
      <c r="T230"/>
      <c r="U230"/>
      <c r="V230"/>
      <c r="W230"/>
      <c r="X230"/>
      <c r="Y230"/>
      <c r="Z230"/>
      <c r="AA230"/>
    </row>
    <row r="231" spans="1:27" x14ac:dyDescent="0.4">
      <c r="A231"/>
      <c r="B231"/>
      <c r="C231"/>
      <c r="D231"/>
      <c r="E231"/>
      <c r="F231"/>
      <c r="G231"/>
      <c r="H231"/>
      <c r="I231"/>
      <c r="J231"/>
      <c r="K231"/>
      <c r="L231"/>
      <c r="M231"/>
      <c r="N231"/>
      <c r="O231"/>
      <c r="P231"/>
      <c r="Q231"/>
      <c r="R231"/>
      <c r="S231"/>
      <c r="T231"/>
      <c r="U231"/>
      <c r="V231"/>
      <c r="W231"/>
      <c r="X231"/>
      <c r="Y231"/>
      <c r="Z231"/>
      <c r="AA231"/>
    </row>
    <row r="232" spans="1:27" x14ac:dyDescent="0.4">
      <c r="A232"/>
      <c r="B232"/>
      <c r="C232"/>
      <c r="D232"/>
      <c r="E232"/>
      <c r="F232"/>
      <c r="G232"/>
      <c r="H232"/>
      <c r="I232"/>
      <c r="J232"/>
      <c r="K232"/>
      <c r="L232"/>
      <c r="M232"/>
      <c r="N232"/>
      <c r="O232"/>
      <c r="P232"/>
      <c r="Q232"/>
      <c r="R232"/>
      <c r="S232"/>
      <c r="T232"/>
      <c r="U232"/>
      <c r="V232"/>
      <c r="W232"/>
      <c r="X232"/>
      <c r="Y232"/>
      <c r="Z232"/>
      <c r="AA232"/>
    </row>
    <row r="233" spans="1:27" x14ac:dyDescent="0.4">
      <c r="A233"/>
      <c r="B233"/>
      <c r="C233"/>
      <c r="D233"/>
      <c r="E233"/>
      <c r="F233"/>
      <c r="G233"/>
      <c r="H233"/>
      <c r="I233"/>
      <c r="J233"/>
      <c r="K233"/>
      <c r="L233"/>
      <c r="M233"/>
      <c r="N233"/>
      <c r="O233"/>
      <c r="P233"/>
      <c r="Q233"/>
      <c r="R233"/>
      <c r="S233"/>
      <c r="T233"/>
      <c r="U233"/>
      <c r="V233"/>
      <c r="W233"/>
      <c r="X233"/>
      <c r="Y233"/>
      <c r="Z233"/>
      <c r="AA233"/>
    </row>
    <row r="234" spans="1:27" x14ac:dyDescent="0.4">
      <c r="A234"/>
      <c r="B234"/>
      <c r="C234"/>
      <c r="D234"/>
      <c r="E234"/>
      <c r="F234"/>
      <c r="G234"/>
      <c r="H234"/>
      <c r="I234"/>
      <c r="J234"/>
      <c r="K234"/>
      <c r="L234"/>
      <c r="M234"/>
      <c r="N234"/>
      <c r="O234"/>
      <c r="P234"/>
      <c r="Q234"/>
      <c r="R234"/>
      <c r="S234"/>
      <c r="T234"/>
      <c r="U234"/>
      <c r="V234"/>
      <c r="W234"/>
      <c r="X234"/>
      <c r="Y234"/>
      <c r="Z234"/>
      <c r="AA234"/>
    </row>
    <row r="235" spans="1:27" x14ac:dyDescent="0.4">
      <c r="A235"/>
      <c r="B235"/>
      <c r="C235"/>
      <c r="D235"/>
      <c r="E235"/>
      <c r="F235"/>
      <c r="G235"/>
      <c r="H235"/>
      <c r="I235"/>
      <c r="J235"/>
      <c r="K235"/>
      <c r="L235"/>
      <c r="M235"/>
      <c r="N235"/>
      <c r="O235"/>
      <c r="P235"/>
      <c r="Q235"/>
      <c r="R235"/>
      <c r="S235"/>
      <c r="T235"/>
      <c r="U235"/>
      <c r="V235"/>
      <c r="W235"/>
      <c r="X235"/>
      <c r="Y235"/>
      <c r="Z235"/>
      <c r="AA235"/>
    </row>
    <row r="236" spans="1:27" x14ac:dyDescent="0.4">
      <c r="A236"/>
      <c r="B236"/>
      <c r="C236"/>
      <c r="D236"/>
      <c r="E236"/>
      <c r="F236"/>
      <c r="G236"/>
      <c r="H236"/>
      <c r="I236"/>
      <c r="J236"/>
      <c r="K236"/>
      <c r="L236"/>
      <c r="M236"/>
      <c r="N236"/>
      <c r="O236"/>
      <c r="P236"/>
      <c r="Q236"/>
      <c r="R236"/>
      <c r="S236"/>
      <c r="T236"/>
      <c r="U236"/>
      <c r="V236"/>
      <c r="W236"/>
      <c r="X236"/>
      <c r="Y236"/>
      <c r="Z236"/>
      <c r="AA236"/>
    </row>
    <row r="237" spans="1:27" x14ac:dyDescent="0.4">
      <c r="A237"/>
      <c r="B237"/>
      <c r="C237"/>
      <c r="D237"/>
      <c r="E237"/>
      <c r="F237"/>
      <c r="G237"/>
      <c r="H237"/>
      <c r="I237"/>
      <c r="J237"/>
      <c r="K237"/>
      <c r="L237"/>
      <c r="M237"/>
      <c r="N237"/>
      <c r="O237"/>
      <c r="P237"/>
      <c r="Q237"/>
      <c r="R237"/>
      <c r="S237"/>
      <c r="T237"/>
      <c r="U237"/>
      <c r="V237"/>
      <c r="W237"/>
      <c r="X237"/>
      <c r="Y237"/>
      <c r="Z237"/>
      <c r="AA237"/>
    </row>
    <row r="238" spans="1:27" x14ac:dyDescent="0.4">
      <c r="A238"/>
      <c r="B238"/>
      <c r="C238"/>
      <c r="D238"/>
      <c r="E238"/>
      <c r="F238"/>
      <c r="G238"/>
      <c r="H238"/>
      <c r="I238"/>
      <c r="J238"/>
      <c r="K238"/>
      <c r="L238"/>
      <c r="M238"/>
      <c r="N238"/>
      <c r="O238"/>
      <c r="P238"/>
      <c r="Q238"/>
      <c r="R238"/>
      <c r="S238"/>
      <c r="T238"/>
      <c r="U238"/>
      <c r="V238"/>
      <c r="W238"/>
      <c r="X238"/>
      <c r="Y238"/>
      <c r="Z238"/>
      <c r="AA238"/>
    </row>
    <row r="239" spans="1:27" x14ac:dyDescent="0.4">
      <c r="A239"/>
      <c r="B239"/>
      <c r="C239"/>
      <c r="D239"/>
      <c r="E239"/>
      <c r="F239"/>
      <c r="G239"/>
      <c r="H239"/>
      <c r="I239"/>
      <c r="J239"/>
      <c r="K239"/>
      <c r="L239"/>
      <c r="M239"/>
      <c r="N239"/>
      <c r="O239"/>
      <c r="P239"/>
      <c r="Q239"/>
      <c r="R239"/>
      <c r="S239"/>
      <c r="T239"/>
      <c r="U239"/>
      <c r="V239"/>
      <c r="W239"/>
      <c r="X239"/>
      <c r="Y239"/>
      <c r="Z239"/>
      <c r="AA239"/>
    </row>
    <row r="240" spans="1:27" x14ac:dyDescent="0.4">
      <c r="A240"/>
      <c r="B240"/>
      <c r="C240"/>
      <c r="D240"/>
      <c r="E240"/>
      <c r="F240"/>
      <c r="G240"/>
      <c r="H240"/>
      <c r="I240"/>
      <c r="J240"/>
      <c r="K240"/>
      <c r="L240"/>
      <c r="M240"/>
      <c r="N240"/>
      <c r="O240"/>
      <c r="P240"/>
      <c r="Q240"/>
      <c r="R240"/>
      <c r="S240"/>
      <c r="T240"/>
      <c r="U240"/>
      <c r="V240"/>
      <c r="W240"/>
      <c r="X240"/>
      <c r="Y240"/>
      <c r="Z240"/>
      <c r="AA240"/>
    </row>
    <row r="241" spans="1:27" x14ac:dyDescent="0.4">
      <c r="A241"/>
      <c r="B241"/>
      <c r="C241"/>
      <c r="D241"/>
      <c r="E241"/>
      <c r="F241"/>
      <c r="G241"/>
      <c r="H241"/>
      <c r="I241"/>
      <c r="J241"/>
      <c r="K241"/>
      <c r="L241"/>
      <c r="M241"/>
      <c r="N241"/>
      <c r="O241"/>
      <c r="P241"/>
      <c r="Q241"/>
      <c r="R241"/>
      <c r="S241"/>
      <c r="T241"/>
      <c r="U241"/>
      <c r="V241"/>
      <c r="W241"/>
      <c r="X241"/>
      <c r="Y241"/>
      <c r="Z241"/>
      <c r="AA241"/>
    </row>
    <row r="242" spans="1:27" x14ac:dyDescent="0.4">
      <c r="A242"/>
      <c r="B242"/>
      <c r="C242"/>
      <c r="D242"/>
      <c r="E242"/>
      <c r="F242"/>
      <c r="G242"/>
      <c r="H242"/>
      <c r="I242"/>
      <c r="J242"/>
      <c r="K242"/>
      <c r="L242"/>
      <c r="M242"/>
      <c r="N242"/>
      <c r="O242"/>
      <c r="P242"/>
      <c r="Q242"/>
      <c r="R242"/>
      <c r="S242"/>
      <c r="T242"/>
      <c r="U242"/>
      <c r="V242"/>
      <c r="W242"/>
      <c r="X242"/>
      <c r="Y242"/>
      <c r="Z242"/>
      <c r="AA242"/>
    </row>
    <row r="243" spans="1:27" x14ac:dyDescent="0.4">
      <c r="A243"/>
      <c r="B243"/>
      <c r="C243"/>
      <c r="D243"/>
      <c r="E243"/>
      <c r="F243"/>
      <c r="G243"/>
      <c r="H243"/>
      <c r="I243"/>
      <c r="J243"/>
      <c r="K243"/>
      <c r="L243"/>
      <c r="M243"/>
      <c r="N243"/>
      <c r="O243"/>
      <c r="P243"/>
      <c r="Q243"/>
      <c r="R243"/>
      <c r="S243"/>
      <c r="T243"/>
      <c r="U243"/>
      <c r="V243"/>
      <c r="W243"/>
      <c r="X243"/>
      <c r="Y243"/>
      <c r="Z243"/>
      <c r="AA243"/>
    </row>
    <row r="244" spans="1:27" x14ac:dyDescent="0.4">
      <c r="A244"/>
      <c r="B244"/>
      <c r="C244"/>
      <c r="D244"/>
      <c r="E244"/>
      <c r="F244"/>
      <c r="G244"/>
      <c r="H244"/>
      <c r="I244"/>
      <c r="J244"/>
      <c r="K244"/>
      <c r="L244"/>
      <c r="M244"/>
      <c r="N244"/>
      <c r="O244"/>
      <c r="P244"/>
      <c r="Q244"/>
      <c r="R244"/>
      <c r="S244"/>
      <c r="T244"/>
      <c r="U244"/>
      <c r="V244"/>
      <c r="W244"/>
      <c r="X244"/>
      <c r="Y244"/>
      <c r="Z244"/>
      <c r="AA244"/>
    </row>
    <row r="245" spans="1:27" x14ac:dyDescent="0.4">
      <c r="A245"/>
      <c r="B245"/>
      <c r="C245"/>
      <c r="D245"/>
      <c r="E245"/>
      <c r="F245"/>
      <c r="G245"/>
      <c r="H245"/>
      <c r="I245"/>
      <c r="J245"/>
      <c r="K245"/>
      <c r="L245"/>
      <c r="M245"/>
      <c r="N245"/>
      <c r="O245"/>
      <c r="P245"/>
      <c r="Q245"/>
      <c r="R245"/>
      <c r="S245"/>
      <c r="T245"/>
      <c r="U245"/>
      <c r="V245"/>
      <c r="W245"/>
      <c r="X245"/>
      <c r="Y245"/>
      <c r="Z245"/>
      <c r="AA245"/>
    </row>
    <row r="246" spans="1:27" x14ac:dyDescent="0.4">
      <c r="A246"/>
      <c r="B246"/>
      <c r="C246"/>
      <c r="D246"/>
      <c r="E246"/>
      <c r="F246"/>
      <c r="G246"/>
      <c r="H246"/>
      <c r="I246"/>
      <c r="J246"/>
      <c r="K246"/>
      <c r="L246"/>
      <c r="M246"/>
      <c r="N246"/>
      <c r="O246"/>
      <c r="P246"/>
      <c r="Q246"/>
      <c r="R246"/>
      <c r="S246"/>
      <c r="T246"/>
      <c r="U246"/>
      <c r="V246"/>
      <c r="W246"/>
      <c r="X246"/>
      <c r="Y246"/>
      <c r="Z246"/>
      <c r="AA246"/>
    </row>
    <row r="247" spans="1:27" x14ac:dyDescent="0.4">
      <c r="A247"/>
      <c r="B247"/>
      <c r="C247"/>
      <c r="D247"/>
      <c r="E247"/>
      <c r="F247"/>
      <c r="G247"/>
      <c r="H247"/>
      <c r="I247"/>
      <c r="J247"/>
      <c r="K247"/>
      <c r="L247"/>
      <c r="M247"/>
      <c r="N247"/>
      <c r="O247"/>
      <c r="P247"/>
      <c r="Q247"/>
      <c r="R247"/>
      <c r="S247"/>
      <c r="T247"/>
      <c r="U247"/>
      <c r="V247"/>
      <c r="W247"/>
      <c r="X247"/>
      <c r="Y247"/>
      <c r="Z247"/>
      <c r="AA247"/>
    </row>
    <row r="248" spans="1:27" x14ac:dyDescent="0.4">
      <c r="A248"/>
      <c r="B248"/>
      <c r="C248"/>
      <c r="D248"/>
      <c r="E248"/>
      <c r="F248"/>
      <c r="G248"/>
      <c r="H248"/>
      <c r="I248"/>
      <c r="J248"/>
      <c r="K248"/>
      <c r="L248"/>
      <c r="M248"/>
      <c r="N248"/>
      <c r="O248"/>
      <c r="P248"/>
      <c r="Q248"/>
      <c r="R248"/>
      <c r="S248"/>
      <c r="T248"/>
      <c r="U248"/>
      <c r="V248"/>
      <c r="W248"/>
      <c r="X248"/>
      <c r="Y248"/>
      <c r="Z248"/>
      <c r="AA248"/>
    </row>
    <row r="249" spans="1:27" x14ac:dyDescent="0.4">
      <c r="A249"/>
      <c r="B249"/>
      <c r="C249"/>
      <c r="D249"/>
      <c r="E249"/>
      <c r="F249"/>
      <c r="G249"/>
      <c r="H249"/>
      <c r="I249"/>
      <c r="J249"/>
      <c r="K249"/>
      <c r="L249"/>
      <c r="M249"/>
      <c r="N249"/>
      <c r="O249"/>
      <c r="P249"/>
      <c r="Q249"/>
      <c r="R249"/>
      <c r="S249"/>
      <c r="T249"/>
      <c r="U249"/>
      <c r="V249"/>
      <c r="W249"/>
      <c r="X249"/>
      <c r="Y249"/>
      <c r="Z249"/>
      <c r="AA249"/>
    </row>
    <row r="250" spans="1:27" x14ac:dyDescent="0.4">
      <c r="A250"/>
      <c r="B250"/>
      <c r="C250"/>
      <c r="D250"/>
      <c r="E250"/>
      <c r="F250"/>
      <c r="G250"/>
      <c r="H250"/>
      <c r="I250"/>
      <c r="J250"/>
      <c r="K250"/>
      <c r="L250"/>
      <c r="M250"/>
      <c r="N250"/>
      <c r="O250"/>
      <c r="P250"/>
      <c r="Q250"/>
      <c r="R250"/>
      <c r="S250"/>
      <c r="T250"/>
      <c r="U250"/>
      <c r="V250"/>
      <c r="W250"/>
      <c r="X250"/>
      <c r="Y250"/>
      <c r="Z250"/>
      <c r="AA250"/>
    </row>
    <row r="251" spans="1:27" x14ac:dyDescent="0.4">
      <c r="A251"/>
      <c r="B251"/>
      <c r="C251"/>
      <c r="D251"/>
      <c r="E251"/>
      <c r="F251"/>
      <c r="G251"/>
      <c r="H251"/>
      <c r="I251"/>
      <c r="J251"/>
      <c r="K251"/>
      <c r="L251"/>
      <c r="M251"/>
      <c r="N251"/>
      <c r="O251"/>
      <c r="P251"/>
      <c r="Q251"/>
      <c r="R251"/>
      <c r="S251"/>
      <c r="T251"/>
      <c r="U251"/>
      <c r="V251"/>
      <c r="W251"/>
      <c r="X251"/>
      <c r="Y251"/>
      <c r="Z251"/>
      <c r="AA251"/>
    </row>
    <row r="252" spans="1:27" x14ac:dyDescent="0.4">
      <c r="A252"/>
      <c r="B252"/>
      <c r="C252"/>
      <c r="D252"/>
      <c r="E252"/>
      <c r="F252"/>
      <c r="G252"/>
      <c r="H252"/>
      <c r="I252"/>
      <c r="J252"/>
      <c r="K252"/>
      <c r="L252"/>
      <c r="M252"/>
      <c r="N252"/>
      <c r="O252"/>
      <c r="P252"/>
      <c r="Q252"/>
      <c r="R252"/>
      <c r="S252"/>
      <c r="T252"/>
      <c r="U252"/>
      <c r="V252"/>
      <c r="W252"/>
      <c r="X252"/>
      <c r="Y252"/>
      <c r="Z252"/>
      <c r="AA252"/>
    </row>
    <row r="253" spans="1:27" x14ac:dyDescent="0.4">
      <c r="A253"/>
      <c r="B253"/>
      <c r="C253"/>
      <c r="D253"/>
      <c r="E253"/>
      <c r="F253"/>
      <c r="G253"/>
      <c r="H253"/>
      <c r="I253"/>
      <c r="J253"/>
      <c r="K253"/>
      <c r="L253"/>
      <c r="M253"/>
      <c r="N253"/>
      <c r="O253"/>
      <c r="P253"/>
      <c r="Q253"/>
      <c r="R253"/>
      <c r="S253"/>
      <c r="T253"/>
      <c r="U253"/>
      <c r="V253"/>
      <c r="W253"/>
      <c r="X253"/>
      <c r="Y253"/>
      <c r="Z253"/>
      <c r="AA253"/>
    </row>
    <row r="254" spans="1:27" x14ac:dyDescent="0.4">
      <c r="A254"/>
      <c r="B254"/>
      <c r="C254"/>
      <c r="D254"/>
      <c r="E254"/>
      <c r="F254"/>
      <c r="G254"/>
      <c r="H254"/>
      <c r="I254"/>
      <c r="J254"/>
      <c r="K254"/>
      <c r="L254"/>
      <c r="M254"/>
      <c r="N254"/>
      <c r="O254"/>
      <c r="P254"/>
      <c r="Q254"/>
      <c r="R254"/>
      <c r="S254"/>
      <c r="T254"/>
      <c r="U254"/>
      <c r="V254"/>
      <c r="W254"/>
      <c r="X254"/>
      <c r="Y254"/>
      <c r="Z254"/>
      <c r="AA254"/>
    </row>
    <row r="255" spans="1:27" x14ac:dyDescent="0.4">
      <c r="A255"/>
      <c r="B255"/>
      <c r="C255"/>
      <c r="D255"/>
      <c r="E255"/>
      <c r="F255"/>
      <c r="G255"/>
      <c r="H255"/>
      <c r="I255"/>
      <c r="J255"/>
      <c r="K255"/>
      <c r="L255"/>
      <c r="M255"/>
      <c r="N255"/>
      <c r="O255"/>
      <c r="P255"/>
      <c r="Q255"/>
      <c r="R255"/>
      <c r="S255"/>
      <c r="T255"/>
      <c r="U255"/>
      <c r="V255"/>
      <c r="W255"/>
      <c r="X255"/>
      <c r="Y255"/>
      <c r="Z255"/>
      <c r="AA255"/>
    </row>
    <row r="256" spans="1:27" x14ac:dyDescent="0.4">
      <c r="A256"/>
      <c r="B256"/>
      <c r="C256"/>
      <c r="D256"/>
      <c r="E256"/>
      <c r="F256"/>
      <c r="G256"/>
      <c r="H256"/>
      <c r="I256"/>
      <c r="J256"/>
      <c r="K256"/>
      <c r="L256"/>
      <c r="M256"/>
      <c r="N256"/>
      <c r="O256"/>
      <c r="P256"/>
      <c r="Q256"/>
      <c r="R256"/>
      <c r="S256"/>
      <c r="T256"/>
      <c r="U256"/>
      <c r="V256"/>
      <c r="W256"/>
      <c r="X256"/>
      <c r="Y256"/>
      <c r="Z256"/>
      <c r="AA256"/>
    </row>
    <row r="257" spans="1:27" x14ac:dyDescent="0.4">
      <c r="A257"/>
      <c r="B257"/>
      <c r="C257"/>
      <c r="D257"/>
      <c r="E257"/>
      <c r="F257"/>
      <c r="G257"/>
      <c r="H257"/>
      <c r="I257"/>
      <c r="J257"/>
      <c r="K257"/>
      <c r="L257"/>
      <c r="M257"/>
      <c r="N257"/>
      <c r="O257"/>
      <c r="P257"/>
      <c r="Q257"/>
      <c r="R257"/>
      <c r="S257"/>
      <c r="T257"/>
      <c r="U257"/>
      <c r="V257"/>
      <c r="W257"/>
      <c r="X257"/>
      <c r="Y257"/>
      <c r="Z257"/>
      <c r="AA257"/>
    </row>
    <row r="258" spans="1:27" x14ac:dyDescent="0.4">
      <c r="A258"/>
      <c r="B258"/>
      <c r="C258"/>
      <c r="D258"/>
      <c r="E258"/>
      <c r="F258"/>
      <c r="G258"/>
      <c r="H258"/>
      <c r="I258"/>
      <c r="J258"/>
      <c r="K258"/>
      <c r="L258"/>
      <c r="M258"/>
      <c r="N258"/>
      <c r="O258"/>
      <c r="P258"/>
      <c r="Q258"/>
      <c r="R258"/>
      <c r="S258"/>
      <c r="T258"/>
      <c r="U258"/>
      <c r="V258"/>
      <c r="W258"/>
      <c r="X258"/>
      <c r="Y258"/>
      <c r="Z258"/>
      <c r="AA258"/>
    </row>
    <row r="259" spans="1:27" x14ac:dyDescent="0.4">
      <c r="A259"/>
      <c r="B259"/>
      <c r="C259"/>
      <c r="D259"/>
      <c r="E259"/>
      <c r="F259"/>
      <c r="G259"/>
      <c r="H259"/>
      <c r="I259"/>
      <c r="J259"/>
      <c r="K259"/>
      <c r="L259"/>
      <c r="M259"/>
      <c r="N259"/>
      <c r="O259"/>
      <c r="P259"/>
      <c r="Q259"/>
      <c r="R259"/>
      <c r="S259"/>
      <c r="T259"/>
      <c r="U259"/>
      <c r="V259"/>
      <c r="W259"/>
      <c r="X259"/>
      <c r="Y259"/>
      <c r="Z259"/>
      <c r="AA259"/>
    </row>
    <row r="260" spans="1:27" x14ac:dyDescent="0.4">
      <c r="A260"/>
      <c r="B260"/>
      <c r="C260"/>
      <c r="D260"/>
      <c r="E260"/>
      <c r="F260"/>
      <c r="G260"/>
      <c r="H260"/>
      <c r="I260"/>
      <c r="J260"/>
      <c r="K260"/>
      <c r="L260"/>
      <c r="M260"/>
      <c r="N260"/>
      <c r="O260"/>
      <c r="P260"/>
      <c r="Q260"/>
      <c r="R260"/>
      <c r="S260"/>
      <c r="T260"/>
      <c r="U260"/>
      <c r="V260"/>
      <c r="W260"/>
      <c r="X260"/>
      <c r="Y260"/>
      <c r="Z260"/>
      <c r="AA260"/>
    </row>
    <row r="261" spans="1:27" x14ac:dyDescent="0.4">
      <c r="A261"/>
      <c r="B261"/>
      <c r="C261"/>
      <c r="D261"/>
      <c r="E261"/>
      <c r="F261"/>
      <c r="G261"/>
      <c r="H261"/>
      <c r="I261"/>
      <c r="J261"/>
      <c r="K261"/>
      <c r="L261"/>
      <c r="M261"/>
      <c r="N261"/>
      <c r="O261"/>
      <c r="P261"/>
      <c r="Q261"/>
      <c r="R261"/>
      <c r="S261"/>
      <c r="T261"/>
      <c r="U261"/>
      <c r="V261"/>
      <c r="W261"/>
      <c r="X261"/>
      <c r="Y261"/>
      <c r="Z261"/>
      <c r="AA261"/>
    </row>
    <row r="262" spans="1:27" x14ac:dyDescent="0.4">
      <c r="A262"/>
      <c r="B262"/>
      <c r="C262"/>
      <c r="D262"/>
      <c r="E262"/>
      <c r="F262"/>
      <c r="G262"/>
      <c r="H262"/>
      <c r="I262"/>
      <c r="J262"/>
      <c r="K262"/>
      <c r="L262"/>
      <c r="M262"/>
      <c r="N262"/>
      <c r="O262"/>
      <c r="P262"/>
      <c r="Q262"/>
      <c r="R262"/>
      <c r="S262"/>
      <c r="T262"/>
      <c r="U262"/>
      <c r="V262"/>
      <c r="W262"/>
      <c r="X262"/>
      <c r="Y262"/>
      <c r="Z262"/>
      <c r="AA262"/>
    </row>
    <row r="263" spans="1:27" x14ac:dyDescent="0.4">
      <c r="A263"/>
      <c r="B263"/>
      <c r="C263"/>
      <c r="D263"/>
      <c r="E263"/>
      <c r="F263"/>
      <c r="G263"/>
      <c r="H263"/>
      <c r="I263"/>
      <c r="J263"/>
      <c r="K263"/>
      <c r="L263"/>
      <c r="M263"/>
      <c r="N263"/>
      <c r="O263"/>
      <c r="P263"/>
      <c r="Q263"/>
      <c r="R263"/>
      <c r="S263"/>
      <c r="T263"/>
      <c r="U263"/>
      <c r="V263"/>
      <c r="W263"/>
      <c r="X263"/>
      <c r="Y263"/>
      <c r="Z263"/>
      <c r="AA263"/>
    </row>
    <row r="264" spans="1:27" x14ac:dyDescent="0.4">
      <c r="A264"/>
      <c r="B264"/>
      <c r="C264"/>
      <c r="D264"/>
      <c r="E264"/>
      <c r="F264"/>
      <c r="G264"/>
      <c r="H264"/>
      <c r="I264"/>
      <c r="J264"/>
      <c r="K264"/>
      <c r="L264"/>
      <c r="M264"/>
      <c r="N264"/>
      <c r="O264"/>
      <c r="P264"/>
      <c r="Q264"/>
      <c r="R264"/>
      <c r="S264"/>
      <c r="T264"/>
      <c r="U264"/>
      <c r="V264"/>
      <c r="W264"/>
      <c r="X264"/>
      <c r="Y264"/>
      <c r="Z264"/>
      <c r="AA264"/>
    </row>
    <row r="265" spans="1:27" x14ac:dyDescent="0.4">
      <c r="A265"/>
      <c r="B265"/>
      <c r="C265"/>
      <c r="D265"/>
      <c r="E265"/>
      <c r="F265"/>
      <c r="G265"/>
      <c r="H265"/>
      <c r="I265"/>
      <c r="J265"/>
      <c r="K265"/>
      <c r="L265"/>
      <c r="M265"/>
      <c r="N265"/>
      <c r="O265"/>
      <c r="P265"/>
      <c r="Q265"/>
      <c r="R265"/>
      <c r="S265"/>
      <c r="T265"/>
      <c r="U265"/>
      <c r="V265"/>
      <c r="W265"/>
      <c r="X265"/>
      <c r="Y265"/>
      <c r="Z265"/>
      <c r="AA265"/>
    </row>
    <row r="266" spans="1:27" x14ac:dyDescent="0.4">
      <c r="A266"/>
      <c r="B266"/>
      <c r="C266"/>
      <c r="D266"/>
      <c r="E266"/>
      <c r="F266"/>
      <c r="G266"/>
      <c r="H266"/>
      <c r="I266"/>
      <c r="J266"/>
      <c r="K266"/>
      <c r="L266"/>
      <c r="M266"/>
      <c r="N266"/>
      <c r="O266"/>
      <c r="P266"/>
      <c r="Q266"/>
      <c r="R266"/>
      <c r="S266"/>
      <c r="T266"/>
      <c r="U266"/>
      <c r="V266"/>
      <c r="W266"/>
      <c r="X266"/>
      <c r="Y266"/>
      <c r="Z266"/>
      <c r="AA266"/>
    </row>
    <row r="267" spans="1:27" x14ac:dyDescent="0.4">
      <c r="A267"/>
      <c r="B267"/>
      <c r="C267"/>
      <c r="D267"/>
      <c r="E267"/>
      <c r="F267"/>
      <c r="G267"/>
      <c r="H267"/>
      <c r="I267"/>
      <c r="J267"/>
      <c r="K267"/>
      <c r="L267"/>
      <c r="M267"/>
      <c r="N267"/>
      <c r="O267"/>
      <c r="P267"/>
      <c r="Q267"/>
      <c r="R267"/>
      <c r="S267"/>
      <c r="T267"/>
      <c r="U267"/>
      <c r="V267"/>
      <c r="W267"/>
      <c r="X267"/>
      <c r="Y267"/>
      <c r="Z267"/>
      <c r="AA267"/>
    </row>
    <row r="268" spans="1:27" x14ac:dyDescent="0.4">
      <c r="A268"/>
      <c r="B268"/>
      <c r="C268"/>
      <c r="D268"/>
      <c r="E268"/>
      <c r="F268"/>
      <c r="G268"/>
      <c r="H268"/>
      <c r="I268"/>
      <c r="J268"/>
      <c r="K268"/>
      <c r="L268"/>
      <c r="M268"/>
      <c r="N268"/>
      <c r="O268"/>
      <c r="P268"/>
      <c r="Q268"/>
      <c r="R268"/>
      <c r="S268"/>
      <c r="T268"/>
      <c r="U268"/>
      <c r="V268"/>
      <c r="W268"/>
      <c r="X268"/>
      <c r="Y268"/>
      <c r="Z268"/>
      <c r="AA268"/>
    </row>
    <row r="269" spans="1:27" x14ac:dyDescent="0.4">
      <c r="A269"/>
      <c r="B269"/>
      <c r="C269"/>
      <c r="D269"/>
      <c r="E269"/>
      <c r="F269"/>
      <c r="G269"/>
      <c r="H269"/>
      <c r="I269"/>
      <c r="J269"/>
      <c r="K269"/>
      <c r="L269"/>
      <c r="M269"/>
      <c r="N269"/>
      <c r="O269"/>
      <c r="P269"/>
      <c r="Q269"/>
      <c r="R269"/>
      <c r="S269"/>
      <c r="T269"/>
      <c r="U269"/>
      <c r="V269"/>
      <c r="W269"/>
      <c r="X269"/>
      <c r="Y269"/>
      <c r="Z269"/>
      <c r="AA269"/>
    </row>
    <row r="270" spans="1:27" x14ac:dyDescent="0.4">
      <c r="A270"/>
      <c r="B270"/>
      <c r="C270"/>
      <c r="D270"/>
      <c r="E270"/>
      <c r="F270"/>
      <c r="G270"/>
      <c r="H270"/>
      <c r="I270"/>
      <c r="J270"/>
      <c r="K270"/>
      <c r="L270"/>
      <c r="M270"/>
      <c r="N270"/>
      <c r="O270"/>
      <c r="P270"/>
      <c r="Q270"/>
      <c r="R270"/>
      <c r="S270"/>
      <c r="T270"/>
      <c r="U270"/>
      <c r="V270"/>
      <c r="W270"/>
      <c r="X270"/>
      <c r="Y270"/>
      <c r="Z270"/>
      <c r="AA270"/>
    </row>
    <row r="271" spans="1:27" x14ac:dyDescent="0.4">
      <c r="A271"/>
      <c r="B271"/>
      <c r="C271"/>
      <c r="D271"/>
      <c r="E271"/>
      <c r="F271"/>
      <c r="G271"/>
      <c r="H271"/>
      <c r="I271"/>
      <c r="J271"/>
      <c r="K271"/>
      <c r="L271"/>
      <c r="M271"/>
      <c r="N271"/>
      <c r="O271"/>
      <c r="P271"/>
      <c r="Q271"/>
      <c r="R271"/>
      <c r="S271"/>
      <c r="T271"/>
      <c r="U271"/>
      <c r="V271"/>
      <c r="W271"/>
      <c r="X271"/>
      <c r="Y271"/>
      <c r="Z271"/>
      <c r="AA271"/>
    </row>
    <row r="272" spans="1:27" x14ac:dyDescent="0.4">
      <c r="A272"/>
      <c r="B272"/>
      <c r="C272"/>
      <c r="D272"/>
      <c r="E272"/>
      <c r="F272"/>
      <c r="G272"/>
      <c r="H272"/>
      <c r="I272"/>
      <c r="J272"/>
      <c r="K272"/>
      <c r="L272"/>
      <c r="M272"/>
      <c r="N272"/>
      <c r="O272"/>
      <c r="P272"/>
      <c r="Q272"/>
      <c r="R272"/>
      <c r="S272"/>
      <c r="T272"/>
      <c r="U272"/>
      <c r="V272"/>
      <c r="W272"/>
      <c r="X272"/>
      <c r="Y272"/>
      <c r="Z272"/>
      <c r="AA272"/>
    </row>
    <row r="273" spans="1:27" x14ac:dyDescent="0.4">
      <c r="A273"/>
      <c r="B273"/>
      <c r="C273"/>
      <c r="D273"/>
      <c r="E273"/>
      <c r="F273"/>
      <c r="G273"/>
      <c r="H273"/>
      <c r="I273"/>
      <c r="J273"/>
      <c r="K273"/>
      <c r="L273"/>
      <c r="M273"/>
      <c r="N273"/>
      <c r="O273"/>
      <c r="P273"/>
      <c r="Q273"/>
      <c r="R273"/>
      <c r="S273"/>
      <c r="T273"/>
      <c r="U273"/>
      <c r="V273"/>
      <c r="W273"/>
      <c r="X273"/>
      <c r="Y273"/>
      <c r="Z273"/>
      <c r="AA273"/>
    </row>
    <row r="274" spans="1:27" x14ac:dyDescent="0.4">
      <c r="A274"/>
      <c r="B274"/>
      <c r="C274"/>
      <c r="D274"/>
      <c r="E274"/>
      <c r="F274"/>
      <c r="G274"/>
      <c r="H274"/>
      <c r="I274"/>
      <c r="J274"/>
      <c r="K274"/>
      <c r="L274"/>
      <c r="M274"/>
      <c r="N274"/>
      <c r="O274"/>
      <c r="P274"/>
      <c r="Q274"/>
      <c r="R274"/>
      <c r="S274"/>
      <c r="T274"/>
      <c r="U274"/>
      <c r="V274"/>
      <c r="W274"/>
      <c r="X274"/>
      <c r="Y274"/>
      <c r="Z274"/>
      <c r="AA274"/>
    </row>
    <row r="275" spans="1:27" x14ac:dyDescent="0.4">
      <c r="A275"/>
      <c r="B275"/>
      <c r="C275"/>
      <c r="D275"/>
      <c r="E275"/>
      <c r="F275"/>
      <c r="G275"/>
      <c r="H275"/>
      <c r="I275"/>
      <c r="J275"/>
      <c r="K275"/>
      <c r="L275"/>
      <c r="M275"/>
      <c r="N275"/>
      <c r="O275"/>
      <c r="P275"/>
      <c r="Q275"/>
      <c r="R275"/>
      <c r="S275"/>
      <c r="T275"/>
      <c r="U275"/>
      <c r="V275"/>
      <c r="W275"/>
      <c r="X275"/>
      <c r="Y275"/>
      <c r="Z275"/>
      <c r="AA275"/>
    </row>
    <row r="276" spans="1:27" x14ac:dyDescent="0.4">
      <c r="A276"/>
      <c r="B276"/>
      <c r="C276"/>
      <c r="D276"/>
      <c r="E276"/>
      <c r="F276"/>
      <c r="G276"/>
      <c r="H276"/>
      <c r="I276"/>
      <c r="J276"/>
      <c r="K276"/>
      <c r="L276"/>
      <c r="M276"/>
      <c r="N276"/>
      <c r="O276"/>
      <c r="P276"/>
      <c r="Q276"/>
      <c r="R276"/>
      <c r="S276"/>
      <c r="T276"/>
      <c r="U276"/>
      <c r="V276"/>
      <c r="W276"/>
      <c r="X276"/>
      <c r="Y276"/>
      <c r="Z276"/>
      <c r="AA276"/>
    </row>
    <row r="277" spans="1:27" x14ac:dyDescent="0.4">
      <c r="A277"/>
      <c r="B277"/>
      <c r="C277"/>
      <c r="D277"/>
      <c r="E277"/>
      <c r="F277"/>
      <c r="G277"/>
      <c r="H277"/>
      <c r="I277"/>
      <c r="J277"/>
      <c r="K277"/>
      <c r="L277"/>
      <c r="M277"/>
      <c r="N277"/>
      <c r="O277"/>
      <c r="P277"/>
      <c r="Q277"/>
      <c r="R277"/>
      <c r="S277"/>
      <c r="T277"/>
      <c r="U277"/>
      <c r="V277"/>
      <c r="W277"/>
      <c r="X277"/>
      <c r="Y277"/>
      <c r="Z277"/>
      <c r="AA277"/>
    </row>
    <row r="278" spans="1:27" x14ac:dyDescent="0.4">
      <c r="A278"/>
      <c r="B278"/>
      <c r="C278"/>
      <c r="D278"/>
      <c r="E278"/>
      <c r="F278"/>
      <c r="G278"/>
      <c r="H278"/>
      <c r="I278"/>
      <c r="J278"/>
      <c r="K278"/>
      <c r="L278"/>
      <c r="M278"/>
      <c r="N278"/>
      <c r="O278"/>
      <c r="P278"/>
      <c r="Q278"/>
      <c r="R278"/>
      <c r="S278"/>
      <c r="T278"/>
      <c r="U278"/>
      <c r="V278"/>
      <c r="W278"/>
      <c r="X278"/>
      <c r="Y278"/>
      <c r="Z278"/>
      <c r="AA278"/>
    </row>
    <row r="279" spans="1:27" x14ac:dyDescent="0.4">
      <c r="A279"/>
      <c r="B279"/>
      <c r="C279"/>
      <c r="D279"/>
      <c r="E279"/>
      <c r="F279"/>
      <c r="G279"/>
      <c r="H279"/>
      <c r="I279"/>
      <c r="J279"/>
      <c r="K279"/>
      <c r="L279"/>
      <c r="M279"/>
      <c r="N279"/>
      <c r="O279"/>
      <c r="P279"/>
      <c r="Q279"/>
      <c r="R279"/>
      <c r="S279"/>
      <c r="T279"/>
      <c r="U279"/>
      <c r="V279"/>
      <c r="W279"/>
      <c r="X279"/>
      <c r="Y279"/>
      <c r="Z279"/>
      <c r="AA279"/>
    </row>
    <row r="280" spans="1:27" x14ac:dyDescent="0.4">
      <c r="A280"/>
      <c r="B280"/>
      <c r="C280"/>
      <c r="D280"/>
      <c r="E280"/>
      <c r="F280"/>
      <c r="G280"/>
      <c r="H280"/>
      <c r="I280"/>
      <c r="J280"/>
      <c r="K280"/>
      <c r="L280"/>
      <c r="M280"/>
      <c r="N280"/>
      <c r="O280"/>
      <c r="P280"/>
      <c r="Q280"/>
      <c r="R280"/>
      <c r="S280"/>
      <c r="T280"/>
      <c r="U280"/>
      <c r="V280"/>
      <c r="W280"/>
      <c r="X280"/>
      <c r="Y280"/>
      <c r="Z280"/>
      <c r="AA280"/>
    </row>
    <row r="281" spans="1:27" x14ac:dyDescent="0.4">
      <c r="A281"/>
      <c r="B281"/>
      <c r="C281"/>
      <c r="D281"/>
      <c r="E281"/>
      <c r="F281"/>
      <c r="G281"/>
      <c r="H281"/>
      <c r="I281"/>
      <c r="J281"/>
      <c r="K281"/>
      <c r="L281"/>
      <c r="M281"/>
      <c r="N281"/>
      <c r="O281"/>
      <c r="P281"/>
      <c r="Q281"/>
      <c r="R281"/>
      <c r="S281"/>
      <c r="T281"/>
      <c r="U281"/>
      <c r="V281"/>
      <c r="W281"/>
      <c r="X281"/>
      <c r="Y281"/>
      <c r="Z281"/>
      <c r="AA281"/>
    </row>
    <row r="282" spans="1:27" x14ac:dyDescent="0.4">
      <c r="A282"/>
      <c r="B282"/>
      <c r="C282"/>
      <c r="D282"/>
      <c r="E282"/>
      <c r="F282"/>
      <c r="G282"/>
      <c r="H282"/>
      <c r="I282"/>
      <c r="J282"/>
      <c r="K282"/>
      <c r="L282"/>
      <c r="M282"/>
      <c r="N282"/>
      <c r="O282"/>
      <c r="P282"/>
      <c r="Q282"/>
      <c r="R282"/>
      <c r="S282"/>
      <c r="T282"/>
      <c r="U282"/>
      <c r="V282"/>
      <c r="W282"/>
      <c r="X282"/>
      <c r="Y282"/>
      <c r="Z282"/>
      <c r="AA282"/>
    </row>
    <row r="283" spans="1:27" x14ac:dyDescent="0.4">
      <c r="A283"/>
      <c r="B283"/>
      <c r="C283"/>
      <c r="D283"/>
      <c r="E283"/>
      <c r="F283"/>
      <c r="G283"/>
      <c r="H283"/>
      <c r="I283"/>
      <c r="J283"/>
      <c r="K283"/>
      <c r="L283"/>
      <c r="M283"/>
      <c r="N283"/>
      <c r="O283"/>
      <c r="P283"/>
      <c r="Q283"/>
      <c r="R283"/>
      <c r="S283"/>
      <c r="T283"/>
      <c r="U283"/>
      <c r="V283"/>
      <c r="W283"/>
      <c r="X283"/>
      <c r="Y283"/>
      <c r="Z283"/>
      <c r="AA283"/>
    </row>
    <row r="284" spans="1:27" x14ac:dyDescent="0.4">
      <c r="A284"/>
      <c r="B284"/>
      <c r="C284"/>
      <c r="D284"/>
      <c r="E284"/>
      <c r="F284"/>
      <c r="G284"/>
      <c r="H284"/>
      <c r="I284"/>
      <c r="J284"/>
      <c r="K284"/>
      <c r="L284"/>
      <c r="M284"/>
      <c r="N284"/>
      <c r="O284"/>
      <c r="P284"/>
      <c r="Q284"/>
      <c r="R284"/>
      <c r="S284"/>
      <c r="T284"/>
      <c r="U284"/>
      <c r="V284"/>
      <c r="W284"/>
      <c r="X284"/>
      <c r="Y284"/>
      <c r="Z284"/>
      <c r="AA284"/>
    </row>
    <row r="285" spans="1:27" x14ac:dyDescent="0.4">
      <c r="A285"/>
      <c r="B285"/>
      <c r="C285"/>
      <c r="D285"/>
      <c r="E285"/>
      <c r="F285"/>
      <c r="G285"/>
      <c r="H285"/>
      <c r="I285"/>
      <c r="J285"/>
      <c r="K285"/>
      <c r="L285"/>
      <c r="M285"/>
      <c r="N285"/>
      <c r="O285"/>
      <c r="P285"/>
      <c r="Q285"/>
      <c r="R285"/>
      <c r="S285"/>
      <c r="T285"/>
      <c r="U285"/>
      <c r="V285"/>
      <c r="W285"/>
      <c r="X285"/>
      <c r="Y285"/>
      <c r="Z285"/>
      <c r="AA285"/>
    </row>
    <row r="286" spans="1:27" x14ac:dyDescent="0.4">
      <c r="A286"/>
      <c r="B286"/>
      <c r="C286"/>
      <c r="D286"/>
      <c r="E286"/>
      <c r="F286"/>
      <c r="G286"/>
      <c r="H286"/>
      <c r="I286"/>
      <c r="J286"/>
      <c r="K286"/>
      <c r="L286"/>
      <c r="M286"/>
      <c r="N286"/>
      <c r="O286"/>
      <c r="P286"/>
      <c r="Q286"/>
      <c r="R286"/>
      <c r="S286"/>
      <c r="T286"/>
      <c r="U286"/>
      <c r="V286"/>
      <c r="W286"/>
      <c r="X286"/>
      <c r="Y286"/>
      <c r="Z286"/>
      <c r="AA286"/>
    </row>
    <row r="287" spans="1:27" x14ac:dyDescent="0.4">
      <c r="A287"/>
      <c r="B287"/>
      <c r="C287"/>
      <c r="D287"/>
      <c r="E287"/>
      <c r="F287"/>
      <c r="G287"/>
      <c r="H287"/>
      <c r="I287"/>
      <c r="J287"/>
      <c r="K287"/>
      <c r="L287"/>
      <c r="M287"/>
      <c r="N287"/>
      <c r="O287"/>
      <c r="P287"/>
      <c r="Q287"/>
      <c r="R287"/>
      <c r="S287"/>
      <c r="T287"/>
      <c r="U287"/>
      <c r="V287"/>
      <c r="W287"/>
      <c r="X287"/>
      <c r="Y287"/>
      <c r="Z287"/>
      <c r="AA287"/>
    </row>
    <row r="288" spans="1:27" x14ac:dyDescent="0.4">
      <c r="A288"/>
      <c r="B288"/>
      <c r="C288"/>
      <c r="D288"/>
      <c r="E288"/>
      <c r="F288"/>
      <c r="G288"/>
      <c r="H288"/>
      <c r="I288"/>
      <c r="J288"/>
      <c r="K288"/>
      <c r="L288"/>
      <c r="M288"/>
      <c r="N288"/>
      <c r="O288"/>
      <c r="P288"/>
      <c r="Q288"/>
      <c r="R288"/>
      <c r="S288"/>
      <c r="T288"/>
      <c r="U288"/>
      <c r="V288"/>
      <c r="W288"/>
      <c r="X288"/>
      <c r="Y288"/>
      <c r="Z288"/>
      <c r="AA288"/>
    </row>
    <row r="289" spans="1:27" x14ac:dyDescent="0.4">
      <c r="A289"/>
      <c r="B289"/>
      <c r="C289"/>
      <c r="D289"/>
      <c r="E289"/>
      <c r="F289"/>
      <c r="G289"/>
      <c r="H289"/>
      <c r="I289"/>
      <c r="J289"/>
      <c r="K289"/>
      <c r="L289"/>
      <c r="M289"/>
      <c r="N289"/>
      <c r="O289"/>
      <c r="P289"/>
      <c r="Q289"/>
      <c r="R289"/>
      <c r="S289"/>
      <c r="T289"/>
      <c r="U289"/>
      <c r="V289"/>
      <c r="W289"/>
      <c r="X289"/>
      <c r="Y289"/>
      <c r="Z289"/>
      <c r="AA289"/>
    </row>
    <row r="290" spans="1:27" x14ac:dyDescent="0.4">
      <c r="A290"/>
      <c r="B290"/>
      <c r="C290"/>
      <c r="D290"/>
      <c r="E290"/>
      <c r="F290"/>
      <c r="G290"/>
      <c r="H290"/>
      <c r="I290"/>
      <c r="J290"/>
      <c r="K290"/>
      <c r="L290"/>
      <c r="M290"/>
      <c r="N290"/>
      <c r="O290"/>
      <c r="P290"/>
      <c r="Q290"/>
      <c r="R290"/>
      <c r="S290"/>
      <c r="T290"/>
      <c r="U290"/>
      <c r="V290"/>
      <c r="W290"/>
      <c r="X290"/>
      <c r="Y290"/>
      <c r="Z290"/>
      <c r="AA290"/>
    </row>
    <row r="291" spans="1:27" x14ac:dyDescent="0.4">
      <c r="A291"/>
      <c r="B291"/>
      <c r="C291"/>
      <c r="D291"/>
      <c r="E291"/>
      <c r="F291"/>
      <c r="G291"/>
      <c r="H291"/>
      <c r="I291"/>
      <c r="J291"/>
      <c r="K291"/>
      <c r="L291"/>
      <c r="M291"/>
      <c r="N291"/>
      <c r="O291"/>
      <c r="P291"/>
      <c r="Q291"/>
      <c r="R291"/>
      <c r="S291"/>
      <c r="T291"/>
      <c r="U291"/>
      <c r="V291"/>
      <c r="W291"/>
      <c r="X291"/>
      <c r="Y291"/>
      <c r="Z291"/>
      <c r="AA291"/>
    </row>
    <row r="292" spans="1:27" x14ac:dyDescent="0.4">
      <c r="A292"/>
      <c r="B292"/>
      <c r="C292"/>
      <c r="D292"/>
      <c r="E292"/>
      <c r="F292"/>
      <c r="G292"/>
      <c r="H292"/>
      <c r="I292"/>
      <c r="J292"/>
      <c r="K292"/>
      <c r="L292"/>
      <c r="M292"/>
      <c r="N292"/>
      <c r="O292"/>
      <c r="P292"/>
      <c r="Q292"/>
      <c r="R292"/>
      <c r="S292"/>
      <c r="T292"/>
      <c r="U292"/>
      <c r="V292"/>
      <c r="W292"/>
      <c r="X292"/>
      <c r="Y292"/>
      <c r="Z292"/>
      <c r="AA292"/>
    </row>
    <row r="293" spans="1:27" x14ac:dyDescent="0.4">
      <c r="A293"/>
      <c r="B293"/>
      <c r="C293"/>
      <c r="D293"/>
      <c r="E293"/>
      <c r="F293"/>
      <c r="G293"/>
      <c r="H293"/>
      <c r="I293"/>
      <c r="J293"/>
      <c r="K293"/>
      <c r="L293"/>
      <c r="M293"/>
      <c r="N293"/>
      <c r="O293"/>
      <c r="P293"/>
      <c r="Q293"/>
      <c r="R293"/>
      <c r="S293"/>
      <c r="T293"/>
      <c r="U293"/>
      <c r="V293"/>
      <c r="W293"/>
      <c r="X293"/>
      <c r="Y293"/>
      <c r="Z293"/>
      <c r="AA293"/>
    </row>
    <row r="294" spans="1:27" x14ac:dyDescent="0.4">
      <c r="A294"/>
      <c r="B294"/>
      <c r="C294"/>
      <c r="D294"/>
      <c r="E294"/>
      <c r="F294"/>
      <c r="G294"/>
      <c r="H294"/>
      <c r="I294"/>
      <c r="J294"/>
      <c r="K294"/>
      <c r="L294"/>
      <c r="M294"/>
      <c r="N294"/>
      <c r="O294"/>
      <c r="P294"/>
      <c r="Q294"/>
      <c r="R294"/>
      <c r="S294"/>
      <c r="T294"/>
      <c r="U294"/>
      <c r="V294"/>
      <c r="W294"/>
      <c r="X294"/>
      <c r="Y294"/>
      <c r="Z294"/>
      <c r="AA294"/>
    </row>
    <row r="295" spans="1:27" x14ac:dyDescent="0.4">
      <c r="A295"/>
      <c r="B295"/>
      <c r="C295"/>
      <c r="D295"/>
      <c r="E295"/>
      <c r="F295"/>
      <c r="G295"/>
      <c r="H295"/>
      <c r="I295"/>
      <c r="J295"/>
      <c r="K295"/>
      <c r="L295"/>
      <c r="M295"/>
      <c r="N295"/>
      <c r="O295"/>
      <c r="P295"/>
      <c r="Q295"/>
      <c r="R295"/>
      <c r="S295"/>
      <c r="T295"/>
      <c r="U295"/>
      <c r="V295"/>
      <c r="W295"/>
      <c r="X295"/>
      <c r="Y295"/>
      <c r="Z295"/>
      <c r="AA295"/>
    </row>
    <row r="296" spans="1:27" x14ac:dyDescent="0.4">
      <c r="A296"/>
      <c r="B296"/>
      <c r="C296"/>
      <c r="D296"/>
      <c r="E296"/>
      <c r="F296"/>
      <c r="G296"/>
      <c r="H296"/>
      <c r="I296"/>
      <c r="J296"/>
      <c r="K296"/>
      <c r="L296"/>
      <c r="M296"/>
      <c r="N296"/>
      <c r="O296"/>
      <c r="P296"/>
      <c r="Q296"/>
      <c r="R296"/>
      <c r="S296"/>
      <c r="T296"/>
      <c r="U296"/>
      <c r="V296"/>
      <c r="W296"/>
      <c r="X296"/>
      <c r="Y296"/>
      <c r="Z296"/>
      <c r="AA296"/>
    </row>
    <row r="297" spans="1:27" x14ac:dyDescent="0.4">
      <c r="A297"/>
      <c r="B297"/>
      <c r="C297"/>
      <c r="D297"/>
      <c r="E297"/>
      <c r="F297"/>
      <c r="G297"/>
      <c r="H297"/>
      <c r="I297"/>
      <c r="J297"/>
      <c r="K297"/>
      <c r="L297"/>
      <c r="M297"/>
      <c r="N297"/>
      <c r="O297"/>
      <c r="P297"/>
      <c r="Q297"/>
      <c r="R297"/>
      <c r="S297"/>
      <c r="T297"/>
      <c r="U297"/>
      <c r="V297"/>
      <c r="W297"/>
      <c r="X297"/>
      <c r="Y297"/>
      <c r="Z297"/>
      <c r="AA297"/>
    </row>
    <row r="298" spans="1:27" x14ac:dyDescent="0.4">
      <c r="A298"/>
      <c r="B298"/>
      <c r="C298"/>
      <c r="D298"/>
      <c r="E298"/>
      <c r="F298"/>
      <c r="G298"/>
      <c r="H298"/>
      <c r="I298"/>
      <c r="J298"/>
      <c r="K298"/>
      <c r="L298"/>
      <c r="M298"/>
      <c r="N298"/>
      <c r="O298"/>
      <c r="P298"/>
      <c r="Q298"/>
      <c r="R298"/>
      <c r="S298"/>
      <c r="T298"/>
      <c r="U298"/>
      <c r="V298"/>
      <c r="W298"/>
      <c r="X298"/>
      <c r="Y298"/>
      <c r="Z298"/>
      <c r="AA298"/>
    </row>
    <row r="299" spans="1:27" x14ac:dyDescent="0.4">
      <c r="A299"/>
      <c r="B299"/>
      <c r="C299"/>
      <c r="D299"/>
      <c r="E299"/>
      <c r="F299"/>
      <c r="G299"/>
      <c r="H299"/>
      <c r="I299"/>
      <c r="J299"/>
      <c r="K299"/>
      <c r="L299"/>
      <c r="M299"/>
      <c r="N299"/>
      <c r="O299"/>
      <c r="P299"/>
      <c r="Q299"/>
      <c r="R299"/>
      <c r="S299"/>
      <c r="T299"/>
      <c r="U299"/>
      <c r="V299"/>
      <c r="W299"/>
      <c r="X299"/>
      <c r="Y299"/>
      <c r="Z299"/>
      <c r="AA299"/>
    </row>
    <row r="300" spans="1:27" x14ac:dyDescent="0.4">
      <c r="A300"/>
      <c r="B300"/>
      <c r="C300"/>
      <c r="D300"/>
      <c r="E300"/>
      <c r="F300"/>
      <c r="G300"/>
      <c r="H300"/>
      <c r="I300"/>
      <c r="J300"/>
      <c r="K300"/>
      <c r="L300"/>
      <c r="M300"/>
      <c r="N300"/>
      <c r="O300"/>
      <c r="P300"/>
      <c r="Q300"/>
      <c r="R300"/>
      <c r="S300"/>
      <c r="T300"/>
      <c r="U300"/>
      <c r="V300"/>
      <c r="W300"/>
      <c r="X300"/>
      <c r="Y300"/>
      <c r="Z300"/>
      <c r="AA300"/>
    </row>
    <row r="301" spans="1:27" x14ac:dyDescent="0.4">
      <c r="A301"/>
      <c r="B301"/>
      <c r="C301"/>
      <c r="D301"/>
      <c r="E301"/>
      <c r="F301"/>
      <c r="G301"/>
      <c r="H301"/>
      <c r="I301"/>
      <c r="J301"/>
      <c r="K301"/>
      <c r="L301"/>
      <c r="M301"/>
      <c r="N301"/>
      <c r="O301"/>
      <c r="P301"/>
      <c r="Q301"/>
      <c r="R301"/>
      <c r="S301"/>
      <c r="T301"/>
      <c r="U301"/>
      <c r="V301"/>
      <c r="W301"/>
      <c r="X301"/>
      <c r="Y301"/>
      <c r="Z301"/>
      <c r="AA301"/>
    </row>
    <row r="302" spans="1:27" x14ac:dyDescent="0.4">
      <c r="A302"/>
      <c r="B302"/>
      <c r="C302"/>
      <c r="D302"/>
      <c r="E302"/>
      <c r="F302"/>
      <c r="G302"/>
      <c r="H302"/>
      <c r="I302"/>
      <c r="J302"/>
      <c r="K302"/>
      <c r="L302"/>
      <c r="M302"/>
      <c r="N302"/>
      <c r="O302"/>
      <c r="P302"/>
      <c r="Q302"/>
      <c r="R302"/>
      <c r="S302"/>
      <c r="T302"/>
      <c r="U302"/>
      <c r="V302"/>
      <c r="W302"/>
      <c r="X302"/>
      <c r="Y302"/>
      <c r="Z302"/>
      <c r="AA302"/>
    </row>
    <row r="303" spans="1:27" x14ac:dyDescent="0.4">
      <c r="A303"/>
      <c r="B303"/>
      <c r="C303"/>
      <c r="D303"/>
      <c r="E303"/>
      <c r="F303"/>
      <c r="G303"/>
      <c r="H303"/>
      <c r="I303"/>
      <c r="J303"/>
      <c r="K303"/>
      <c r="L303"/>
      <c r="M303"/>
      <c r="N303"/>
      <c r="O303"/>
      <c r="P303"/>
      <c r="Q303"/>
      <c r="R303"/>
      <c r="S303"/>
      <c r="T303"/>
      <c r="U303"/>
      <c r="V303"/>
      <c r="W303"/>
      <c r="X303"/>
      <c r="Y303"/>
      <c r="Z303"/>
      <c r="AA303"/>
    </row>
    <row r="304" spans="1:27" x14ac:dyDescent="0.4">
      <c r="A304"/>
      <c r="B304"/>
      <c r="C304"/>
      <c r="D304"/>
      <c r="E304"/>
      <c r="F304"/>
      <c r="G304"/>
      <c r="H304"/>
      <c r="I304"/>
      <c r="J304"/>
      <c r="K304"/>
      <c r="L304"/>
      <c r="M304"/>
      <c r="N304"/>
      <c r="O304"/>
      <c r="P304"/>
      <c r="Q304"/>
      <c r="R304"/>
      <c r="S304"/>
      <c r="T304"/>
      <c r="U304"/>
      <c r="V304"/>
      <c r="W304"/>
      <c r="X304"/>
      <c r="Y304"/>
      <c r="Z304"/>
      <c r="AA304"/>
    </row>
    <row r="305" spans="1:27" x14ac:dyDescent="0.4">
      <c r="A305"/>
      <c r="B305"/>
      <c r="C305"/>
      <c r="D305"/>
      <c r="E305"/>
      <c r="F305"/>
      <c r="G305"/>
      <c r="H305"/>
      <c r="I305"/>
      <c r="J305"/>
      <c r="K305"/>
      <c r="L305"/>
      <c r="M305"/>
      <c r="N305"/>
      <c r="O305"/>
      <c r="P305"/>
      <c r="Q305"/>
      <c r="R305"/>
      <c r="S305"/>
      <c r="T305"/>
      <c r="U305"/>
      <c r="V305"/>
      <c r="W305"/>
      <c r="X305"/>
      <c r="Y305"/>
      <c r="Z305"/>
      <c r="AA305"/>
    </row>
    <row r="306" spans="1:27" x14ac:dyDescent="0.4">
      <c r="A306"/>
      <c r="B306"/>
      <c r="C306"/>
      <c r="D306"/>
      <c r="E306"/>
      <c r="F306"/>
      <c r="G306"/>
      <c r="H306"/>
      <c r="I306"/>
      <c r="J306"/>
      <c r="K306"/>
      <c r="L306"/>
      <c r="M306"/>
      <c r="N306"/>
      <c r="O306"/>
      <c r="P306"/>
      <c r="Q306"/>
      <c r="R306"/>
      <c r="S306"/>
      <c r="T306"/>
      <c r="U306"/>
      <c r="V306"/>
      <c r="W306"/>
      <c r="X306"/>
      <c r="Y306"/>
      <c r="Z306"/>
      <c r="AA306"/>
    </row>
    <row r="307" spans="1:27" x14ac:dyDescent="0.4">
      <c r="A307"/>
      <c r="B307"/>
      <c r="C307"/>
      <c r="D307"/>
      <c r="E307"/>
      <c r="F307"/>
      <c r="G307"/>
      <c r="H307"/>
      <c r="I307"/>
      <c r="J307"/>
      <c r="K307"/>
      <c r="L307"/>
      <c r="M307"/>
      <c r="N307"/>
      <c r="O307"/>
      <c r="P307"/>
      <c r="Q307"/>
      <c r="R307"/>
      <c r="S307"/>
      <c r="T307"/>
      <c r="U307"/>
      <c r="V307"/>
      <c r="W307"/>
      <c r="X307"/>
      <c r="Y307"/>
      <c r="Z307"/>
      <c r="AA307"/>
    </row>
    <row r="308" spans="1:27" x14ac:dyDescent="0.4">
      <c r="A308"/>
      <c r="B308"/>
      <c r="C308"/>
      <c r="D308"/>
      <c r="E308"/>
      <c r="F308"/>
      <c r="G308"/>
      <c r="H308"/>
      <c r="I308"/>
      <c r="J308"/>
      <c r="K308"/>
      <c r="L308"/>
      <c r="M308"/>
      <c r="N308"/>
      <c r="O308"/>
      <c r="P308"/>
      <c r="Q308"/>
      <c r="R308"/>
      <c r="S308"/>
      <c r="T308"/>
      <c r="U308"/>
      <c r="V308"/>
      <c r="W308"/>
      <c r="X308"/>
      <c r="Y308"/>
      <c r="Z308"/>
      <c r="AA308"/>
    </row>
    <row r="309" spans="1:27" x14ac:dyDescent="0.4">
      <c r="A309"/>
      <c r="B309"/>
      <c r="C309"/>
      <c r="D309"/>
      <c r="E309"/>
      <c r="F309"/>
      <c r="G309"/>
      <c r="H309"/>
      <c r="I309"/>
      <c r="J309"/>
      <c r="K309"/>
      <c r="L309"/>
      <c r="M309"/>
      <c r="N309"/>
      <c r="O309"/>
      <c r="P309"/>
      <c r="Q309"/>
      <c r="R309"/>
      <c r="S309"/>
      <c r="T309"/>
      <c r="U309"/>
      <c r="V309"/>
      <c r="W309"/>
      <c r="X309"/>
      <c r="Y309"/>
      <c r="Z309"/>
      <c r="AA309"/>
    </row>
    <row r="310" spans="1:27" x14ac:dyDescent="0.4">
      <c r="A310"/>
      <c r="B310"/>
      <c r="C310"/>
      <c r="D310"/>
      <c r="E310"/>
      <c r="F310"/>
      <c r="G310"/>
      <c r="H310"/>
      <c r="I310"/>
      <c r="J310"/>
      <c r="K310"/>
      <c r="L310"/>
      <c r="M310"/>
      <c r="N310"/>
      <c r="O310"/>
      <c r="P310"/>
      <c r="Q310"/>
      <c r="R310"/>
      <c r="S310"/>
      <c r="T310"/>
      <c r="U310"/>
      <c r="V310"/>
      <c r="W310"/>
      <c r="X310"/>
      <c r="Y310"/>
      <c r="Z310"/>
      <c r="AA310"/>
    </row>
    <row r="311" spans="1:27" x14ac:dyDescent="0.4">
      <c r="A311"/>
      <c r="B311"/>
      <c r="C311"/>
      <c r="D311"/>
      <c r="E311"/>
      <c r="F311"/>
      <c r="G311"/>
      <c r="H311"/>
      <c r="I311"/>
      <c r="J311"/>
      <c r="K311"/>
      <c r="L311"/>
      <c r="M311"/>
      <c r="N311"/>
      <c r="O311"/>
      <c r="P311"/>
      <c r="Q311"/>
      <c r="R311"/>
      <c r="S311"/>
      <c r="T311"/>
      <c r="U311"/>
      <c r="V311"/>
      <c r="W311"/>
      <c r="X311"/>
      <c r="Y311"/>
      <c r="Z311"/>
      <c r="AA311"/>
    </row>
    <row r="312" spans="1:27" x14ac:dyDescent="0.4">
      <c r="A312"/>
      <c r="B312"/>
      <c r="C312"/>
      <c r="D312"/>
      <c r="E312"/>
      <c r="F312"/>
      <c r="G312"/>
      <c r="H312"/>
      <c r="I312"/>
      <c r="J312"/>
      <c r="K312"/>
      <c r="L312"/>
      <c r="M312"/>
      <c r="N312"/>
      <c r="O312"/>
      <c r="P312"/>
      <c r="Q312"/>
      <c r="R312"/>
      <c r="S312"/>
      <c r="T312"/>
      <c r="U312"/>
      <c r="V312"/>
      <c r="W312"/>
      <c r="X312"/>
      <c r="Y312"/>
      <c r="Z312"/>
      <c r="AA312"/>
    </row>
    <row r="313" spans="1:27" x14ac:dyDescent="0.4">
      <c r="A313"/>
      <c r="B313"/>
      <c r="C313"/>
      <c r="D313"/>
      <c r="E313"/>
      <c r="F313"/>
      <c r="G313"/>
      <c r="H313"/>
      <c r="I313"/>
      <c r="J313"/>
      <c r="K313"/>
      <c r="L313"/>
      <c r="M313"/>
      <c r="N313"/>
      <c r="O313"/>
      <c r="P313"/>
      <c r="Q313"/>
      <c r="R313"/>
      <c r="S313"/>
      <c r="T313"/>
      <c r="U313"/>
      <c r="V313"/>
      <c r="W313"/>
      <c r="X313"/>
      <c r="Y313"/>
      <c r="Z313"/>
      <c r="AA313"/>
    </row>
    <row r="314" spans="1:27" x14ac:dyDescent="0.4">
      <c r="A314"/>
      <c r="B314"/>
      <c r="C314"/>
      <c r="D314"/>
      <c r="E314"/>
      <c r="F314"/>
      <c r="G314"/>
      <c r="H314"/>
      <c r="I314"/>
      <c r="J314"/>
      <c r="K314"/>
      <c r="L314"/>
      <c r="M314"/>
      <c r="N314"/>
      <c r="O314"/>
      <c r="P314"/>
      <c r="Q314"/>
      <c r="R314"/>
      <c r="S314"/>
      <c r="T314"/>
      <c r="U314"/>
      <c r="V314"/>
      <c r="W314"/>
      <c r="X314"/>
      <c r="Y314"/>
      <c r="Z314"/>
      <c r="AA314"/>
    </row>
    <row r="315" spans="1:27" x14ac:dyDescent="0.4">
      <c r="A315"/>
      <c r="B315"/>
      <c r="C315"/>
      <c r="D315"/>
      <c r="E315"/>
      <c r="F315"/>
      <c r="G315"/>
      <c r="H315"/>
      <c r="I315"/>
      <c r="J315"/>
      <c r="K315"/>
      <c r="L315"/>
      <c r="M315"/>
      <c r="N315"/>
      <c r="O315"/>
      <c r="P315"/>
      <c r="Q315"/>
      <c r="R315"/>
      <c r="S315"/>
      <c r="T315"/>
      <c r="U315"/>
      <c r="V315"/>
      <c r="W315"/>
      <c r="X315"/>
      <c r="Y315"/>
      <c r="Z315"/>
      <c r="AA315"/>
    </row>
    <row r="316" spans="1:27" x14ac:dyDescent="0.4">
      <c r="A316"/>
      <c r="B316"/>
      <c r="C316"/>
      <c r="D316"/>
      <c r="E316"/>
      <c r="F316"/>
      <c r="G316"/>
      <c r="H316"/>
      <c r="I316"/>
      <c r="J316"/>
      <c r="K316"/>
      <c r="L316"/>
      <c r="M316"/>
      <c r="N316"/>
      <c r="O316"/>
      <c r="P316"/>
      <c r="Q316"/>
      <c r="R316"/>
      <c r="S316"/>
      <c r="T316"/>
      <c r="U316"/>
      <c r="V316"/>
      <c r="W316"/>
      <c r="X316"/>
      <c r="Y316"/>
      <c r="Z316"/>
      <c r="AA316"/>
    </row>
    <row r="317" spans="1:27" x14ac:dyDescent="0.4">
      <c r="A317"/>
      <c r="B317"/>
      <c r="C317"/>
      <c r="D317"/>
      <c r="E317"/>
      <c r="F317"/>
      <c r="G317"/>
      <c r="H317"/>
      <c r="I317"/>
      <c r="J317"/>
      <c r="K317"/>
      <c r="L317"/>
      <c r="M317"/>
      <c r="N317"/>
      <c r="O317"/>
      <c r="P317"/>
      <c r="Q317"/>
      <c r="R317"/>
      <c r="S317"/>
      <c r="T317"/>
      <c r="U317"/>
      <c r="V317"/>
      <c r="W317"/>
      <c r="X317"/>
      <c r="Y317"/>
      <c r="Z317"/>
      <c r="AA317"/>
    </row>
    <row r="318" spans="1:27" x14ac:dyDescent="0.4">
      <c r="A318"/>
      <c r="B318"/>
      <c r="C318"/>
      <c r="D318"/>
      <c r="E318"/>
      <c r="F318"/>
      <c r="G318"/>
      <c r="H318"/>
      <c r="I318"/>
      <c r="J318"/>
      <c r="K318"/>
      <c r="L318"/>
      <c r="M318"/>
      <c r="N318"/>
      <c r="O318"/>
      <c r="P318"/>
      <c r="Q318"/>
      <c r="R318"/>
      <c r="S318"/>
      <c r="T318"/>
      <c r="U318"/>
      <c r="V318"/>
      <c r="W318"/>
      <c r="X318"/>
      <c r="Y318"/>
      <c r="Z318"/>
      <c r="AA318"/>
    </row>
    <row r="319" spans="1:27" x14ac:dyDescent="0.4">
      <c r="A319"/>
      <c r="B319"/>
      <c r="C319"/>
      <c r="D319"/>
      <c r="E319"/>
      <c r="F319"/>
      <c r="G319"/>
      <c r="H319"/>
      <c r="I319"/>
      <c r="J319"/>
      <c r="K319"/>
      <c r="L319"/>
      <c r="M319"/>
      <c r="N319"/>
      <c r="O319"/>
      <c r="P319"/>
      <c r="Q319"/>
      <c r="R319"/>
      <c r="S319"/>
      <c r="T319"/>
      <c r="U319"/>
      <c r="V319"/>
      <c r="W319"/>
      <c r="X319"/>
      <c r="Y319"/>
      <c r="Z319"/>
      <c r="AA319"/>
    </row>
    <row r="320" spans="1:27" x14ac:dyDescent="0.4">
      <c r="A320"/>
      <c r="B320"/>
      <c r="C320"/>
      <c r="D320"/>
      <c r="E320"/>
      <c r="F320"/>
      <c r="G320"/>
      <c r="H320"/>
      <c r="I320"/>
      <c r="J320"/>
      <c r="K320"/>
      <c r="L320"/>
      <c r="M320"/>
      <c r="N320"/>
      <c r="O320"/>
      <c r="P320"/>
      <c r="Q320"/>
      <c r="R320"/>
      <c r="S320"/>
      <c r="T320"/>
      <c r="U320"/>
      <c r="V320"/>
      <c r="W320"/>
      <c r="X320"/>
      <c r="Y320"/>
      <c r="Z320"/>
      <c r="AA320"/>
    </row>
    <row r="321" spans="1:27" x14ac:dyDescent="0.4">
      <c r="A321"/>
      <c r="B321"/>
      <c r="C321"/>
      <c r="D321"/>
      <c r="E321"/>
      <c r="F321"/>
      <c r="G321"/>
      <c r="H321"/>
      <c r="I321"/>
      <c r="J321"/>
      <c r="K321"/>
      <c r="L321"/>
      <c r="M321"/>
      <c r="N321"/>
      <c r="O321"/>
      <c r="P321"/>
      <c r="Q321"/>
      <c r="R321"/>
      <c r="S321"/>
      <c r="T321"/>
      <c r="U321"/>
      <c r="V321"/>
      <c r="W321"/>
      <c r="X321"/>
      <c r="Y321"/>
      <c r="Z321"/>
      <c r="AA321"/>
    </row>
    <row r="322" spans="1:27" x14ac:dyDescent="0.4">
      <c r="A322"/>
      <c r="B322"/>
      <c r="C322"/>
      <c r="D322"/>
      <c r="E322"/>
      <c r="F322"/>
      <c r="G322"/>
      <c r="H322"/>
      <c r="I322"/>
      <c r="J322"/>
      <c r="K322"/>
      <c r="L322"/>
      <c r="M322"/>
      <c r="N322"/>
      <c r="O322"/>
      <c r="P322"/>
      <c r="Q322"/>
      <c r="R322"/>
      <c r="S322"/>
      <c r="T322"/>
      <c r="U322"/>
      <c r="V322"/>
      <c r="W322"/>
      <c r="X322"/>
      <c r="Y322"/>
      <c r="Z322"/>
      <c r="AA322"/>
    </row>
    <row r="323" spans="1:27" x14ac:dyDescent="0.4">
      <c r="A323"/>
      <c r="B323"/>
      <c r="C323"/>
      <c r="D323"/>
      <c r="E323"/>
      <c r="F323"/>
      <c r="G323"/>
      <c r="H323"/>
      <c r="I323"/>
      <c r="J323"/>
      <c r="K323"/>
      <c r="L323"/>
      <c r="M323"/>
      <c r="N323"/>
      <c r="O323"/>
      <c r="P323"/>
      <c r="Q323"/>
      <c r="R323"/>
      <c r="S323"/>
      <c r="T323"/>
      <c r="U323"/>
      <c r="V323"/>
      <c r="W323"/>
      <c r="X323"/>
      <c r="Y323"/>
      <c r="Z323"/>
      <c r="AA323"/>
    </row>
    <row r="324" spans="1:27" x14ac:dyDescent="0.4">
      <c r="A324"/>
      <c r="B324"/>
      <c r="C324"/>
      <c r="D324"/>
      <c r="E324"/>
      <c r="F324"/>
      <c r="G324"/>
      <c r="H324"/>
      <c r="I324"/>
      <c r="J324"/>
      <c r="K324"/>
      <c r="L324"/>
      <c r="M324"/>
      <c r="N324"/>
      <c r="O324"/>
      <c r="P324"/>
      <c r="Q324"/>
      <c r="R324"/>
      <c r="S324"/>
      <c r="T324"/>
      <c r="U324"/>
      <c r="V324"/>
      <c r="W324"/>
      <c r="X324"/>
      <c r="Y324"/>
      <c r="Z324"/>
      <c r="AA324"/>
    </row>
    <row r="325" spans="1:27" x14ac:dyDescent="0.4">
      <c r="A325"/>
      <c r="B325"/>
      <c r="C325"/>
      <c r="D325"/>
      <c r="E325"/>
      <c r="F325"/>
      <c r="G325"/>
      <c r="H325"/>
      <c r="I325"/>
      <c r="J325"/>
      <c r="K325"/>
      <c r="L325"/>
      <c r="M325"/>
      <c r="N325"/>
      <c r="O325"/>
      <c r="P325"/>
      <c r="Q325"/>
      <c r="R325"/>
      <c r="S325"/>
      <c r="T325"/>
      <c r="U325"/>
      <c r="V325"/>
      <c r="W325"/>
      <c r="X325"/>
      <c r="Y325"/>
      <c r="Z325"/>
      <c r="AA325"/>
    </row>
    <row r="326" spans="1:27" x14ac:dyDescent="0.4">
      <c r="A326"/>
      <c r="B326"/>
      <c r="C326"/>
      <c r="D326"/>
      <c r="E326"/>
      <c r="F326"/>
      <c r="G326"/>
      <c r="H326"/>
      <c r="I326"/>
      <c r="J326"/>
      <c r="K326"/>
      <c r="L326"/>
      <c r="M326"/>
      <c r="N326"/>
      <c r="O326"/>
      <c r="P326"/>
      <c r="Q326"/>
      <c r="R326"/>
      <c r="S326"/>
      <c r="T326"/>
      <c r="U326"/>
      <c r="V326"/>
      <c r="W326"/>
      <c r="X326"/>
      <c r="Y326"/>
      <c r="Z326"/>
      <c r="AA326"/>
    </row>
    <row r="327" spans="1:27" x14ac:dyDescent="0.4">
      <c r="A327"/>
      <c r="B327"/>
      <c r="C327"/>
      <c r="D327"/>
      <c r="E327"/>
      <c r="F327"/>
      <c r="G327"/>
      <c r="H327"/>
      <c r="I327"/>
      <c r="J327"/>
      <c r="K327"/>
      <c r="L327"/>
      <c r="M327"/>
      <c r="N327"/>
      <c r="O327"/>
      <c r="P327"/>
      <c r="Q327"/>
      <c r="R327"/>
      <c r="S327"/>
      <c r="T327"/>
      <c r="U327"/>
      <c r="V327"/>
      <c r="W327"/>
      <c r="X327"/>
      <c r="Y327"/>
      <c r="Z327"/>
      <c r="AA327"/>
    </row>
    <row r="328" spans="1:27" x14ac:dyDescent="0.4">
      <c r="A328"/>
      <c r="B328"/>
      <c r="C328"/>
      <c r="D328"/>
      <c r="E328"/>
      <c r="F328"/>
      <c r="G328"/>
      <c r="H328"/>
      <c r="I328"/>
      <c r="J328"/>
      <c r="K328"/>
      <c r="L328"/>
      <c r="M328"/>
      <c r="N328"/>
      <c r="O328"/>
      <c r="P328"/>
      <c r="Q328"/>
      <c r="R328"/>
      <c r="S328"/>
      <c r="T328"/>
      <c r="U328"/>
      <c r="V328"/>
      <c r="W328"/>
      <c r="X328"/>
      <c r="Y328"/>
      <c r="Z328"/>
      <c r="AA328"/>
    </row>
    <row r="329" spans="1:27" x14ac:dyDescent="0.4">
      <c r="A329"/>
      <c r="B329"/>
      <c r="C329"/>
      <c r="D329"/>
      <c r="E329"/>
      <c r="F329"/>
      <c r="G329"/>
      <c r="H329"/>
      <c r="I329"/>
      <c r="J329"/>
      <c r="K329"/>
      <c r="L329"/>
      <c r="M329"/>
      <c r="N329"/>
      <c r="O329"/>
      <c r="P329"/>
      <c r="Q329"/>
      <c r="R329"/>
      <c r="S329"/>
      <c r="T329"/>
      <c r="U329"/>
      <c r="V329"/>
      <c r="W329"/>
      <c r="X329"/>
      <c r="Y329"/>
      <c r="Z329"/>
      <c r="AA329"/>
    </row>
    <row r="330" spans="1:27" x14ac:dyDescent="0.4">
      <c r="A330"/>
      <c r="B330"/>
      <c r="C330"/>
      <c r="D330"/>
      <c r="E330"/>
      <c r="F330"/>
      <c r="G330"/>
      <c r="H330"/>
      <c r="I330"/>
      <c r="J330"/>
      <c r="K330"/>
      <c r="L330"/>
      <c r="M330"/>
      <c r="N330"/>
      <c r="O330"/>
      <c r="P330"/>
      <c r="Q330"/>
      <c r="R330"/>
      <c r="S330"/>
      <c r="T330"/>
      <c r="U330"/>
      <c r="V330"/>
      <c r="W330"/>
      <c r="X330"/>
      <c r="Y330"/>
      <c r="Z330"/>
      <c r="AA330"/>
    </row>
    <row r="331" spans="1:27" x14ac:dyDescent="0.4">
      <c r="A331"/>
      <c r="B331"/>
      <c r="C331"/>
      <c r="D331"/>
      <c r="E331"/>
      <c r="F331"/>
      <c r="G331"/>
      <c r="H331"/>
      <c r="I331"/>
      <c r="J331"/>
      <c r="K331"/>
      <c r="L331"/>
      <c r="M331"/>
      <c r="N331"/>
      <c r="O331"/>
      <c r="P331"/>
      <c r="Q331"/>
      <c r="R331"/>
      <c r="S331"/>
      <c r="T331"/>
      <c r="U331"/>
      <c r="V331"/>
      <c r="W331"/>
      <c r="X331"/>
      <c r="Y331"/>
      <c r="Z331"/>
      <c r="AA331"/>
    </row>
    <row r="332" spans="1:27" x14ac:dyDescent="0.4">
      <c r="A332"/>
      <c r="B332"/>
      <c r="C332"/>
      <c r="D332"/>
      <c r="E332"/>
      <c r="F332"/>
      <c r="G332"/>
      <c r="H332"/>
      <c r="I332"/>
      <c r="J332"/>
      <c r="K332"/>
      <c r="L332"/>
      <c r="M332"/>
      <c r="N332"/>
      <c r="O332"/>
      <c r="P332"/>
      <c r="Q332"/>
      <c r="R332"/>
      <c r="S332"/>
      <c r="T332"/>
      <c r="U332"/>
      <c r="V332"/>
      <c r="W332"/>
      <c r="X332"/>
      <c r="Y332"/>
      <c r="Z332"/>
      <c r="AA332"/>
    </row>
    <row r="333" spans="1:27" x14ac:dyDescent="0.4">
      <c r="A333"/>
      <c r="B333"/>
      <c r="C333"/>
      <c r="D333"/>
      <c r="E333"/>
      <c r="F333"/>
      <c r="G333"/>
      <c r="H333"/>
      <c r="I333"/>
      <c r="J333"/>
      <c r="K333"/>
      <c r="L333"/>
      <c r="M333"/>
      <c r="N333"/>
      <c r="O333"/>
      <c r="P333"/>
      <c r="Q333"/>
      <c r="R333"/>
      <c r="S333"/>
      <c r="T333"/>
      <c r="U333"/>
      <c r="V333"/>
      <c r="W333"/>
      <c r="X333"/>
      <c r="Y333"/>
      <c r="Z333"/>
      <c r="AA333"/>
    </row>
    <row r="334" spans="1:27" x14ac:dyDescent="0.4">
      <c r="A334"/>
      <c r="B334"/>
      <c r="C334"/>
      <c r="D334"/>
      <c r="E334"/>
      <c r="F334"/>
      <c r="G334"/>
      <c r="H334"/>
      <c r="I334"/>
      <c r="J334"/>
      <c r="K334"/>
      <c r="L334"/>
      <c r="M334"/>
      <c r="N334"/>
      <c r="O334"/>
      <c r="P334"/>
      <c r="Q334"/>
      <c r="R334"/>
      <c r="S334"/>
      <c r="T334"/>
      <c r="U334"/>
      <c r="V334"/>
      <c r="W334"/>
      <c r="X334"/>
      <c r="Y334"/>
      <c r="Z334"/>
      <c r="AA334"/>
    </row>
    <row r="335" spans="1:27" x14ac:dyDescent="0.4">
      <c r="A335"/>
      <c r="B335"/>
      <c r="C335"/>
      <c r="D335"/>
      <c r="E335"/>
      <c r="F335"/>
      <c r="G335"/>
      <c r="H335"/>
      <c r="I335"/>
      <c r="J335"/>
      <c r="K335"/>
      <c r="L335"/>
      <c r="M335"/>
      <c r="N335"/>
      <c r="O335"/>
      <c r="P335"/>
      <c r="Q335"/>
      <c r="R335"/>
      <c r="S335"/>
      <c r="T335"/>
      <c r="U335"/>
      <c r="V335"/>
      <c r="W335"/>
      <c r="X335"/>
      <c r="Y335"/>
      <c r="Z335"/>
      <c r="AA335"/>
    </row>
    <row r="336" spans="1:27" x14ac:dyDescent="0.4">
      <c r="A336"/>
      <c r="B336"/>
      <c r="C336"/>
      <c r="D336"/>
      <c r="E336"/>
      <c r="F336"/>
      <c r="G336"/>
      <c r="H336"/>
      <c r="I336"/>
      <c r="J336"/>
      <c r="K336"/>
      <c r="L336"/>
      <c r="M336"/>
      <c r="N336"/>
      <c r="O336"/>
      <c r="P336"/>
      <c r="Q336"/>
      <c r="R336"/>
      <c r="S336"/>
      <c r="T336"/>
      <c r="U336"/>
      <c r="V336"/>
      <c r="W336"/>
      <c r="X336"/>
      <c r="Y336"/>
      <c r="Z336"/>
      <c r="AA336"/>
    </row>
    <row r="337" spans="1:27" x14ac:dyDescent="0.4">
      <c r="A337"/>
      <c r="B337"/>
      <c r="C337"/>
      <c r="D337"/>
      <c r="E337"/>
      <c r="F337"/>
      <c r="G337"/>
      <c r="H337"/>
      <c r="I337"/>
      <c r="J337"/>
      <c r="K337"/>
      <c r="L337"/>
      <c r="M337"/>
      <c r="N337"/>
      <c r="O337"/>
      <c r="P337"/>
      <c r="Q337"/>
      <c r="R337"/>
      <c r="S337"/>
      <c r="T337"/>
      <c r="U337"/>
      <c r="V337"/>
      <c r="W337"/>
      <c r="X337"/>
      <c r="Y337"/>
      <c r="Z337"/>
      <c r="AA337"/>
    </row>
    <row r="338" spans="1:27" x14ac:dyDescent="0.4">
      <c r="A338"/>
      <c r="B338"/>
      <c r="C338"/>
      <c r="D338"/>
      <c r="E338"/>
      <c r="F338"/>
      <c r="G338"/>
      <c r="H338"/>
      <c r="I338"/>
      <c r="J338"/>
      <c r="K338"/>
      <c r="L338"/>
      <c r="M338"/>
      <c r="N338"/>
      <c r="O338"/>
      <c r="P338"/>
      <c r="Q338"/>
      <c r="R338"/>
      <c r="S338"/>
      <c r="T338"/>
      <c r="U338"/>
      <c r="V338"/>
      <c r="W338"/>
      <c r="X338"/>
      <c r="Y338"/>
      <c r="Z338"/>
      <c r="AA338"/>
    </row>
    <row r="339" spans="1:27" x14ac:dyDescent="0.4">
      <c r="A339"/>
      <c r="B339"/>
      <c r="C339"/>
      <c r="D339"/>
      <c r="E339"/>
      <c r="F339"/>
      <c r="G339"/>
      <c r="H339"/>
      <c r="I339"/>
      <c r="J339"/>
      <c r="K339"/>
      <c r="L339"/>
      <c r="M339"/>
      <c r="N339"/>
      <c r="O339"/>
      <c r="P339"/>
      <c r="Q339"/>
      <c r="R339"/>
      <c r="S339"/>
      <c r="T339"/>
      <c r="U339"/>
      <c r="V339"/>
      <c r="W339"/>
      <c r="X339"/>
      <c r="Y339"/>
      <c r="Z339"/>
      <c r="AA339"/>
    </row>
    <row r="340" spans="1:27" x14ac:dyDescent="0.4">
      <c r="A340"/>
      <c r="B340"/>
      <c r="C340"/>
      <c r="D340"/>
      <c r="E340"/>
      <c r="F340"/>
      <c r="G340"/>
      <c r="H340"/>
      <c r="I340"/>
      <c r="J340"/>
      <c r="K340"/>
      <c r="L340"/>
      <c r="M340"/>
      <c r="N340"/>
      <c r="O340"/>
      <c r="P340"/>
      <c r="Q340"/>
      <c r="R340"/>
      <c r="S340"/>
      <c r="T340"/>
      <c r="U340"/>
      <c r="V340"/>
      <c r="W340"/>
      <c r="X340"/>
      <c r="Y340"/>
      <c r="Z340"/>
      <c r="AA340"/>
    </row>
    <row r="341" spans="1:27" x14ac:dyDescent="0.4">
      <c r="A341"/>
      <c r="B341"/>
      <c r="C341"/>
      <c r="D341"/>
      <c r="E341"/>
      <c r="F341"/>
      <c r="G341"/>
      <c r="H341"/>
      <c r="I341"/>
      <c r="J341"/>
      <c r="K341"/>
      <c r="L341"/>
      <c r="M341"/>
      <c r="N341"/>
      <c r="O341"/>
      <c r="P341"/>
      <c r="Q341"/>
      <c r="R341"/>
      <c r="S341"/>
      <c r="T341"/>
      <c r="U341"/>
      <c r="V341"/>
      <c r="W341"/>
      <c r="X341"/>
      <c r="Y341"/>
      <c r="Z341"/>
      <c r="AA341"/>
    </row>
    <row r="342" spans="1:27" x14ac:dyDescent="0.4">
      <c r="A342"/>
      <c r="B342"/>
      <c r="C342"/>
      <c r="D342"/>
      <c r="E342"/>
      <c r="F342"/>
      <c r="G342"/>
      <c r="H342"/>
      <c r="I342"/>
      <c r="J342"/>
      <c r="K342"/>
      <c r="L342"/>
      <c r="M342"/>
      <c r="N342"/>
      <c r="O342"/>
      <c r="P342"/>
      <c r="Q342"/>
      <c r="R342"/>
      <c r="S342"/>
      <c r="T342"/>
      <c r="U342"/>
      <c r="V342"/>
      <c r="W342"/>
      <c r="X342"/>
      <c r="Y342"/>
      <c r="Z342"/>
      <c r="AA342"/>
    </row>
    <row r="343" spans="1:27" x14ac:dyDescent="0.4">
      <c r="A343"/>
      <c r="B343"/>
      <c r="C343"/>
      <c r="D343"/>
      <c r="E343"/>
      <c r="F343"/>
      <c r="G343"/>
      <c r="H343"/>
      <c r="I343"/>
      <c r="J343"/>
      <c r="K343"/>
      <c r="L343"/>
      <c r="M343"/>
      <c r="N343"/>
      <c r="O343"/>
      <c r="P343"/>
      <c r="Q343"/>
      <c r="R343"/>
      <c r="S343"/>
      <c r="T343"/>
      <c r="U343"/>
      <c r="V343"/>
      <c r="W343"/>
      <c r="X343"/>
      <c r="Y343"/>
      <c r="Z343"/>
      <c r="AA343"/>
    </row>
    <row r="344" spans="1:27" x14ac:dyDescent="0.4">
      <c r="A344"/>
      <c r="B344"/>
      <c r="C344"/>
      <c r="D344"/>
      <c r="E344"/>
      <c r="F344"/>
      <c r="G344"/>
      <c r="H344"/>
      <c r="I344"/>
      <c r="J344"/>
      <c r="K344"/>
      <c r="L344"/>
      <c r="M344"/>
      <c r="N344"/>
      <c r="O344"/>
      <c r="P344"/>
      <c r="Q344"/>
      <c r="R344"/>
      <c r="S344"/>
      <c r="T344"/>
      <c r="U344"/>
      <c r="V344"/>
      <c r="W344"/>
      <c r="X344"/>
      <c r="Y344"/>
      <c r="Z344"/>
      <c r="AA344"/>
    </row>
    <row r="345" spans="1:27" x14ac:dyDescent="0.4">
      <c r="A345"/>
      <c r="B345"/>
      <c r="C345"/>
      <c r="D345"/>
      <c r="E345"/>
      <c r="F345"/>
      <c r="G345"/>
      <c r="H345"/>
      <c r="I345"/>
      <c r="J345"/>
      <c r="K345"/>
      <c r="L345"/>
      <c r="M345"/>
      <c r="N345"/>
      <c r="O345"/>
      <c r="P345"/>
      <c r="Q345"/>
      <c r="R345"/>
      <c r="S345"/>
      <c r="T345"/>
      <c r="U345"/>
      <c r="V345"/>
      <c r="W345"/>
      <c r="X345"/>
      <c r="Y345"/>
      <c r="Z345"/>
      <c r="AA345"/>
    </row>
    <row r="346" spans="1:27" x14ac:dyDescent="0.4">
      <c r="A346"/>
      <c r="B346"/>
      <c r="C346"/>
      <c r="D346"/>
      <c r="E346"/>
      <c r="F346"/>
      <c r="G346"/>
      <c r="H346"/>
      <c r="I346"/>
      <c r="J346"/>
      <c r="K346"/>
      <c r="L346"/>
      <c r="M346"/>
      <c r="N346"/>
      <c r="O346"/>
      <c r="P346"/>
      <c r="Q346"/>
      <c r="R346"/>
      <c r="S346"/>
      <c r="T346"/>
      <c r="U346"/>
      <c r="V346"/>
      <c r="W346"/>
      <c r="X346"/>
      <c r="Y346"/>
      <c r="Z346"/>
      <c r="AA346"/>
    </row>
    <row r="347" spans="1:27" x14ac:dyDescent="0.4">
      <c r="A347"/>
      <c r="B347"/>
      <c r="C347"/>
      <c r="D347"/>
      <c r="E347"/>
      <c r="F347"/>
      <c r="G347"/>
      <c r="H347"/>
      <c r="I347"/>
      <c r="J347"/>
      <c r="K347"/>
      <c r="L347"/>
      <c r="M347"/>
      <c r="N347"/>
      <c r="O347"/>
      <c r="P347"/>
      <c r="Q347"/>
      <c r="R347"/>
      <c r="S347"/>
      <c r="T347"/>
      <c r="U347"/>
      <c r="V347"/>
      <c r="W347"/>
      <c r="X347"/>
      <c r="Y347"/>
      <c r="Z347"/>
      <c r="AA347"/>
    </row>
    <row r="348" spans="1:27" x14ac:dyDescent="0.4">
      <c r="A348"/>
      <c r="B348"/>
      <c r="C348"/>
      <c r="D348"/>
      <c r="E348"/>
      <c r="F348"/>
      <c r="G348"/>
      <c r="H348"/>
      <c r="I348"/>
      <c r="J348"/>
      <c r="K348"/>
      <c r="L348"/>
      <c r="M348"/>
      <c r="N348"/>
      <c r="O348"/>
      <c r="P348"/>
      <c r="Q348"/>
      <c r="R348"/>
      <c r="S348"/>
      <c r="T348"/>
      <c r="U348"/>
      <c r="V348"/>
      <c r="W348"/>
      <c r="X348"/>
      <c r="Y348"/>
      <c r="Z348"/>
      <c r="AA348"/>
    </row>
    <row r="349" spans="1:27" x14ac:dyDescent="0.4">
      <c r="A349"/>
      <c r="B349"/>
      <c r="C349"/>
      <c r="D349"/>
      <c r="E349"/>
      <c r="F349"/>
      <c r="G349"/>
      <c r="H349"/>
      <c r="I349"/>
      <c r="J349"/>
      <c r="K349"/>
      <c r="L349"/>
      <c r="M349"/>
      <c r="N349"/>
      <c r="O349"/>
      <c r="P349"/>
      <c r="Q349"/>
      <c r="R349"/>
      <c r="S349"/>
      <c r="T349"/>
      <c r="U349"/>
      <c r="V349"/>
      <c r="W349"/>
      <c r="X349"/>
      <c r="Y349"/>
      <c r="Z349"/>
      <c r="AA349"/>
    </row>
    <row r="350" spans="1:27" x14ac:dyDescent="0.4">
      <c r="A350"/>
      <c r="B350"/>
      <c r="C350"/>
      <c r="D350"/>
      <c r="E350"/>
      <c r="F350"/>
      <c r="G350"/>
      <c r="H350"/>
      <c r="I350"/>
      <c r="J350"/>
      <c r="K350"/>
      <c r="L350"/>
      <c r="M350"/>
      <c r="N350"/>
      <c r="O350"/>
      <c r="P350"/>
      <c r="Q350"/>
      <c r="R350"/>
      <c r="S350"/>
      <c r="T350"/>
      <c r="U350"/>
      <c r="V350"/>
      <c r="W350"/>
      <c r="X350"/>
      <c r="Y350"/>
      <c r="Z350"/>
      <c r="AA350"/>
    </row>
    <row r="351" spans="1:27" x14ac:dyDescent="0.4">
      <c r="A351"/>
      <c r="B351"/>
      <c r="C351"/>
      <c r="D351"/>
      <c r="E351"/>
      <c r="F351"/>
      <c r="G351"/>
      <c r="H351"/>
      <c r="I351"/>
      <c r="J351"/>
      <c r="K351"/>
      <c r="L351"/>
      <c r="M351"/>
      <c r="N351"/>
      <c r="O351"/>
      <c r="P351"/>
      <c r="Q351"/>
      <c r="R351"/>
      <c r="S351"/>
      <c r="T351"/>
      <c r="U351"/>
      <c r="V351"/>
      <c r="W351"/>
      <c r="X351"/>
      <c r="Y351"/>
      <c r="Z351"/>
      <c r="AA351"/>
    </row>
    <row r="352" spans="1:27" x14ac:dyDescent="0.4">
      <c r="A352"/>
      <c r="B352"/>
      <c r="C352"/>
      <c r="D352"/>
      <c r="E352"/>
      <c r="F352"/>
      <c r="G352"/>
      <c r="H352"/>
      <c r="I352"/>
      <c r="J352"/>
      <c r="K352"/>
      <c r="L352"/>
      <c r="M352"/>
      <c r="N352"/>
      <c r="O352"/>
      <c r="P352"/>
      <c r="Q352"/>
      <c r="R352"/>
      <c r="S352"/>
      <c r="T352"/>
      <c r="U352"/>
      <c r="V352"/>
      <c r="W352"/>
      <c r="X352"/>
      <c r="Y352"/>
      <c r="Z352"/>
      <c r="AA352"/>
    </row>
    <row r="353" spans="1:27" x14ac:dyDescent="0.4">
      <c r="A353"/>
      <c r="B353"/>
      <c r="C353"/>
      <c r="D353"/>
      <c r="E353"/>
      <c r="F353"/>
      <c r="G353"/>
      <c r="H353"/>
      <c r="I353"/>
      <c r="J353"/>
      <c r="K353"/>
      <c r="L353"/>
      <c r="M353"/>
      <c r="N353"/>
      <c r="O353"/>
      <c r="P353"/>
      <c r="Q353"/>
      <c r="R353"/>
      <c r="S353"/>
      <c r="T353"/>
      <c r="U353"/>
      <c r="V353"/>
      <c r="W353"/>
      <c r="X353"/>
      <c r="Y353"/>
      <c r="Z353"/>
      <c r="AA353"/>
    </row>
    <row r="354" spans="1:27" x14ac:dyDescent="0.4">
      <c r="A354"/>
      <c r="B354"/>
      <c r="C354"/>
      <c r="D354"/>
      <c r="E354"/>
      <c r="F354"/>
      <c r="G354"/>
      <c r="H354"/>
      <c r="I354"/>
      <c r="J354"/>
      <c r="K354"/>
      <c r="L354"/>
      <c r="M354"/>
      <c r="N354"/>
      <c r="O354"/>
      <c r="P354"/>
      <c r="Q354"/>
      <c r="R354"/>
      <c r="S354"/>
      <c r="T354"/>
      <c r="U354"/>
      <c r="V354"/>
      <c r="W354"/>
      <c r="X354"/>
      <c r="Y354"/>
      <c r="Z354"/>
      <c r="AA354"/>
    </row>
    <row r="355" spans="1:27" x14ac:dyDescent="0.4">
      <c r="A355"/>
      <c r="B355"/>
      <c r="C355"/>
      <c r="D355"/>
      <c r="E355"/>
      <c r="F355"/>
      <c r="G355"/>
      <c r="H355"/>
      <c r="I355"/>
      <c r="J355"/>
      <c r="K355"/>
      <c r="L355"/>
      <c r="M355"/>
      <c r="N355"/>
      <c r="O355"/>
      <c r="P355"/>
      <c r="Q355"/>
      <c r="R355"/>
      <c r="S355"/>
      <c r="T355"/>
      <c r="U355"/>
      <c r="V355"/>
      <c r="W355"/>
      <c r="X355"/>
      <c r="Y355"/>
      <c r="Z355"/>
      <c r="AA355"/>
    </row>
    <row r="356" spans="1:27" x14ac:dyDescent="0.4">
      <c r="A356"/>
      <c r="B356"/>
      <c r="C356"/>
      <c r="D356"/>
      <c r="E356"/>
      <c r="F356"/>
      <c r="G356"/>
      <c r="H356"/>
      <c r="I356"/>
      <c r="J356"/>
      <c r="K356"/>
      <c r="L356"/>
      <c r="M356"/>
      <c r="N356"/>
      <c r="O356"/>
      <c r="P356"/>
      <c r="Q356"/>
      <c r="R356"/>
      <c r="S356"/>
      <c r="T356"/>
      <c r="U356"/>
      <c r="V356"/>
      <c r="W356"/>
      <c r="X356"/>
      <c r="Y356"/>
      <c r="Z356"/>
      <c r="AA356"/>
    </row>
    <row r="357" spans="1:27" x14ac:dyDescent="0.4">
      <c r="A357"/>
      <c r="B357"/>
      <c r="C357"/>
      <c r="D357"/>
      <c r="E357"/>
      <c r="F357"/>
      <c r="G357"/>
      <c r="H357"/>
      <c r="I357"/>
      <c r="J357"/>
      <c r="K357"/>
      <c r="L357"/>
      <c r="M357"/>
      <c r="N357"/>
      <c r="O357"/>
      <c r="P357"/>
      <c r="Q357"/>
      <c r="R357"/>
      <c r="S357"/>
      <c r="T357"/>
      <c r="U357"/>
      <c r="V357"/>
      <c r="W357"/>
      <c r="X357"/>
      <c r="Y357"/>
      <c r="Z357"/>
      <c r="AA357"/>
    </row>
    <row r="358" spans="1:27" x14ac:dyDescent="0.4">
      <c r="A358"/>
      <c r="B358"/>
      <c r="C358"/>
      <c r="D358"/>
      <c r="E358"/>
      <c r="F358"/>
      <c r="G358"/>
      <c r="H358"/>
      <c r="I358"/>
      <c r="J358"/>
      <c r="K358"/>
      <c r="L358"/>
      <c r="M358"/>
      <c r="N358"/>
      <c r="O358"/>
      <c r="P358"/>
      <c r="Q358"/>
      <c r="R358"/>
      <c r="S358"/>
      <c r="T358"/>
      <c r="U358"/>
      <c r="V358"/>
      <c r="W358"/>
      <c r="X358"/>
      <c r="Y358"/>
      <c r="Z358"/>
      <c r="AA358"/>
    </row>
    <row r="359" spans="1:27" x14ac:dyDescent="0.4">
      <c r="A359"/>
      <c r="B359"/>
      <c r="C359"/>
      <c r="D359"/>
      <c r="E359"/>
      <c r="F359"/>
      <c r="G359"/>
      <c r="H359"/>
      <c r="I359"/>
      <c r="J359"/>
      <c r="K359"/>
      <c r="L359"/>
      <c r="M359"/>
      <c r="N359"/>
      <c r="O359"/>
      <c r="P359"/>
      <c r="Q359"/>
      <c r="R359"/>
      <c r="S359"/>
      <c r="T359"/>
      <c r="U359"/>
      <c r="V359"/>
      <c r="W359"/>
      <c r="X359"/>
      <c r="Y359"/>
      <c r="Z359"/>
      <c r="AA359"/>
    </row>
    <row r="360" spans="1:27" x14ac:dyDescent="0.4">
      <c r="A360"/>
      <c r="B360"/>
      <c r="C360"/>
      <c r="D360"/>
      <c r="E360"/>
      <c r="F360"/>
      <c r="G360"/>
      <c r="H360"/>
      <c r="I360"/>
      <c r="J360"/>
      <c r="K360"/>
      <c r="L360"/>
      <c r="M360"/>
      <c r="N360"/>
      <c r="O360"/>
      <c r="P360"/>
      <c r="Q360"/>
      <c r="R360"/>
      <c r="S360"/>
      <c r="T360"/>
      <c r="U360"/>
      <c r="V360"/>
      <c r="W360"/>
      <c r="X360"/>
      <c r="Y360"/>
      <c r="Z360"/>
      <c r="AA360"/>
    </row>
    <row r="361" spans="1:27" x14ac:dyDescent="0.4">
      <c r="A361"/>
      <c r="B361"/>
      <c r="C361"/>
      <c r="D361"/>
      <c r="E361"/>
      <c r="F361"/>
      <c r="G361"/>
      <c r="H361"/>
      <c r="I361"/>
      <c r="J361"/>
      <c r="K361"/>
      <c r="L361"/>
      <c r="M361"/>
      <c r="N361"/>
      <c r="O361"/>
      <c r="P361"/>
      <c r="Q361"/>
      <c r="R361"/>
      <c r="S361"/>
      <c r="T361"/>
      <c r="U361"/>
      <c r="V361"/>
      <c r="W361"/>
      <c r="X361"/>
      <c r="Y361"/>
      <c r="Z361"/>
      <c r="AA361"/>
    </row>
    <row r="362" spans="1:27" x14ac:dyDescent="0.4">
      <c r="A362"/>
      <c r="B362"/>
      <c r="C362"/>
      <c r="D362"/>
      <c r="E362"/>
      <c r="F362"/>
      <c r="G362"/>
      <c r="H362"/>
      <c r="I362"/>
      <c r="J362"/>
      <c r="K362"/>
      <c r="L362"/>
      <c r="M362"/>
      <c r="N362"/>
      <c r="O362"/>
      <c r="P362"/>
      <c r="Q362"/>
      <c r="R362"/>
      <c r="S362"/>
      <c r="T362"/>
      <c r="U362"/>
      <c r="V362"/>
      <c r="W362"/>
      <c r="X362"/>
      <c r="Y362"/>
      <c r="Z362"/>
      <c r="AA362"/>
    </row>
    <row r="363" spans="1:27" x14ac:dyDescent="0.4">
      <c r="A363"/>
      <c r="B363"/>
      <c r="C363"/>
      <c r="D363"/>
      <c r="E363"/>
      <c r="F363"/>
      <c r="G363"/>
      <c r="H363"/>
      <c r="I363"/>
      <c r="J363"/>
      <c r="K363"/>
      <c r="L363"/>
      <c r="M363"/>
      <c r="N363"/>
      <c r="O363"/>
      <c r="P363"/>
      <c r="Q363"/>
      <c r="R363"/>
      <c r="S363"/>
      <c r="T363"/>
      <c r="U363"/>
      <c r="V363"/>
      <c r="W363"/>
      <c r="X363"/>
      <c r="Y363"/>
      <c r="Z363"/>
      <c r="AA363"/>
    </row>
    <row r="364" spans="1:27" x14ac:dyDescent="0.4">
      <c r="A364"/>
      <c r="B364"/>
      <c r="C364"/>
      <c r="D364"/>
      <c r="E364"/>
      <c r="F364"/>
      <c r="G364"/>
      <c r="H364"/>
      <c r="I364"/>
      <c r="J364"/>
      <c r="K364"/>
      <c r="L364"/>
      <c r="M364"/>
      <c r="N364"/>
      <c r="O364"/>
      <c r="P364"/>
      <c r="Q364"/>
      <c r="R364"/>
      <c r="S364"/>
      <c r="T364"/>
      <c r="U364"/>
      <c r="V364"/>
      <c r="W364"/>
      <c r="X364"/>
      <c r="Y364"/>
      <c r="Z364"/>
      <c r="AA364"/>
    </row>
    <row r="365" spans="1:27" x14ac:dyDescent="0.4">
      <c r="A365"/>
      <c r="B365"/>
      <c r="C365"/>
      <c r="D365"/>
      <c r="E365"/>
      <c r="F365"/>
      <c r="G365"/>
      <c r="H365"/>
      <c r="I365"/>
      <c r="J365"/>
      <c r="K365"/>
      <c r="L365"/>
      <c r="M365"/>
      <c r="N365"/>
      <c r="O365"/>
      <c r="P365"/>
      <c r="Q365"/>
      <c r="R365"/>
      <c r="S365"/>
      <c r="T365"/>
      <c r="U365"/>
      <c r="V365"/>
      <c r="W365"/>
      <c r="X365"/>
      <c r="Y365"/>
      <c r="Z365"/>
      <c r="AA365"/>
    </row>
    <row r="366" spans="1:27" x14ac:dyDescent="0.4">
      <c r="A366"/>
      <c r="B366"/>
      <c r="C366"/>
      <c r="D366"/>
      <c r="E366"/>
      <c r="F366"/>
      <c r="G366"/>
      <c r="H366"/>
      <c r="I366"/>
      <c r="J366"/>
      <c r="K366"/>
      <c r="L366"/>
      <c r="M366"/>
      <c r="N366"/>
      <c r="O366"/>
      <c r="P366"/>
      <c r="Q366"/>
      <c r="R366"/>
      <c r="S366"/>
      <c r="T366"/>
      <c r="U366"/>
      <c r="V366"/>
      <c r="W366"/>
      <c r="X366"/>
      <c r="Y366"/>
      <c r="Z366"/>
      <c r="AA366"/>
    </row>
    <row r="367" spans="1:27" x14ac:dyDescent="0.4">
      <c r="A367"/>
      <c r="B367"/>
      <c r="C367"/>
      <c r="D367"/>
      <c r="E367"/>
      <c r="F367"/>
      <c r="G367"/>
      <c r="H367"/>
      <c r="I367"/>
      <c r="J367"/>
      <c r="K367"/>
      <c r="L367"/>
      <c r="M367"/>
      <c r="N367"/>
      <c r="O367"/>
      <c r="P367"/>
      <c r="Q367"/>
      <c r="R367"/>
      <c r="S367"/>
      <c r="T367"/>
      <c r="U367"/>
      <c r="V367"/>
      <c r="W367"/>
      <c r="X367"/>
      <c r="Y367"/>
      <c r="Z367"/>
      <c r="AA367"/>
    </row>
    <row r="368" spans="1:27" x14ac:dyDescent="0.4">
      <c r="A368"/>
      <c r="B368"/>
      <c r="C368"/>
      <c r="D368"/>
      <c r="E368"/>
      <c r="F368"/>
      <c r="G368"/>
      <c r="H368"/>
      <c r="I368"/>
      <c r="J368"/>
      <c r="K368"/>
      <c r="L368"/>
      <c r="M368"/>
      <c r="N368"/>
      <c r="O368"/>
      <c r="P368"/>
      <c r="Q368"/>
      <c r="R368"/>
      <c r="S368"/>
      <c r="T368"/>
      <c r="U368"/>
      <c r="V368"/>
      <c r="W368"/>
      <c r="X368"/>
      <c r="Y368"/>
      <c r="Z368"/>
      <c r="AA368"/>
    </row>
    <row r="369" spans="1:27" x14ac:dyDescent="0.4">
      <c r="A369"/>
      <c r="B369"/>
      <c r="C369"/>
      <c r="D369"/>
      <c r="E369"/>
      <c r="F369"/>
      <c r="G369"/>
      <c r="H369"/>
      <c r="I369"/>
      <c r="J369"/>
      <c r="K369"/>
      <c r="L369"/>
      <c r="M369"/>
      <c r="N369"/>
      <c r="O369"/>
      <c r="P369"/>
      <c r="Q369"/>
      <c r="R369"/>
      <c r="S369"/>
      <c r="T369"/>
      <c r="U369"/>
      <c r="V369"/>
      <c r="W369"/>
      <c r="X369"/>
      <c r="Y369"/>
      <c r="Z369"/>
      <c r="AA369"/>
    </row>
    <row r="370" spans="1:27" x14ac:dyDescent="0.4">
      <c r="A370"/>
      <c r="B370"/>
      <c r="C370"/>
      <c r="D370"/>
      <c r="E370"/>
      <c r="F370"/>
      <c r="G370"/>
      <c r="H370"/>
      <c r="I370"/>
      <c r="J370"/>
      <c r="K370"/>
      <c r="L370"/>
      <c r="M370"/>
      <c r="N370"/>
      <c r="O370"/>
      <c r="P370"/>
      <c r="Q370"/>
      <c r="R370"/>
      <c r="S370"/>
      <c r="T370"/>
      <c r="U370"/>
      <c r="V370"/>
      <c r="W370"/>
      <c r="X370"/>
      <c r="Y370"/>
      <c r="Z370"/>
      <c r="AA370"/>
    </row>
    <row r="371" spans="1:27" x14ac:dyDescent="0.4">
      <c r="A371"/>
      <c r="B371"/>
      <c r="C371"/>
      <c r="D371"/>
      <c r="E371"/>
      <c r="F371"/>
      <c r="G371"/>
      <c r="H371"/>
      <c r="I371"/>
      <c r="J371"/>
      <c r="K371"/>
      <c r="L371"/>
      <c r="M371"/>
      <c r="N371"/>
      <c r="O371"/>
      <c r="P371"/>
      <c r="Q371"/>
      <c r="R371"/>
      <c r="S371"/>
      <c r="T371"/>
      <c r="U371"/>
      <c r="V371"/>
      <c r="W371"/>
      <c r="X371"/>
      <c r="Y371"/>
      <c r="Z371"/>
      <c r="AA371"/>
    </row>
    <row r="372" spans="1:27" x14ac:dyDescent="0.4">
      <c r="A372"/>
      <c r="B372"/>
      <c r="C372"/>
      <c r="D372"/>
      <c r="E372"/>
      <c r="F372"/>
      <c r="G372"/>
      <c r="H372"/>
      <c r="I372"/>
      <c r="J372"/>
      <c r="K372"/>
      <c r="L372"/>
      <c r="M372"/>
      <c r="N372"/>
      <c r="O372"/>
      <c r="P372"/>
      <c r="Q372"/>
      <c r="R372"/>
      <c r="S372"/>
      <c r="T372"/>
      <c r="U372"/>
      <c r="V372"/>
      <c r="W372"/>
      <c r="X372"/>
      <c r="Y372"/>
      <c r="Z372"/>
      <c r="AA372"/>
    </row>
    <row r="373" spans="1:27" x14ac:dyDescent="0.4">
      <c r="A373"/>
      <c r="B373"/>
      <c r="C373"/>
      <c r="D373"/>
      <c r="E373"/>
      <c r="F373"/>
      <c r="G373"/>
      <c r="H373"/>
      <c r="I373"/>
      <c r="J373"/>
      <c r="K373"/>
      <c r="L373"/>
      <c r="M373"/>
      <c r="N373"/>
      <c r="O373"/>
      <c r="P373"/>
      <c r="Q373"/>
      <c r="R373"/>
      <c r="S373"/>
      <c r="T373"/>
      <c r="U373"/>
      <c r="V373"/>
      <c r="W373"/>
      <c r="X373"/>
      <c r="Y373"/>
      <c r="Z373"/>
      <c r="AA373"/>
    </row>
    <row r="374" spans="1:27" x14ac:dyDescent="0.4">
      <c r="A374"/>
      <c r="B374"/>
      <c r="C374"/>
      <c r="D374"/>
      <c r="E374"/>
      <c r="F374"/>
      <c r="G374"/>
      <c r="H374"/>
      <c r="I374"/>
      <c r="J374"/>
      <c r="K374"/>
      <c r="L374"/>
      <c r="M374"/>
      <c r="N374"/>
      <c r="O374"/>
      <c r="P374"/>
      <c r="Q374"/>
      <c r="R374"/>
      <c r="S374"/>
      <c r="T374"/>
      <c r="U374"/>
      <c r="V374"/>
      <c r="W374"/>
      <c r="X374"/>
      <c r="Y374"/>
      <c r="Z374"/>
      <c r="AA374"/>
    </row>
    <row r="375" spans="1:27" x14ac:dyDescent="0.4">
      <c r="A375"/>
      <c r="B375"/>
      <c r="C375"/>
      <c r="D375"/>
      <c r="E375"/>
      <c r="F375"/>
      <c r="G375"/>
      <c r="H375"/>
      <c r="I375"/>
      <c r="J375"/>
      <c r="K375"/>
      <c r="L375"/>
      <c r="M375"/>
      <c r="N375"/>
      <c r="O375"/>
      <c r="P375"/>
      <c r="Q375"/>
      <c r="R375"/>
      <c r="S375"/>
      <c r="T375"/>
      <c r="U375"/>
      <c r="V375"/>
      <c r="W375"/>
      <c r="X375"/>
      <c r="Y375"/>
      <c r="Z375"/>
      <c r="AA375"/>
    </row>
    <row r="376" spans="1:27" x14ac:dyDescent="0.4">
      <c r="A376"/>
      <c r="B376"/>
      <c r="C376"/>
      <c r="D376"/>
      <c r="E376"/>
      <c r="F376"/>
      <c r="G376"/>
      <c r="H376"/>
      <c r="I376"/>
      <c r="J376"/>
      <c r="K376"/>
      <c r="L376"/>
      <c r="M376"/>
      <c r="N376"/>
      <c r="O376"/>
      <c r="P376"/>
      <c r="Q376"/>
      <c r="R376"/>
      <c r="S376"/>
      <c r="T376"/>
      <c r="U376"/>
      <c r="V376"/>
      <c r="W376"/>
      <c r="X376"/>
      <c r="Y376"/>
      <c r="Z376"/>
      <c r="AA376"/>
    </row>
    <row r="377" spans="1:27" x14ac:dyDescent="0.4">
      <c r="A377"/>
      <c r="B377"/>
      <c r="C377"/>
      <c r="D377"/>
      <c r="E377"/>
      <c r="F377"/>
      <c r="G377"/>
      <c r="H377"/>
      <c r="I377"/>
      <c r="J377"/>
      <c r="K377"/>
      <c r="L377"/>
      <c r="M377"/>
      <c r="N377"/>
      <c r="O377"/>
      <c r="P377"/>
      <c r="Q377"/>
      <c r="R377"/>
      <c r="S377"/>
      <c r="T377"/>
      <c r="U377"/>
      <c r="V377"/>
      <c r="W377"/>
      <c r="X377"/>
      <c r="Y377"/>
      <c r="Z377"/>
      <c r="AA377"/>
    </row>
    <row r="378" spans="1:27" x14ac:dyDescent="0.4">
      <c r="A378"/>
      <c r="B378"/>
      <c r="C378"/>
      <c r="D378"/>
      <c r="E378"/>
      <c r="F378"/>
      <c r="G378"/>
      <c r="H378"/>
      <c r="I378"/>
      <c r="J378"/>
      <c r="K378"/>
      <c r="L378"/>
      <c r="M378"/>
      <c r="N378"/>
      <c r="O378"/>
      <c r="P378"/>
      <c r="Q378"/>
      <c r="R378"/>
      <c r="S378"/>
      <c r="T378"/>
      <c r="U378"/>
      <c r="V378"/>
      <c r="W378"/>
      <c r="X378"/>
      <c r="Y378"/>
      <c r="Z378"/>
      <c r="AA378"/>
    </row>
    <row r="379" spans="1:27" x14ac:dyDescent="0.4">
      <c r="A379"/>
      <c r="B379"/>
      <c r="C379"/>
      <c r="D379"/>
      <c r="E379"/>
      <c r="F379"/>
      <c r="G379"/>
      <c r="H379"/>
      <c r="I379"/>
      <c r="J379"/>
      <c r="K379"/>
      <c r="L379"/>
      <c r="M379"/>
      <c r="N379"/>
      <c r="O379"/>
      <c r="P379"/>
      <c r="Q379"/>
      <c r="R379"/>
      <c r="S379"/>
      <c r="T379"/>
      <c r="U379"/>
      <c r="V379"/>
      <c r="W379"/>
      <c r="X379"/>
      <c r="Y379"/>
      <c r="Z379"/>
      <c r="AA379"/>
    </row>
    <row r="380" spans="1:27" x14ac:dyDescent="0.4">
      <c r="A380"/>
      <c r="B380"/>
      <c r="C380"/>
      <c r="D380"/>
      <c r="E380"/>
      <c r="F380"/>
      <c r="G380"/>
      <c r="H380"/>
      <c r="I380"/>
      <c r="J380"/>
      <c r="K380"/>
      <c r="L380"/>
      <c r="M380"/>
      <c r="N380"/>
      <c r="O380"/>
      <c r="P380"/>
      <c r="Q380"/>
      <c r="R380"/>
      <c r="S380"/>
      <c r="T380"/>
      <c r="U380"/>
      <c r="V380"/>
      <c r="W380"/>
      <c r="X380"/>
      <c r="Y380"/>
      <c r="Z380"/>
      <c r="AA380"/>
    </row>
    <row r="381" spans="1:27" x14ac:dyDescent="0.4">
      <c r="A381"/>
      <c r="B381"/>
      <c r="C381"/>
      <c r="D381"/>
      <c r="E381"/>
      <c r="F381"/>
      <c r="G381"/>
      <c r="H381"/>
      <c r="I381"/>
      <c r="J381"/>
      <c r="K381"/>
      <c r="L381"/>
      <c r="M381"/>
      <c r="N381"/>
      <c r="O381"/>
      <c r="P381"/>
      <c r="Q381"/>
      <c r="R381"/>
      <c r="S381"/>
      <c r="T381"/>
      <c r="U381"/>
      <c r="V381"/>
      <c r="W381"/>
      <c r="X381"/>
      <c r="Y381"/>
      <c r="Z381"/>
      <c r="AA381"/>
    </row>
    <row r="382" spans="1:27" x14ac:dyDescent="0.4">
      <c r="A382"/>
      <c r="B382"/>
      <c r="C382"/>
      <c r="D382"/>
      <c r="E382"/>
      <c r="F382"/>
      <c r="G382"/>
      <c r="H382"/>
      <c r="I382"/>
      <c r="J382"/>
      <c r="K382"/>
      <c r="L382"/>
      <c r="M382"/>
      <c r="N382"/>
      <c r="O382"/>
      <c r="P382"/>
      <c r="Q382"/>
      <c r="R382"/>
      <c r="S382"/>
      <c r="T382"/>
      <c r="U382"/>
      <c r="V382"/>
      <c r="W382"/>
      <c r="X382"/>
      <c r="Y382"/>
      <c r="Z382"/>
      <c r="AA382"/>
    </row>
    <row r="383" spans="1:27" x14ac:dyDescent="0.4">
      <c r="A383"/>
      <c r="B383"/>
      <c r="C383"/>
      <c r="D383"/>
      <c r="E383"/>
      <c r="F383"/>
      <c r="G383"/>
      <c r="H383"/>
      <c r="I383"/>
      <c r="J383"/>
      <c r="K383"/>
      <c r="L383"/>
      <c r="M383"/>
      <c r="N383"/>
      <c r="O383"/>
      <c r="P383"/>
      <c r="Q383"/>
      <c r="R383"/>
      <c r="S383"/>
      <c r="T383"/>
      <c r="U383"/>
      <c r="V383"/>
      <c r="W383"/>
      <c r="X383"/>
      <c r="Y383"/>
      <c r="Z383"/>
      <c r="AA383"/>
    </row>
    <row r="384" spans="1:27" x14ac:dyDescent="0.4">
      <c r="A384"/>
      <c r="B384"/>
      <c r="C384"/>
      <c r="D384"/>
      <c r="E384"/>
      <c r="F384"/>
      <c r="G384"/>
      <c r="H384"/>
      <c r="I384"/>
      <c r="J384"/>
      <c r="K384"/>
      <c r="L384"/>
      <c r="M384"/>
      <c r="N384"/>
      <c r="O384"/>
      <c r="P384"/>
      <c r="Q384"/>
      <c r="R384"/>
      <c r="S384"/>
      <c r="T384"/>
      <c r="U384"/>
      <c r="V384"/>
      <c r="W384"/>
      <c r="X384"/>
      <c r="Y384"/>
      <c r="Z384"/>
      <c r="AA384"/>
    </row>
    <row r="385" spans="1:27" x14ac:dyDescent="0.4">
      <c r="A385"/>
      <c r="B385"/>
      <c r="C385"/>
      <c r="D385"/>
      <c r="E385"/>
      <c r="F385"/>
      <c r="G385"/>
      <c r="H385"/>
      <c r="I385"/>
      <c r="J385"/>
      <c r="K385"/>
      <c r="L385"/>
      <c r="M385"/>
      <c r="N385"/>
      <c r="O385"/>
      <c r="P385"/>
      <c r="Q385"/>
      <c r="R385"/>
      <c r="S385"/>
      <c r="T385"/>
      <c r="U385"/>
      <c r="V385"/>
      <c r="W385"/>
      <c r="X385"/>
      <c r="Y385"/>
      <c r="Z385"/>
      <c r="AA385"/>
    </row>
    <row r="386" spans="1:27" x14ac:dyDescent="0.4">
      <c r="A386"/>
      <c r="B386"/>
      <c r="C386"/>
      <c r="D386"/>
      <c r="E386"/>
      <c r="F386"/>
      <c r="G386"/>
      <c r="H386"/>
      <c r="I386"/>
      <c r="J386"/>
      <c r="K386"/>
      <c r="L386"/>
      <c r="M386"/>
      <c r="N386"/>
      <c r="O386"/>
      <c r="P386"/>
      <c r="Q386"/>
      <c r="R386"/>
      <c r="S386"/>
      <c r="T386"/>
      <c r="U386"/>
      <c r="V386"/>
      <c r="W386"/>
      <c r="X386"/>
      <c r="Y386"/>
      <c r="Z386"/>
      <c r="AA386"/>
    </row>
    <row r="387" spans="1:27" x14ac:dyDescent="0.4">
      <c r="A387"/>
      <c r="B387"/>
      <c r="C387"/>
      <c r="D387"/>
      <c r="E387"/>
      <c r="F387"/>
      <c r="G387"/>
      <c r="H387"/>
      <c r="I387"/>
      <c r="J387"/>
      <c r="K387"/>
      <c r="L387"/>
      <c r="M387"/>
      <c r="N387"/>
      <c r="O387"/>
      <c r="P387"/>
      <c r="Q387"/>
      <c r="R387"/>
      <c r="S387"/>
      <c r="T387"/>
      <c r="U387"/>
      <c r="V387"/>
      <c r="W387"/>
      <c r="X387"/>
      <c r="Y387"/>
      <c r="Z387"/>
      <c r="AA387"/>
    </row>
    <row r="388" spans="1:27" x14ac:dyDescent="0.4">
      <c r="A388"/>
      <c r="B388"/>
      <c r="C388"/>
      <c r="D388"/>
      <c r="E388"/>
      <c r="F388"/>
      <c r="G388"/>
      <c r="H388"/>
      <c r="I388"/>
      <c r="J388"/>
      <c r="K388"/>
      <c r="L388"/>
      <c r="M388"/>
      <c r="N388"/>
      <c r="O388"/>
      <c r="P388"/>
      <c r="Q388"/>
      <c r="R388"/>
      <c r="S388"/>
      <c r="T388"/>
      <c r="U388"/>
      <c r="V388"/>
      <c r="W388"/>
      <c r="X388"/>
      <c r="Y388"/>
      <c r="Z388"/>
      <c r="AA388"/>
    </row>
    <row r="389" spans="1:27" x14ac:dyDescent="0.4">
      <c r="A389"/>
      <c r="B389"/>
      <c r="C389"/>
      <c r="D389"/>
      <c r="E389"/>
      <c r="F389"/>
      <c r="G389"/>
      <c r="H389"/>
      <c r="I389"/>
      <c r="J389"/>
      <c r="K389"/>
      <c r="L389"/>
      <c r="M389"/>
      <c r="N389"/>
      <c r="O389"/>
      <c r="P389"/>
      <c r="Q389"/>
      <c r="R389"/>
      <c r="S389"/>
      <c r="T389"/>
      <c r="U389"/>
      <c r="V389"/>
      <c r="W389"/>
      <c r="X389"/>
      <c r="Y389"/>
      <c r="Z389"/>
      <c r="AA389"/>
    </row>
    <row r="390" spans="1:27" x14ac:dyDescent="0.4">
      <c r="A390"/>
      <c r="B390"/>
      <c r="C390"/>
      <c r="D390"/>
      <c r="E390"/>
      <c r="F390"/>
      <c r="G390"/>
      <c r="H390"/>
      <c r="I390"/>
      <c r="J390"/>
      <c r="K390"/>
      <c r="L390"/>
      <c r="M390"/>
      <c r="N390"/>
      <c r="O390"/>
      <c r="P390"/>
      <c r="Q390"/>
      <c r="R390"/>
      <c r="S390"/>
      <c r="T390"/>
      <c r="U390"/>
      <c r="V390"/>
      <c r="W390"/>
      <c r="X390"/>
      <c r="Y390"/>
      <c r="Z390"/>
      <c r="AA390"/>
    </row>
    <row r="391" spans="1:27" x14ac:dyDescent="0.4">
      <c r="A391"/>
      <c r="B391"/>
      <c r="C391"/>
      <c r="D391"/>
      <c r="E391"/>
      <c r="F391"/>
      <c r="G391"/>
      <c r="H391"/>
      <c r="I391"/>
      <c r="J391"/>
      <c r="K391"/>
      <c r="L391"/>
      <c r="M391"/>
      <c r="N391"/>
      <c r="O391"/>
      <c r="P391"/>
      <c r="Q391"/>
      <c r="R391"/>
      <c r="S391"/>
      <c r="T391"/>
      <c r="U391"/>
      <c r="V391"/>
      <c r="W391"/>
      <c r="X391"/>
      <c r="Y391"/>
      <c r="Z391"/>
      <c r="AA391"/>
    </row>
    <row r="392" spans="1:27" x14ac:dyDescent="0.4">
      <c r="A392"/>
      <c r="B392"/>
      <c r="C392"/>
      <c r="D392"/>
      <c r="E392"/>
      <c r="F392"/>
      <c r="G392"/>
      <c r="H392"/>
      <c r="I392"/>
      <c r="J392"/>
      <c r="K392"/>
      <c r="L392"/>
      <c r="M392"/>
      <c r="N392"/>
      <c r="O392"/>
      <c r="P392"/>
      <c r="Q392"/>
      <c r="R392"/>
      <c r="S392"/>
      <c r="T392"/>
      <c r="U392"/>
      <c r="V392"/>
      <c r="W392"/>
      <c r="X392"/>
      <c r="Y392"/>
      <c r="Z392"/>
      <c r="AA392"/>
    </row>
    <row r="393" spans="1:27" x14ac:dyDescent="0.4">
      <c r="A393"/>
      <c r="B393"/>
      <c r="C393"/>
      <c r="D393"/>
      <c r="E393"/>
      <c r="F393"/>
      <c r="G393"/>
      <c r="H393"/>
      <c r="I393"/>
      <c r="J393"/>
      <c r="K393"/>
      <c r="L393"/>
      <c r="M393"/>
      <c r="N393"/>
      <c r="O393"/>
      <c r="P393"/>
      <c r="Q393"/>
      <c r="R393"/>
      <c r="S393"/>
      <c r="T393"/>
      <c r="U393"/>
      <c r="V393"/>
      <c r="W393"/>
      <c r="X393"/>
      <c r="Y393"/>
      <c r="Z393"/>
      <c r="AA393"/>
    </row>
    <row r="394" spans="1:27" x14ac:dyDescent="0.4">
      <c r="A394"/>
      <c r="B394"/>
      <c r="C394"/>
      <c r="D394"/>
      <c r="E394"/>
      <c r="F394"/>
      <c r="G394"/>
      <c r="H394"/>
      <c r="I394"/>
      <c r="J394"/>
      <c r="K394"/>
      <c r="L394"/>
      <c r="M394"/>
      <c r="N394"/>
      <c r="O394"/>
      <c r="P394"/>
      <c r="Q394"/>
      <c r="R394"/>
      <c r="S394"/>
      <c r="T394"/>
      <c r="U394"/>
      <c r="V394"/>
      <c r="W394"/>
      <c r="X394"/>
      <c r="Y394"/>
      <c r="Z394"/>
      <c r="AA394"/>
    </row>
    <row r="395" spans="1:27" x14ac:dyDescent="0.4">
      <c r="A395"/>
      <c r="B395"/>
      <c r="C395"/>
      <c r="D395"/>
      <c r="E395"/>
      <c r="F395"/>
      <c r="G395"/>
      <c r="H395"/>
      <c r="I395"/>
      <c r="J395"/>
      <c r="K395"/>
      <c r="L395"/>
      <c r="M395"/>
      <c r="N395"/>
      <c r="O395"/>
      <c r="P395"/>
      <c r="Q395"/>
      <c r="R395"/>
      <c r="S395"/>
      <c r="T395"/>
      <c r="U395"/>
      <c r="V395"/>
      <c r="W395"/>
      <c r="X395"/>
      <c r="Y395"/>
      <c r="Z395"/>
      <c r="AA395"/>
    </row>
    <row r="396" spans="1:27" x14ac:dyDescent="0.4">
      <c r="A396"/>
      <c r="B396"/>
      <c r="C396"/>
      <c r="D396"/>
      <c r="E396"/>
      <c r="F396"/>
      <c r="G396"/>
      <c r="H396"/>
      <c r="I396"/>
      <c r="J396"/>
      <c r="K396"/>
      <c r="L396"/>
      <c r="M396"/>
      <c r="N396"/>
      <c r="O396"/>
      <c r="P396"/>
      <c r="Q396"/>
      <c r="R396"/>
      <c r="S396"/>
      <c r="T396"/>
      <c r="U396"/>
      <c r="V396"/>
      <c r="W396"/>
      <c r="X396"/>
      <c r="Y396"/>
      <c r="Z396"/>
      <c r="AA396"/>
    </row>
    <row r="397" spans="1:27" x14ac:dyDescent="0.4">
      <c r="A397"/>
      <c r="B397"/>
      <c r="C397"/>
      <c r="D397"/>
      <c r="E397"/>
      <c r="F397"/>
      <c r="G397"/>
      <c r="H397"/>
      <c r="I397"/>
      <c r="J397"/>
      <c r="K397"/>
      <c r="L397"/>
      <c r="M397"/>
      <c r="N397"/>
      <c r="O397"/>
      <c r="P397"/>
      <c r="Q397"/>
      <c r="R397"/>
      <c r="S397"/>
      <c r="T397"/>
      <c r="U397"/>
      <c r="V397"/>
      <c r="W397"/>
      <c r="X397"/>
      <c r="Y397"/>
      <c r="Z397"/>
      <c r="AA397"/>
    </row>
    <row r="398" spans="1:27" x14ac:dyDescent="0.4">
      <c r="A398"/>
      <c r="B398"/>
      <c r="C398"/>
      <c r="D398"/>
      <c r="E398"/>
      <c r="F398"/>
      <c r="G398"/>
      <c r="H398"/>
      <c r="I398"/>
      <c r="J398"/>
      <c r="K398"/>
      <c r="L398"/>
      <c r="M398"/>
      <c r="N398"/>
      <c r="O398"/>
      <c r="P398"/>
      <c r="Q398"/>
      <c r="R398"/>
      <c r="S398"/>
      <c r="T398"/>
      <c r="U398"/>
      <c r="V398"/>
      <c r="W398"/>
      <c r="X398"/>
      <c r="Y398"/>
      <c r="Z398"/>
      <c r="AA398"/>
    </row>
    <row r="399" spans="1:27" x14ac:dyDescent="0.4">
      <c r="A399"/>
      <c r="B399"/>
      <c r="C399"/>
      <c r="D399"/>
      <c r="E399"/>
      <c r="F399"/>
      <c r="G399"/>
      <c r="H399"/>
      <c r="I399"/>
      <c r="J399"/>
      <c r="K399"/>
      <c r="L399"/>
      <c r="M399"/>
      <c r="N399"/>
      <c r="O399"/>
      <c r="P399"/>
      <c r="Q399"/>
      <c r="R399"/>
      <c r="S399"/>
      <c r="T399"/>
      <c r="U399"/>
      <c r="V399"/>
      <c r="W399"/>
      <c r="X399"/>
      <c r="Y399"/>
      <c r="Z399"/>
      <c r="AA399"/>
    </row>
    <row r="400" spans="1:27" x14ac:dyDescent="0.4">
      <c r="A400"/>
      <c r="B400"/>
      <c r="C400"/>
      <c r="D400"/>
      <c r="E400"/>
      <c r="F400"/>
      <c r="G400"/>
      <c r="H400"/>
      <c r="I400"/>
      <c r="J400"/>
      <c r="K400"/>
      <c r="L400"/>
      <c r="M400"/>
      <c r="N400"/>
      <c r="O400"/>
      <c r="P400"/>
      <c r="Q400"/>
      <c r="R400"/>
      <c r="S400"/>
      <c r="T400"/>
      <c r="U400"/>
      <c r="V400"/>
      <c r="W400"/>
      <c r="X400"/>
      <c r="Y400"/>
      <c r="Z400"/>
      <c r="AA400"/>
    </row>
    <row r="401" spans="1:27" x14ac:dyDescent="0.4">
      <c r="A401"/>
      <c r="B401"/>
      <c r="C401"/>
      <c r="D401"/>
      <c r="E401"/>
      <c r="F401"/>
      <c r="G401"/>
      <c r="H401"/>
      <c r="I401"/>
      <c r="J401"/>
      <c r="K401"/>
      <c r="L401"/>
      <c r="M401"/>
      <c r="N401"/>
      <c r="O401"/>
      <c r="P401"/>
      <c r="Q401"/>
      <c r="R401"/>
      <c r="S401"/>
      <c r="T401"/>
      <c r="U401"/>
      <c r="V401"/>
      <c r="W401"/>
      <c r="X401"/>
      <c r="Y401"/>
      <c r="Z401"/>
      <c r="AA401"/>
    </row>
    <row r="402" spans="1:27" x14ac:dyDescent="0.4">
      <c r="A402"/>
      <c r="B402"/>
      <c r="C402"/>
      <c r="D402"/>
      <c r="E402"/>
      <c r="F402"/>
      <c r="G402"/>
      <c r="H402"/>
      <c r="I402"/>
      <c r="J402"/>
      <c r="K402"/>
      <c r="L402"/>
      <c r="M402"/>
      <c r="N402"/>
      <c r="O402"/>
      <c r="P402"/>
      <c r="Q402"/>
      <c r="R402"/>
      <c r="S402"/>
      <c r="T402"/>
      <c r="U402"/>
      <c r="V402"/>
      <c r="W402"/>
      <c r="X402"/>
      <c r="Y402"/>
      <c r="Z402"/>
      <c r="AA402"/>
    </row>
    <row r="403" spans="1:27" x14ac:dyDescent="0.4">
      <c r="A403"/>
      <c r="B403"/>
      <c r="C403"/>
      <c r="D403"/>
      <c r="E403"/>
      <c r="F403"/>
      <c r="G403"/>
      <c r="H403"/>
      <c r="I403"/>
      <c r="J403"/>
      <c r="K403"/>
      <c r="L403"/>
      <c r="M403"/>
      <c r="N403"/>
      <c r="O403"/>
      <c r="P403"/>
      <c r="Q403"/>
      <c r="R403"/>
      <c r="S403"/>
      <c r="T403"/>
      <c r="U403"/>
      <c r="V403"/>
      <c r="W403"/>
      <c r="X403"/>
      <c r="Y403"/>
      <c r="Z403"/>
      <c r="AA403"/>
    </row>
    <row r="404" spans="1:27" x14ac:dyDescent="0.4">
      <c r="A404"/>
      <c r="B404"/>
      <c r="C404"/>
      <c r="D404"/>
      <c r="E404"/>
      <c r="F404"/>
      <c r="G404"/>
      <c r="H404"/>
      <c r="I404"/>
      <c r="J404"/>
      <c r="K404"/>
      <c r="L404"/>
      <c r="M404"/>
      <c r="N404"/>
      <c r="O404"/>
      <c r="P404"/>
      <c r="Q404"/>
      <c r="R404"/>
      <c r="S404"/>
      <c r="T404"/>
      <c r="U404"/>
      <c r="V404"/>
      <c r="W404"/>
      <c r="X404"/>
      <c r="Y404"/>
      <c r="Z404"/>
      <c r="AA404"/>
    </row>
    <row r="405" spans="1:27" x14ac:dyDescent="0.4">
      <c r="A405"/>
      <c r="B405"/>
      <c r="C405"/>
      <c r="D405"/>
      <c r="E405"/>
      <c r="F405"/>
      <c r="G405"/>
      <c r="H405"/>
      <c r="I405"/>
      <c r="J405"/>
      <c r="K405"/>
      <c r="L405"/>
      <c r="M405"/>
      <c r="N405"/>
      <c r="O405"/>
      <c r="P405"/>
      <c r="Q405"/>
      <c r="R405"/>
      <c r="S405"/>
      <c r="T405"/>
      <c r="U405"/>
      <c r="V405"/>
      <c r="W405"/>
      <c r="X405"/>
      <c r="Y405"/>
      <c r="Z405"/>
      <c r="AA405"/>
    </row>
    <row r="406" spans="1:27" x14ac:dyDescent="0.4">
      <c r="A406"/>
      <c r="B406"/>
      <c r="C406"/>
      <c r="D406"/>
      <c r="E406"/>
      <c r="F406"/>
      <c r="G406"/>
      <c r="H406"/>
      <c r="I406"/>
      <c r="J406"/>
      <c r="K406"/>
      <c r="L406"/>
      <c r="M406"/>
      <c r="N406"/>
      <c r="O406"/>
      <c r="P406"/>
      <c r="Q406"/>
      <c r="R406"/>
      <c r="S406"/>
      <c r="T406"/>
      <c r="U406"/>
      <c r="V406"/>
      <c r="W406"/>
      <c r="X406"/>
      <c r="Y406"/>
      <c r="Z406"/>
      <c r="AA406"/>
    </row>
    <row r="407" spans="1:27" x14ac:dyDescent="0.4">
      <c r="A407"/>
      <c r="B407"/>
      <c r="C407"/>
      <c r="D407"/>
      <c r="E407"/>
      <c r="F407"/>
      <c r="G407"/>
      <c r="H407"/>
      <c r="I407"/>
      <c r="J407"/>
      <c r="K407"/>
      <c r="L407"/>
      <c r="M407"/>
      <c r="N407"/>
      <c r="O407"/>
      <c r="P407"/>
      <c r="Q407"/>
      <c r="R407"/>
      <c r="S407"/>
      <c r="T407"/>
      <c r="U407"/>
      <c r="V407"/>
      <c r="W407"/>
      <c r="X407"/>
      <c r="Y407"/>
      <c r="Z407"/>
      <c r="AA407"/>
    </row>
    <row r="408" spans="1:27" x14ac:dyDescent="0.4">
      <c r="A408"/>
      <c r="B408"/>
      <c r="C408"/>
      <c r="D408"/>
      <c r="E408"/>
      <c r="F408"/>
      <c r="G408"/>
      <c r="H408"/>
      <c r="I408"/>
      <c r="J408"/>
      <c r="K408"/>
      <c r="L408"/>
      <c r="M408"/>
      <c r="N408"/>
      <c r="O408"/>
      <c r="P408"/>
      <c r="Q408"/>
      <c r="R408"/>
      <c r="S408"/>
      <c r="T408"/>
      <c r="U408"/>
      <c r="V408"/>
      <c r="W408"/>
      <c r="X408"/>
      <c r="Y408"/>
      <c r="Z408"/>
      <c r="AA408"/>
    </row>
    <row r="409" spans="1:27" x14ac:dyDescent="0.4">
      <c r="A409"/>
      <c r="B409"/>
      <c r="C409"/>
      <c r="D409"/>
      <c r="E409"/>
      <c r="F409"/>
      <c r="G409"/>
      <c r="H409"/>
      <c r="I409"/>
      <c r="J409"/>
      <c r="K409"/>
      <c r="L409"/>
      <c r="M409"/>
      <c r="N409"/>
      <c r="O409"/>
      <c r="P409"/>
      <c r="Q409"/>
      <c r="R409"/>
      <c r="S409"/>
      <c r="T409"/>
      <c r="U409"/>
      <c r="V409"/>
      <c r="W409"/>
      <c r="X409"/>
      <c r="Y409"/>
      <c r="Z409"/>
      <c r="AA409"/>
    </row>
    <row r="410" spans="1:27" x14ac:dyDescent="0.4">
      <c r="A410"/>
      <c r="B410"/>
      <c r="C410"/>
      <c r="D410"/>
      <c r="E410"/>
      <c r="F410"/>
      <c r="G410"/>
      <c r="H410"/>
      <c r="I410"/>
      <c r="J410"/>
      <c r="K410"/>
      <c r="L410"/>
      <c r="M410"/>
      <c r="N410"/>
      <c r="O410"/>
      <c r="P410"/>
      <c r="Q410"/>
      <c r="R410"/>
      <c r="S410"/>
      <c r="T410"/>
      <c r="U410"/>
      <c r="V410"/>
      <c r="W410"/>
      <c r="X410"/>
      <c r="Y410"/>
      <c r="Z410"/>
      <c r="AA410"/>
    </row>
    <row r="411" spans="1:27" x14ac:dyDescent="0.4">
      <c r="A411"/>
      <c r="B411"/>
      <c r="C411"/>
      <c r="D411"/>
      <c r="E411"/>
      <c r="F411"/>
      <c r="G411"/>
      <c r="H411"/>
      <c r="I411"/>
      <c r="J411"/>
      <c r="K411"/>
      <c r="L411"/>
      <c r="M411"/>
      <c r="N411"/>
      <c r="O411"/>
      <c r="P411"/>
      <c r="Q411"/>
      <c r="R411"/>
      <c r="S411"/>
      <c r="T411"/>
      <c r="U411"/>
      <c r="V411"/>
      <c r="W411"/>
      <c r="X411"/>
      <c r="Y411"/>
      <c r="Z411"/>
      <c r="AA411"/>
    </row>
    <row r="412" spans="1:27" x14ac:dyDescent="0.4">
      <c r="A412"/>
      <c r="B412"/>
      <c r="C412"/>
      <c r="D412"/>
      <c r="E412"/>
      <c r="F412"/>
      <c r="G412"/>
      <c r="H412"/>
      <c r="I412"/>
      <c r="J412"/>
      <c r="K412"/>
      <c r="L412"/>
      <c r="M412"/>
      <c r="N412"/>
      <c r="O412"/>
      <c r="P412"/>
      <c r="Q412"/>
      <c r="R412"/>
      <c r="S412"/>
      <c r="T412"/>
      <c r="U412"/>
      <c r="V412"/>
      <c r="W412"/>
      <c r="X412"/>
      <c r="Y412"/>
      <c r="Z412"/>
      <c r="AA412"/>
    </row>
    <row r="413" spans="1:27" x14ac:dyDescent="0.4">
      <c r="A413"/>
      <c r="B413"/>
      <c r="C413"/>
      <c r="D413"/>
      <c r="E413"/>
      <c r="F413"/>
      <c r="G413"/>
      <c r="H413"/>
      <c r="I413"/>
      <c r="J413"/>
      <c r="K413"/>
      <c r="L413"/>
      <c r="M413"/>
      <c r="N413"/>
      <c r="O413"/>
      <c r="P413"/>
      <c r="Q413"/>
      <c r="R413"/>
      <c r="S413"/>
      <c r="T413"/>
      <c r="U413"/>
      <c r="V413"/>
      <c r="W413"/>
      <c r="X413"/>
      <c r="Y413"/>
      <c r="Z413"/>
      <c r="AA413"/>
    </row>
    <row r="414" spans="1:27" x14ac:dyDescent="0.4">
      <c r="A414"/>
      <c r="B414"/>
      <c r="C414"/>
      <c r="D414"/>
      <c r="E414"/>
      <c r="F414"/>
      <c r="G414"/>
      <c r="H414"/>
      <c r="I414"/>
      <c r="J414"/>
      <c r="K414"/>
      <c r="L414"/>
      <c r="M414"/>
      <c r="N414"/>
      <c r="O414"/>
      <c r="P414"/>
      <c r="Q414"/>
      <c r="R414"/>
      <c r="S414"/>
      <c r="T414"/>
      <c r="U414"/>
      <c r="V414"/>
      <c r="W414"/>
      <c r="X414"/>
      <c r="Y414"/>
      <c r="Z414"/>
      <c r="AA414"/>
    </row>
    <row r="415" spans="1:27" x14ac:dyDescent="0.4">
      <c r="A415"/>
      <c r="B415"/>
      <c r="C415"/>
      <c r="D415"/>
      <c r="E415"/>
      <c r="F415"/>
      <c r="G415"/>
      <c r="H415"/>
      <c r="I415"/>
      <c r="J415"/>
      <c r="K415"/>
      <c r="L415"/>
      <c r="M415"/>
      <c r="N415"/>
      <c r="O415"/>
      <c r="P415"/>
      <c r="Q415"/>
      <c r="R415"/>
      <c r="S415"/>
      <c r="T415"/>
      <c r="U415"/>
      <c r="V415"/>
      <c r="W415"/>
      <c r="X415"/>
      <c r="Y415"/>
      <c r="Z415"/>
      <c r="AA415"/>
    </row>
    <row r="416" spans="1:27" x14ac:dyDescent="0.4">
      <c r="A416"/>
      <c r="B416"/>
      <c r="C416"/>
      <c r="D416"/>
      <c r="E416"/>
      <c r="F416"/>
      <c r="G416"/>
      <c r="H416"/>
      <c r="I416"/>
      <c r="J416"/>
      <c r="K416"/>
      <c r="L416"/>
      <c r="M416"/>
      <c r="N416"/>
      <c r="O416"/>
      <c r="P416"/>
      <c r="Q416"/>
      <c r="R416"/>
      <c r="S416"/>
      <c r="T416"/>
      <c r="U416"/>
      <c r="V416"/>
      <c r="W416"/>
      <c r="X416"/>
      <c r="Y416"/>
      <c r="Z416"/>
      <c r="AA416"/>
    </row>
    <row r="417" spans="1:27" x14ac:dyDescent="0.4">
      <c r="A417"/>
      <c r="B417"/>
      <c r="C417"/>
      <c r="D417"/>
      <c r="E417"/>
      <c r="F417"/>
      <c r="G417"/>
      <c r="H417"/>
      <c r="I417"/>
      <c r="J417"/>
      <c r="K417"/>
      <c r="L417"/>
      <c r="M417"/>
      <c r="N417"/>
      <c r="O417"/>
      <c r="P417"/>
      <c r="Q417"/>
      <c r="R417"/>
      <c r="S417"/>
      <c r="T417"/>
      <c r="U417"/>
      <c r="V417"/>
      <c r="W417"/>
      <c r="X417"/>
      <c r="Y417"/>
      <c r="Z417"/>
      <c r="AA417"/>
    </row>
    <row r="418" spans="1:27" x14ac:dyDescent="0.4">
      <c r="A418"/>
      <c r="B418"/>
      <c r="C418"/>
      <c r="D418"/>
      <c r="E418"/>
      <c r="F418"/>
      <c r="G418"/>
      <c r="H418"/>
      <c r="I418"/>
      <c r="J418"/>
      <c r="K418"/>
      <c r="L418"/>
      <c r="M418"/>
      <c r="N418"/>
      <c r="O418"/>
      <c r="P418"/>
      <c r="Q418"/>
      <c r="R418"/>
      <c r="S418"/>
      <c r="T418"/>
      <c r="U418"/>
      <c r="V418"/>
      <c r="W418"/>
      <c r="X418"/>
      <c r="Y418"/>
      <c r="Z418"/>
      <c r="AA418"/>
    </row>
    <row r="419" spans="1:27" x14ac:dyDescent="0.4">
      <c r="A419"/>
      <c r="B419"/>
      <c r="C419"/>
      <c r="D419"/>
      <c r="E419"/>
      <c r="F419"/>
      <c r="G419"/>
      <c r="H419"/>
      <c r="I419"/>
      <c r="J419"/>
      <c r="K419"/>
      <c r="L419"/>
      <c r="M419"/>
      <c r="N419"/>
      <c r="O419"/>
      <c r="P419"/>
      <c r="Q419"/>
      <c r="R419"/>
      <c r="S419"/>
      <c r="T419"/>
      <c r="U419"/>
      <c r="V419"/>
      <c r="W419"/>
      <c r="X419"/>
      <c r="Y419"/>
      <c r="Z419"/>
      <c r="AA419"/>
    </row>
    <row r="420" spans="1:27" x14ac:dyDescent="0.4">
      <c r="A420"/>
      <c r="B420"/>
      <c r="C420"/>
      <c r="D420"/>
      <c r="E420"/>
      <c r="F420"/>
      <c r="G420"/>
      <c r="H420"/>
      <c r="I420"/>
      <c r="J420"/>
      <c r="K420"/>
      <c r="L420"/>
      <c r="M420"/>
      <c r="N420"/>
      <c r="O420"/>
      <c r="P420"/>
      <c r="Q420"/>
      <c r="R420"/>
      <c r="S420"/>
      <c r="T420"/>
      <c r="U420"/>
      <c r="V420"/>
      <c r="W420"/>
      <c r="X420"/>
      <c r="Y420"/>
      <c r="Z420"/>
      <c r="AA420"/>
    </row>
    <row r="421" spans="1:27" x14ac:dyDescent="0.4">
      <c r="A421"/>
      <c r="B421"/>
      <c r="C421"/>
      <c r="D421"/>
      <c r="E421"/>
      <c r="F421"/>
      <c r="G421"/>
      <c r="H421"/>
      <c r="I421"/>
      <c r="J421"/>
      <c r="K421"/>
      <c r="L421"/>
      <c r="M421"/>
      <c r="N421"/>
      <c r="O421"/>
      <c r="P421"/>
      <c r="Q421"/>
      <c r="R421"/>
      <c r="S421"/>
      <c r="T421"/>
      <c r="U421"/>
      <c r="V421"/>
      <c r="W421"/>
      <c r="X421"/>
      <c r="Y421"/>
      <c r="Z421"/>
      <c r="AA421"/>
    </row>
    <row r="422" spans="1:27" x14ac:dyDescent="0.4">
      <c r="A422"/>
      <c r="B422"/>
      <c r="C422"/>
      <c r="D422"/>
      <c r="E422"/>
      <c r="F422"/>
      <c r="G422"/>
      <c r="H422"/>
      <c r="I422"/>
      <c r="J422"/>
      <c r="K422"/>
      <c r="L422"/>
      <c r="M422"/>
      <c r="N422"/>
      <c r="O422"/>
      <c r="P422"/>
      <c r="Q422"/>
      <c r="R422"/>
      <c r="S422"/>
      <c r="T422"/>
      <c r="U422"/>
      <c r="V422"/>
      <c r="W422"/>
      <c r="X422"/>
      <c r="Y422"/>
      <c r="Z422"/>
      <c r="AA422"/>
    </row>
    <row r="423" spans="1:27" x14ac:dyDescent="0.4">
      <c r="A423"/>
      <c r="B423"/>
      <c r="C423"/>
      <c r="D423"/>
      <c r="E423"/>
      <c r="F423"/>
      <c r="G423"/>
      <c r="H423"/>
      <c r="I423"/>
      <c r="J423"/>
      <c r="K423"/>
      <c r="L423"/>
      <c r="M423"/>
      <c r="N423"/>
      <c r="O423"/>
      <c r="P423"/>
      <c r="Q423"/>
      <c r="R423"/>
      <c r="S423"/>
      <c r="T423"/>
      <c r="U423"/>
      <c r="V423"/>
      <c r="W423"/>
      <c r="X423"/>
      <c r="Y423"/>
      <c r="Z423"/>
      <c r="AA423"/>
    </row>
    <row r="424" spans="1:27" x14ac:dyDescent="0.4">
      <c r="A424"/>
      <c r="B424"/>
      <c r="C424"/>
      <c r="D424"/>
      <c r="E424"/>
      <c r="F424"/>
      <c r="G424"/>
      <c r="H424"/>
      <c r="I424"/>
      <c r="J424"/>
      <c r="K424"/>
      <c r="L424"/>
      <c r="M424"/>
      <c r="N424"/>
      <c r="O424"/>
      <c r="P424"/>
      <c r="Q424"/>
      <c r="R424"/>
      <c r="S424"/>
      <c r="T424"/>
      <c r="U424"/>
      <c r="V424"/>
      <c r="W424"/>
      <c r="X424"/>
      <c r="Y424"/>
      <c r="Z424"/>
      <c r="AA424"/>
    </row>
    <row r="425" spans="1:27" x14ac:dyDescent="0.4">
      <c r="A425"/>
      <c r="B425"/>
      <c r="C425"/>
      <c r="D425"/>
      <c r="E425"/>
      <c r="F425"/>
      <c r="G425"/>
      <c r="H425"/>
      <c r="I425"/>
      <c r="J425"/>
      <c r="K425"/>
      <c r="L425"/>
      <c r="M425"/>
      <c r="N425"/>
      <c r="O425"/>
      <c r="P425"/>
      <c r="Q425"/>
      <c r="R425"/>
      <c r="S425"/>
      <c r="T425"/>
      <c r="U425"/>
      <c r="V425"/>
      <c r="W425"/>
      <c r="X425"/>
      <c r="Y425"/>
      <c r="Z425"/>
      <c r="AA425"/>
    </row>
    <row r="426" spans="1:27" x14ac:dyDescent="0.4">
      <c r="A426"/>
      <c r="B426"/>
      <c r="C426"/>
      <c r="D426"/>
      <c r="E426"/>
      <c r="F426"/>
      <c r="G426"/>
      <c r="H426"/>
      <c r="I426"/>
      <c r="J426"/>
      <c r="K426"/>
      <c r="L426"/>
      <c r="M426"/>
      <c r="N426"/>
      <c r="O426"/>
      <c r="P426"/>
      <c r="Q426"/>
      <c r="R426"/>
      <c r="S426"/>
      <c r="T426"/>
      <c r="U426"/>
      <c r="V426"/>
      <c r="W426"/>
      <c r="X426"/>
      <c r="Y426"/>
      <c r="Z426"/>
      <c r="AA426"/>
    </row>
    <row r="427" spans="1:27" x14ac:dyDescent="0.4">
      <c r="A427"/>
      <c r="B427"/>
      <c r="C427"/>
      <c r="D427"/>
      <c r="E427"/>
      <c r="F427"/>
      <c r="G427"/>
      <c r="H427"/>
      <c r="I427"/>
      <c r="J427"/>
      <c r="K427"/>
      <c r="L427"/>
      <c r="M427"/>
      <c r="N427"/>
      <c r="O427"/>
      <c r="P427"/>
      <c r="Q427"/>
      <c r="R427"/>
      <c r="S427"/>
      <c r="T427"/>
      <c r="U427"/>
      <c r="V427"/>
      <c r="W427"/>
      <c r="X427"/>
      <c r="Y427"/>
      <c r="Z427"/>
      <c r="AA427"/>
    </row>
    <row r="428" spans="1:27" x14ac:dyDescent="0.4">
      <c r="A428"/>
      <c r="B428"/>
      <c r="C428"/>
      <c r="D428"/>
      <c r="E428"/>
      <c r="F428"/>
      <c r="G428"/>
      <c r="H428"/>
      <c r="I428"/>
      <c r="J428"/>
      <c r="K428"/>
      <c r="L428"/>
      <c r="M428"/>
      <c r="N428"/>
      <c r="O428"/>
      <c r="P428"/>
      <c r="Q428"/>
      <c r="R428"/>
      <c r="S428"/>
      <c r="T428"/>
      <c r="U428"/>
      <c r="V428"/>
      <c r="W428"/>
      <c r="X428"/>
      <c r="Y428"/>
      <c r="Z428"/>
      <c r="AA428"/>
    </row>
    <row r="429" spans="1:27" x14ac:dyDescent="0.4">
      <c r="A429"/>
      <c r="B429"/>
      <c r="C429"/>
      <c r="D429"/>
      <c r="E429"/>
      <c r="F429"/>
      <c r="G429"/>
      <c r="H429"/>
      <c r="I429"/>
      <c r="J429"/>
      <c r="K429"/>
      <c r="L429"/>
      <c r="M429"/>
      <c r="N429"/>
      <c r="O429"/>
      <c r="P429"/>
      <c r="Q429"/>
      <c r="R429"/>
      <c r="S429"/>
      <c r="T429"/>
      <c r="U429"/>
      <c r="V429"/>
      <c r="W429"/>
      <c r="X429"/>
      <c r="Y429"/>
      <c r="Z429"/>
      <c r="AA429"/>
    </row>
    <row r="430" spans="1:27" x14ac:dyDescent="0.4">
      <c r="A430"/>
      <c r="B430"/>
      <c r="C430"/>
      <c r="D430"/>
      <c r="E430"/>
      <c r="F430"/>
      <c r="G430"/>
      <c r="H430"/>
      <c r="I430"/>
      <c r="J430"/>
      <c r="K430"/>
      <c r="L430"/>
      <c r="M430"/>
      <c r="N430"/>
      <c r="O430"/>
      <c r="P430"/>
      <c r="Q430"/>
      <c r="R430"/>
      <c r="S430"/>
      <c r="T430"/>
      <c r="U430"/>
      <c r="V430"/>
      <c r="W430"/>
      <c r="X430"/>
      <c r="Y430"/>
      <c r="Z430"/>
      <c r="AA430"/>
    </row>
    <row r="431" spans="1:27" x14ac:dyDescent="0.4">
      <c r="A431"/>
      <c r="B431"/>
      <c r="C431"/>
      <c r="D431"/>
      <c r="E431"/>
      <c r="F431"/>
      <c r="G431"/>
      <c r="H431"/>
      <c r="I431"/>
      <c r="J431"/>
      <c r="K431"/>
      <c r="L431"/>
      <c r="M431"/>
      <c r="N431"/>
      <c r="O431"/>
      <c r="P431"/>
      <c r="Q431"/>
      <c r="R431"/>
      <c r="S431"/>
      <c r="T431"/>
      <c r="U431"/>
      <c r="V431"/>
      <c r="W431"/>
      <c r="X431"/>
      <c r="Y431"/>
      <c r="Z431"/>
      <c r="AA431"/>
    </row>
    <row r="432" spans="1:27" x14ac:dyDescent="0.4">
      <c r="A432"/>
      <c r="B432"/>
      <c r="C432"/>
      <c r="D432"/>
      <c r="E432"/>
      <c r="F432"/>
      <c r="G432"/>
      <c r="H432"/>
      <c r="I432"/>
      <c r="J432"/>
      <c r="K432"/>
      <c r="L432"/>
      <c r="M432"/>
      <c r="N432"/>
      <c r="O432"/>
      <c r="P432"/>
      <c r="Q432"/>
      <c r="R432"/>
      <c r="S432"/>
      <c r="T432"/>
      <c r="U432"/>
      <c r="V432"/>
      <c r="W432"/>
      <c r="X432"/>
      <c r="Y432"/>
      <c r="Z432"/>
      <c r="AA432"/>
    </row>
    <row r="433" spans="1:27" x14ac:dyDescent="0.4">
      <c r="A433"/>
      <c r="B433"/>
      <c r="C433"/>
      <c r="D433"/>
      <c r="E433"/>
      <c r="F433"/>
      <c r="G433"/>
      <c r="H433"/>
      <c r="I433"/>
      <c r="J433"/>
      <c r="K433"/>
      <c r="L433"/>
      <c r="M433"/>
      <c r="N433"/>
      <c r="O433"/>
      <c r="P433"/>
      <c r="Q433"/>
      <c r="R433"/>
      <c r="S433"/>
      <c r="T433"/>
      <c r="U433"/>
      <c r="V433"/>
      <c r="W433"/>
      <c r="X433"/>
      <c r="Y433"/>
      <c r="Z433"/>
      <c r="AA433"/>
    </row>
    <row r="434" spans="1:27" x14ac:dyDescent="0.4">
      <c r="A434"/>
      <c r="B434"/>
      <c r="C434"/>
      <c r="D434"/>
      <c r="E434"/>
      <c r="F434"/>
      <c r="G434"/>
      <c r="H434"/>
      <c r="I434"/>
      <c r="J434"/>
      <c r="K434"/>
      <c r="L434"/>
      <c r="M434"/>
      <c r="N434"/>
      <c r="O434"/>
      <c r="P434"/>
      <c r="Q434"/>
      <c r="R434"/>
      <c r="S434"/>
      <c r="T434"/>
      <c r="U434"/>
      <c r="V434"/>
      <c r="W434"/>
      <c r="X434"/>
      <c r="Y434"/>
      <c r="Z434"/>
      <c r="AA434"/>
    </row>
    <row r="435" spans="1:27" x14ac:dyDescent="0.4">
      <c r="A435"/>
      <c r="B435"/>
      <c r="C435"/>
      <c r="D435"/>
      <c r="E435"/>
      <c r="F435"/>
      <c r="G435"/>
      <c r="H435"/>
      <c r="I435"/>
      <c r="J435"/>
      <c r="K435"/>
      <c r="L435"/>
      <c r="M435"/>
      <c r="N435"/>
      <c r="O435"/>
      <c r="P435"/>
      <c r="Q435"/>
      <c r="R435"/>
      <c r="S435"/>
      <c r="T435"/>
      <c r="U435"/>
      <c r="V435"/>
      <c r="W435"/>
      <c r="X435"/>
      <c r="Y435"/>
      <c r="Z435"/>
      <c r="AA435"/>
    </row>
    <row r="436" spans="1:27" x14ac:dyDescent="0.4">
      <c r="A436"/>
      <c r="B436"/>
      <c r="C436"/>
      <c r="D436"/>
      <c r="E436"/>
      <c r="F436"/>
      <c r="G436"/>
      <c r="H436"/>
      <c r="I436"/>
      <c r="J436"/>
      <c r="K436"/>
      <c r="L436"/>
      <c r="M436"/>
      <c r="N436"/>
      <c r="O436"/>
      <c r="P436"/>
      <c r="Q436"/>
      <c r="R436"/>
      <c r="S436"/>
      <c r="T436"/>
      <c r="U436"/>
      <c r="V436"/>
      <c r="W436"/>
      <c r="X436"/>
      <c r="Y436"/>
      <c r="Z436"/>
      <c r="AA436"/>
    </row>
    <row r="437" spans="1:27" x14ac:dyDescent="0.4">
      <c r="A437"/>
      <c r="B437"/>
      <c r="C437"/>
      <c r="D437"/>
      <c r="E437"/>
      <c r="F437"/>
      <c r="G437"/>
      <c r="H437"/>
      <c r="I437"/>
      <c r="J437"/>
      <c r="K437"/>
      <c r="L437"/>
      <c r="M437"/>
      <c r="N437"/>
      <c r="O437"/>
      <c r="P437"/>
      <c r="Q437"/>
      <c r="R437"/>
      <c r="S437"/>
      <c r="T437"/>
      <c r="U437"/>
      <c r="V437"/>
      <c r="W437"/>
      <c r="X437"/>
      <c r="Y437"/>
      <c r="Z437"/>
      <c r="AA437"/>
    </row>
    <row r="438" spans="1:27" x14ac:dyDescent="0.4">
      <c r="A438"/>
      <c r="B438"/>
      <c r="C438"/>
      <c r="D438"/>
      <c r="E438"/>
      <c r="F438"/>
      <c r="G438"/>
      <c r="H438"/>
      <c r="I438"/>
      <c r="J438"/>
      <c r="K438"/>
      <c r="L438"/>
      <c r="M438"/>
      <c r="N438"/>
      <c r="O438"/>
      <c r="P438"/>
      <c r="Q438"/>
      <c r="R438"/>
      <c r="S438"/>
      <c r="T438"/>
      <c r="U438"/>
      <c r="V438"/>
      <c r="W438"/>
      <c r="X438"/>
      <c r="Y438"/>
      <c r="Z438"/>
      <c r="AA438"/>
    </row>
    <row r="439" spans="1:27" x14ac:dyDescent="0.4">
      <c r="A439"/>
      <c r="B439"/>
      <c r="C439"/>
      <c r="D439"/>
      <c r="E439"/>
      <c r="F439"/>
      <c r="G439"/>
      <c r="H439"/>
      <c r="I439"/>
      <c r="J439"/>
      <c r="K439"/>
      <c r="L439"/>
      <c r="M439"/>
      <c r="N439"/>
      <c r="O439"/>
      <c r="P439"/>
      <c r="Q439"/>
      <c r="R439"/>
      <c r="S439"/>
      <c r="T439"/>
      <c r="U439"/>
      <c r="V439"/>
      <c r="W439"/>
      <c r="X439"/>
      <c r="Y439"/>
      <c r="Z439"/>
      <c r="AA439"/>
    </row>
    <row r="440" spans="1:27" x14ac:dyDescent="0.4">
      <c r="A440"/>
      <c r="B440"/>
      <c r="C440"/>
      <c r="D440"/>
      <c r="E440"/>
      <c r="F440"/>
      <c r="G440"/>
      <c r="H440"/>
      <c r="I440"/>
      <c r="J440"/>
      <c r="K440"/>
      <c r="L440"/>
      <c r="M440"/>
      <c r="N440"/>
      <c r="O440"/>
      <c r="P440"/>
      <c r="Q440"/>
      <c r="R440"/>
      <c r="S440"/>
      <c r="T440"/>
      <c r="U440"/>
      <c r="V440"/>
      <c r="W440"/>
      <c r="X440"/>
      <c r="Y440"/>
      <c r="Z440"/>
      <c r="AA440"/>
    </row>
    <row r="441" spans="1:27" x14ac:dyDescent="0.4">
      <c r="A441"/>
      <c r="B441"/>
      <c r="C441"/>
      <c r="D441"/>
      <c r="E441"/>
      <c r="F441"/>
      <c r="G441"/>
      <c r="H441"/>
      <c r="I441"/>
      <c r="J441"/>
      <c r="K441"/>
      <c r="L441"/>
      <c r="M441"/>
      <c r="N441"/>
      <c r="O441"/>
      <c r="P441"/>
      <c r="Q441"/>
      <c r="R441"/>
      <c r="S441"/>
      <c r="T441"/>
      <c r="U441"/>
      <c r="V441"/>
      <c r="W441"/>
      <c r="X441"/>
      <c r="Y441"/>
      <c r="Z441"/>
      <c r="AA441"/>
    </row>
    <row r="442" spans="1:27" x14ac:dyDescent="0.4">
      <c r="A442"/>
      <c r="B442"/>
      <c r="C442"/>
      <c r="D442"/>
      <c r="E442"/>
      <c r="F442"/>
      <c r="G442"/>
      <c r="H442"/>
      <c r="I442"/>
      <c r="J442"/>
      <c r="K442"/>
      <c r="L442"/>
      <c r="M442"/>
      <c r="N442"/>
      <c r="O442"/>
      <c r="P442"/>
      <c r="Q442"/>
      <c r="R442"/>
      <c r="S442"/>
      <c r="T442"/>
      <c r="U442"/>
      <c r="V442"/>
      <c r="W442"/>
      <c r="X442"/>
      <c r="Y442"/>
      <c r="Z442"/>
      <c r="AA442"/>
    </row>
    <row r="443" spans="1:27" x14ac:dyDescent="0.4">
      <c r="A443"/>
      <c r="B443"/>
      <c r="C443"/>
      <c r="D443"/>
      <c r="E443"/>
      <c r="F443"/>
      <c r="G443"/>
      <c r="H443"/>
      <c r="I443"/>
      <c r="J443"/>
      <c r="K443"/>
      <c r="L443"/>
      <c r="M443"/>
      <c r="N443"/>
      <c r="O443"/>
      <c r="P443"/>
      <c r="Q443"/>
      <c r="R443"/>
      <c r="S443"/>
      <c r="T443"/>
      <c r="U443"/>
      <c r="V443"/>
      <c r="W443"/>
      <c r="X443"/>
      <c r="Y443"/>
      <c r="Z443"/>
      <c r="AA443"/>
    </row>
    <row r="444" spans="1:27" x14ac:dyDescent="0.4">
      <c r="A444"/>
      <c r="B444"/>
      <c r="C444"/>
      <c r="D444"/>
      <c r="E444"/>
      <c r="F444"/>
      <c r="G444"/>
      <c r="H444"/>
      <c r="I444"/>
      <c r="J444"/>
      <c r="K444"/>
      <c r="L444"/>
      <c r="M444"/>
      <c r="N444"/>
      <c r="O444"/>
      <c r="P444"/>
      <c r="Q444"/>
      <c r="R444"/>
      <c r="S444"/>
      <c r="T444"/>
      <c r="U444"/>
      <c r="V444"/>
      <c r="W444"/>
      <c r="X444"/>
      <c r="Y444"/>
      <c r="Z444"/>
      <c r="AA444"/>
    </row>
    <row r="445" spans="1:27" x14ac:dyDescent="0.4">
      <c r="A445"/>
      <c r="B445"/>
      <c r="C445"/>
      <c r="D445"/>
      <c r="E445"/>
      <c r="F445"/>
      <c r="G445"/>
      <c r="H445"/>
      <c r="I445"/>
      <c r="J445"/>
      <c r="K445"/>
      <c r="L445"/>
      <c r="M445"/>
      <c r="N445"/>
      <c r="O445"/>
      <c r="P445"/>
      <c r="Q445"/>
      <c r="R445"/>
      <c r="S445"/>
      <c r="T445"/>
      <c r="U445"/>
      <c r="V445"/>
      <c r="W445"/>
      <c r="X445"/>
      <c r="Y445"/>
      <c r="Z445"/>
      <c r="AA445"/>
    </row>
    <row r="446" spans="1:27" x14ac:dyDescent="0.4">
      <c r="A446"/>
      <c r="B446"/>
      <c r="C446"/>
      <c r="D446"/>
      <c r="E446"/>
      <c r="F446"/>
      <c r="G446"/>
      <c r="H446"/>
      <c r="I446"/>
      <c r="J446"/>
      <c r="K446"/>
      <c r="L446"/>
      <c r="M446"/>
      <c r="N446"/>
      <c r="O446"/>
      <c r="P446"/>
      <c r="Q446"/>
      <c r="R446"/>
      <c r="S446"/>
      <c r="T446"/>
      <c r="U446"/>
      <c r="V446"/>
      <c r="W446"/>
      <c r="X446"/>
      <c r="Y446"/>
      <c r="Z446"/>
      <c r="AA446"/>
    </row>
    <row r="447" spans="1:27" x14ac:dyDescent="0.4">
      <c r="A447"/>
      <c r="B447"/>
      <c r="C447"/>
      <c r="D447"/>
      <c r="E447"/>
      <c r="F447"/>
      <c r="G447"/>
      <c r="H447"/>
      <c r="I447"/>
      <c r="J447"/>
      <c r="K447"/>
      <c r="L447"/>
      <c r="M447"/>
      <c r="N447"/>
      <c r="O447"/>
      <c r="P447"/>
      <c r="Q447"/>
      <c r="R447"/>
      <c r="S447"/>
      <c r="T447"/>
      <c r="U447"/>
      <c r="V447"/>
      <c r="W447"/>
      <c r="X447"/>
      <c r="Y447"/>
      <c r="Z447"/>
      <c r="AA447"/>
    </row>
    <row r="448" spans="1:27" x14ac:dyDescent="0.4">
      <c r="A448"/>
      <c r="B448"/>
      <c r="C448"/>
      <c r="D448"/>
      <c r="E448"/>
      <c r="F448"/>
      <c r="G448"/>
      <c r="H448"/>
      <c r="I448"/>
      <c r="J448"/>
      <c r="K448"/>
      <c r="L448"/>
      <c r="M448"/>
      <c r="N448"/>
      <c r="O448"/>
      <c r="P448"/>
      <c r="Q448"/>
      <c r="R448"/>
      <c r="S448"/>
      <c r="T448"/>
      <c r="U448"/>
      <c r="V448"/>
      <c r="W448"/>
      <c r="X448"/>
      <c r="Y448"/>
      <c r="Z448"/>
      <c r="AA448"/>
    </row>
    <row r="449" spans="1:27" x14ac:dyDescent="0.4">
      <c r="A449"/>
      <c r="B449"/>
      <c r="C449"/>
      <c r="D449"/>
      <c r="E449"/>
      <c r="F449"/>
      <c r="G449"/>
      <c r="H449"/>
      <c r="I449"/>
      <c r="J449"/>
      <c r="K449"/>
      <c r="L449"/>
      <c r="M449"/>
      <c r="N449"/>
      <c r="O449"/>
      <c r="P449"/>
      <c r="Q449"/>
      <c r="R449"/>
      <c r="S449"/>
      <c r="T449"/>
      <c r="U449"/>
      <c r="V449"/>
      <c r="W449"/>
      <c r="X449"/>
      <c r="Y449"/>
      <c r="Z449"/>
      <c r="AA449"/>
    </row>
    <row r="450" spans="1:27" x14ac:dyDescent="0.4">
      <c r="A450"/>
      <c r="B450"/>
      <c r="C450"/>
      <c r="D450"/>
      <c r="E450"/>
      <c r="F450"/>
      <c r="G450"/>
      <c r="H450"/>
      <c r="I450"/>
      <c r="J450"/>
      <c r="K450"/>
      <c r="L450"/>
      <c r="M450"/>
      <c r="N450"/>
      <c r="O450"/>
      <c r="P450"/>
      <c r="Q450"/>
      <c r="R450"/>
      <c r="S450"/>
      <c r="T450"/>
      <c r="U450"/>
      <c r="V450"/>
      <c r="W450"/>
      <c r="X450"/>
      <c r="Y450"/>
      <c r="Z450"/>
      <c r="AA450"/>
    </row>
    <row r="451" spans="1:27" x14ac:dyDescent="0.4">
      <c r="A451"/>
      <c r="B451"/>
      <c r="C451"/>
      <c r="D451"/>
      <c r="E451"/>
      <c r="F451"/>
      <c r="G451"/>
      <c r="H451"/>
      <c r="I451"/>
      <c r="J451"/>
      <c r="K451"/>
      <c r="L451"/>
      <c r="M451"/>
      <c r="N451"/>
      <c r="O451"/>
      <c r="P451"/>
      <c r="Q451"/>
      <c r="R451"/>
      <c r="S451"/>
      <c r="T451"/>
      <c r="U451"/>
      <c r="V451"/>
      <c r="W451"/>
      <c r="X451"/>
      <c r="Y451"/>
      <c r="Z451"/>
      <c r="AA451"/>
    </row>
    <row r="452" spans="1:27" x14ac:dyDescent="0.4">
      <c r="A452"/>
      <c r="B452"/>
      <c r="C452"/>
      <c r="D452"/>
      <c r="E452"/>
      <c r="F452"/>
      <c r="G452"/>
      <c r="H452"/>
      <c r="I452"/>
      <c r="J452"/>
      <c r="K452"/>
      <c r="L452"/>
      <c r="M452"/>
      <c r="N452"/>
      <c r="O452"/>
      <c r="P452"/>
      <c r="Q452"/>
      <c r="R452"/>
      <c r="S452"/>
      <c r="T452"/>
      <c r="U452"/>
      <c r="V452"/>
      <c r="W452"/>
      <c r="X452"/>
      <c r="Y452"/>
      <c r="Z452"/>
      <c r="AA452"/>
    </row>
    <row r="453" spans="1:27" x14ac:dyDescent="0.4">
      <c r="A453"/>
      <c r="B453"/>
      <c r="C453"/>
      <c r="D453"/>
      <c r="E453"/>
      <c r="F453"/>
      <c r="G453"/>
      <c r="H453"/>
      <c r="I453"/>
      <c r="J453"/>
      <c r="K453"/>
      <c r="L453"/>
      <c r="M453"/>
      <c r="N453"/>
      <c r="O453"/>
      <c r="P453"/>
      <c r="Q453"/>
      <c r="R453"/>
      <c r="S453"/>
      <c r="T453"/>
      <c r="U453"/>
      <c r="V453"/>
      <c r="W453"/>
      <c r="X453"/>
      <c r="Y453"/>
      <c r="Z453"/>
      <c r="AA453"/>
    </row>
    <row r="454" spans="1:27" x14ac:dyDescent="0.4">
      <c r="A454"/>
      <c r="B454"/>
      <c r="C454"/>
      <c r="D454"/>
      <c r="E454"/>
      <c r="F454"/>
      <c r="G454"/>
      <c r="H454"/>
      <c r="I454"/>
      <c r="J454"/>
      <c r="K454"/>
      <c r="L454"/>
      <c r="M454"/>
      <c r="N454"/>
      <c r="O454"/>
      <c r="P454"/>
      <c r="Q454"/>
      <c r="R454"/>
      <c r="S454"/>
      <c r="T454"/>
      <c r="U454"/>
      <c r="V454"/>
      <c r="W454"/>
      <c r="X454"/>
      <c r="Y454"/>
      <c r="Z454"/>
      <c r="AA454"/>
    </row>
    <row r="455" spans="1:27" x14ac:dyDescent="0.4">
      <c r="A455"/>
      <c r="B455"/>
      <c r="C455"/>
      <c r="D455"/>
      <c r="E455"/>
      <c r="F455"/>
      <c r="G455"/>
      <c r="H455"/>
      <c r="I455"/>
      <c r="J455"/>
      <c r="K455"/>
      <c r="L455"/>
      <c r="M455"/>
      <c r="N455"/>
      <c r="O455"/>
      <c r="P455"/>
      <c r="Q455"/>
      <c r="R455"/>
      <c r="S455"/>
      <c r="T455"/>
      <c r="U455"/>
      <c r="V455"/>
      <c r="W455"/>
      <c r="X455"/>
      <c r="Y455"/>
      <c r="Z455"/>
      <c r="AA455"/>
    </row>
    <row r="456" spans="1:27" x14ac:dyDescent="0.4">
      <c r="A456"/>
      <c r="B456"/>
      <c r="C456"/>
      <c r="D456"/>
      <c r="E456"/>
      <c r="F456"/>
      <c r="G456"/>
      <c r="H456"/>
      <c r="I456"/>
      <c r="J456"/>
      <c r="K456"/>
      <c r="L456"/>
      <c r="M456"/>
      <c r="N456"/>
      <c r="O456"/>
      <c r="P456"/>
      <c r="Q456"/>
      <c r="R456"/>
      <c r="S456"/>
      <c r="T456"/>
      <c r="U456"/>
      <c r="V456"/>
      <c r="W456"/>
      <c r="X456"/>
      <c r="Y456"/>
      <c r="Z456"/>
      <c r="AA456"/>
    </row>
    <row r="457" spans="1:27" x14ac:dyDescent="0.4">
      <c r="A457"/>
      <c r="B457"/>
      <c r="C457"/>
      <c r="D457"/>
      <c r="E457"/>
      <c r="F457"/>
      <c r="G457"/>
      <c r="H457"/>
      <c r="I457"/>
      <c r="J457"/>
      <c r="K457"/>
      <c r="L457"/>
      <c r="M457"/>
      <c r="N457"/>
      <c r="O457"/>
      <c r="P457"/>
      <c r="Q457"/>
      <c r="R457"/>
      <c r="S457"/>
      <c r="T457"/>
      <c r="U457"/>
      <c r="V457"/>
      <c r="W457"/>
      <c r="X457"/>
      <c r="Y457"/>
      <c r="Z457"/>
      <c r="AA457"/>
    </row>
    <row r="458" spans="1:27" x14ac:dyDescent="0.4">
      <c r="A458"/>
      <c r="B458"/>
      <c r="C458"/>
      <c r="D458"/>
      <c r="E458"/>
      <c r="F458"/>
      <c r="G458"/>
      <c r="H458"/>
      <c r="I458"/>
      <c r="J458"/>
      <c r="K458"/>
      <c r="L458"/>
      <c r="M458"/>
      <c r="N458"/>
      <c r="O458"/>
      <c r="P458"/>
      <c r="Q458"/>
      <c r="R458"/>
      <c r="S458"/>
      <c r="T458"/>
      <c r="U458"/>
      <c r="V458"/>
      <c r="W458"/>
      <c r="X458"/>
      <c r="Y458"/>
      <c r="Z458"/>
      <c r="AA458"/>
    </row>
    <row r="459" spans="1:27" x14ac:dyDescent="0.4">
      <c r="A459"/>
      <c r="B459"/>
      <c r="C459"/>
      <c r="D459"/>
      <c r="E459"/>
      <c r="F459"/>
      <c r="G459"/>
      <c r="H459"/>
      <c r="I459"/>
      <c r="J459"/>
      <c r="K459"/>
      <c r="L459"/>
      <c r="M459"/>
      <c r="N459"/>
      <c r="O459"/>
      <c r="P459"/>
      <c r="Q459"/>
      <c r="R459"/>
      <c r="S459"/>
      <c r="T459"/>
      <c r="U459"/>
      <c r="V459"/>
      <c r="W459"/>
      <c r="X459"/>
      <c r="Y459"/>
      <c r="Z459"/>
      <c r="AA459"/>
    </row>
    <row r="460" spans="1:27" x14ac:dyDescent="0.4">
      <c r="A460"/>
      <c r="B460"/>
      <c r="C460"/>
      <c r="D460"/>
      <c r="E460"/>
      <c r="F460"/>
      <c r="G460"/>
      <c r="H460"/>
      <c r="I460"/>
      <c r="J460"/>
      <c r="K460"/>
      <c r="L460"/>
      <c r="M460"/>
      <c r="N460"/>
      <c r="O460"/>
      <c r="P460"/>
      <c r="Q460"/>
      <c r="R460"/>
      <c r="S460"/>
      <c r="T460"/>
      <c r="U460"/>
      <c r="V460"/>
      <c r="W460"/>
      <c r="X460"/>
      <c r="Y460"/>
      <c r="Z460"/>
      <c r="AA460"/>
    </row>
    <row r="461" spans="1:27" x14ac:dyDescent="0.4">
      <c r="A461"/>
      <c r="B461"/>
      <c r="C461"/>
      <c r="D461"/>
      <c r="E461"/>
      <c r="F461"/>
      <c r="G461"/>
      <c r="H461"/>
      <c r="I461"/>
      <c r="J461"/>
      <c r="K461"/>
      <c r="L461"/>
      <c r="M461"/>
      <c r="N461"/>
      <c r="O461"/>
      <c r="P461"/>
      <c r="Q461"/>
      <c r="R461"/>
      <c r="S461"/>
      <c r="T461"/>
      <c r="U461"/>
      <c r="V461"/>
      <c r="W461"/>
      <c r="X461"/>
      <c r="Y461"/>
      <c r="Z461"/>
      <c r="AA461"/>
    </row>
    <row r="462" spans="1:27" x14ac:dyDescent="0.4">
      <c r="A462"/>
      <c r="B462"/>
      <c r="C462"/>
      <c r="D462"/>
      <c r="E462"/>
      <c r="F462"/>
      <c r="G462"/>
      <c r="H462"/>
      <c r="I462"/>
      <c r="J462"/>
      <c r="K462"/>
      <c r="L462"/>
      <c r="M462"/>
      <c r="N462"/>
      <c r="O462"/>
      <c r="P462"/>
      <c r="Q462"/>
      <c r="R462"/>
      <c r="S462"/>
      <c r="T462"/>
      <c r="U462"/>
      <c r="V462"/>
      <c r="W462"/>
      <c r="X462"/>
      <c r="Y462"/>
      <c r="Z462"/>
      <c r="AA462"/>
    </row>
    <row r="463" spans="1:27" x14ac:dyDescent="0.4">
      <c r="A463"/>
      <c r="B463"/>
      <c r="C463"/>
      <c r="D463"/>
      <c r="E463"/>
      <c r="F463"/>
      <c r="G463"/>
      <c r="H463"/>
      <c r="I463"/>
      <c r="J463"/>
      <c r="K463"/>
      <c r="L463"/>
      <c r="M463"/>
      <c r="N463"/>
      <c r="O463"/>
      <c r="P463"/>
      <c r="Q463"/>
      <c r="R463"/>
      <c r="S463"/>
      <c r="T463"/>
      <c r="U463"/>
      <c r="V463"/>
      <c r="W463"/>
      <c r="X463"/>
      <c r="Y463"/>
      <c r="Z463"/>
      <c r="AA463"/>
    </row>
    <row r="464" spans="1:27" x14ac:dyDescent="0.4">
      <c r="A464"/>
      <c r="B464"/>
      <c r="C464"/>
      <c r="D464"/>
      <c r="E464"/>
      <c r="F464"/>
      <c r="G464"/>
      <c r="H464"/>
      <c r="I464"/>
      <c r="J464"/>
      <c r="K464"/>
      <c r="L464"/>
      <c r="M464"/>
      <c r="N464"/>
      <c r="O464"/>
      <c r="P464"/>
      <c r="Q464"/>
      <c r="R464"/>
      <c r="S464"/>
      <c r="T464"/>
      <c r="U464"/>
      <c r="V464"/>
      <c r="W464"/>
      <c r="X464"/>
      <c r="Y464"/>
      <c r="Z464"/>
      <c r="AA464"/>
    </row>
    <row r="465" spans="1:27" x14ac:dyDescent="0.4">
      <c r="A465"/>
      <c r="B465"/>
      <c r="C465"/>
      <c r="D465"/>
      <c r="E465"/>
      <c r="F465"/>
      <c r="G465"/>
      <c r="H465"/>
      <c r="I465"/>
      <c r="J465"/>
      <c r="K465"/>
      <c r="L465"/>
      <c r="M465"/>
      <c r="N465"/>
      <c r="O465"/>
      <c r="P465"/>
      <c r="Q465"/>
      <c r="R465"/>
      <c r="S465"/>
      <c r="T465"/>
      <c r="U465"/>
      <c r="V465"/>
      <c r="W465"/>
      <c r="X465"/>
      <c r="Y465"/>
      <c r="Z465"/>
      <c r="AA465"/>
    </row>
    <row r="466" spans="1:27" x14ac:dyDescent="0.4">
      <c r="A466"/>
      <c r="B466"/>
      <c r="C466"/>
      <c r="D466"/>
      <c r="E466"/>
      <c r="F466"/>
      <c r="G466"/>
      <c r="H466"/>
      <c r="I466"/>
      <c r="J466"/>
      <c r="K466"/>
      <c r="L466"/>
      <c r="M466"/>
      <c r="N466"/>
      <c r="O466"/>
      <c r="P466"/>
      <c r="Q466"/>
      <c r="R466"/>
      <c r="S466"/>
      <c r="T466"/>
      <c r="U466"/>
      <c r="V466"/>
      <c r="W466"/>
      <c r="X466"/>
      <c r="Y466"/>
      <c r="Z466"/>
      <c r="AA466"/>
    </row>
    <row r="467" spans="1:27" x14ac:dyDescent="0.4">
      <c r="A467"/>
      <c r="B467"/>
      <c r="C467"/>
      <c r="D467"/>
      <c r="E467"/>
      <c r="F467"/>
      <c r="G467"/>
      <c r="H467"/>
      <c r="I467"/>
      <c r="J467"/>
      <c r="K467"/>
      <c r="L467"/>
      <c r="M467"/>
      <c r="N467"/>
      <c r="O467"/>
      <c r="P467"/>
      <c r="Q467"/>
      <c r="R467"/>
      <c r="S467"/>
      <c r="T467"/>
      <c r="U467"/>
      <c r="V467"/>
      <c r="W467"/>
      <c r="X467"/>
      <c r="Y467"/>
      <c r="Z467"/>
      <c r="AA467"/>
    </row>
    <row r="468" spans="1:27" x14ac:dyDescent="0.4">
      <c r="A468"/>
      <c r="B468"/>
      <c r="C468"/>
      <c r="D468"/>
      <c r="E468"/>
      <c r="F468"/>
      <c r="G468"/>
      <c r="H468"/>
      <c r="I468"/>
      <c r="J468"/>
      <c r="K468"/>
      <c r="L468"/>
      <c r="M468"/>
      <c r="N468"/>
      <c r="O468"/>
      <c r="P468"/>
      <c r="Q468"/>
      <c r="R468"/>
      <c r="S468"/>
      <c r="T468"/>
      <c r="U468"/>
      <c r="V468"/>
      <c r="W468"/>
      <c r="X468"/>
      <c r="Y468"/>
      <c r="Z468"/>
      <c r="AA468"/>
    </row>
    <row r="469" spans="1:27" x14ac:dyDescent="0.4">
      <c r="A469"/>
      <c r="B469"/>
      <c r="C469"/>
      <c r="D469"/>
      <c r="E469"/>
      <c r="F469"/>
      <c r="G469"/>
      <c r="H469"/>
      <c r="I469"/>
      <c r="J469"/>
      <c r="K469"/>
      <c r="L469"/>
      <c r="M469"/>
      <c r="N469"/>
      <c r="O469"/>
      <c r="P469"/>
      <c r="Q469"/>
      <c r="R469"/>
      <c r="S469"/>
      <c r="T469"/>
      <c r="U469"/>
      <c r="V469"/>
      <c r="W469"/>
      <c r="X469"/>
      <c r="Y469"/>
      <c r="Z469"/>
      <c r="AA469"/>
    </row>
    <row r="470" spans="1:27" x14ac:dyDescent="0.4">
      <c r="A470"/>
      <c r="B470"/>
      <c r="C470"/>
      <c r="D470"/>
      <c r="E470"/>
      <c r="F470"/>
      <c r="G470"/>
      <c r="H470"/>
      <c r="I470"/>
      <c r="J470"/>
      <c r="K470"/>
      <c r="L470"/>
      <c r="M470"/>
      <c r="N470"/>
      <c r="O470"/>
      <c r="P470"/>
      <c r="Q470"/>
      <c r="R470"/>
      <c r="S470"/>
      <c r="T470"/>
      <c r="U470"/>
      <c r="V470"/>
      <c r="W470"/>
      <c r="X470"/>
      <c r="Y470"/>
      <c r="Z470"/>
      <c r="AA470"/>
    </row>
    <row r="471" spans="1:27" x14ac:dyDescent="0.4">
      <c r="A471"/>
      <c r="B471"/>
      <c r="C471"/>
      <c r="D471"/>
      <c r="E471"/>
      <c r="F471"/>
      <c r="G471"/>
      <c r="H471"/>
      <c r="I471"/>
      <c r="J471"/>
      <c r="K471"/>
      <c r="L471"/>
      <c r="M471"/>
      <c r="N471"/>
      <c r="O471"/>
      <c r="P471"/>
      <c r="Q471"/>
      <c r="R471"/>
      <c r="S471"/>
      <c r="T471"/>
      <c r="U471"/>
      <c r="V471"/>
      <c r="W471"/>
      <c r="X471"/>
      <c r="Y471"/>
      <c r="Z471"/>
      <c r="AA471"/>
    </row>
    <row r="472" spans="1:27" x14ac:dyDescent="0.4">
      <c r="A472"/>
      <c r="B472"/>
      <c r="C472"/>
      <c r="D472"/>
      <c r="E472"/>
      <c r="F472"/>
      <c r="G472"/>
      <c r="H472"/>
      <c r="I472"/>
      <c r="J472"/>
      <c r="K472"/>
      <c r="L472"/>
      <c r="M472"/>
      <c r="N472"/>
      <c r="O472"/>
      <c r="P472"/>
      <c r="Q472"/>
      <c r="R472"/>
      <c r="S472"/>
      <c r="T472"/>
      <c r="U472"/>
      <c r="V472"/>
      <c r="W472"/>
      <c r="X472"/>
      <c r="Y472"/>
      <c r="Z472"/>
      <c r="AA472"/>
    </row>
    <row r="473" spans="1:27" x14ac:dyDescent="0.4">
      <c r="A473"/>
      <c r="B473"/>
      <c r="C473"/>
      <c r="D473"/>
      <c r="E473"/>
      <c r="F473"/>
      <c r="G473"/>
      <c r="H473"/>
      <c r="I473"/>
      <c r="J473"/>
      <c r="K473"/>
      <c r="L473"/>
      <c r="M473"/>
      <c r="N473"/>
      <c r="O473"/>
      <c r="P473"/>
      <c r="Q473"/>
      <c r="R473"/>
      <c r="S473"/>
      <c r="T473"/>
      <c r="U473"/>
      <c r="V473"/>
      <c r="W473"/>
      <c r="X473"/>
      <c r="Y473"/>
      <c r="Z473"/>
      <c r="AA473"/>
    </row>
    <row r="474" spans="1:27" x14ac:dyDescent="0.4">
      <c r="A474"/>
      <c r="B474"/>
      <c r="C474"/>
      <c r="D474"/>
      <c r="E474"/>
      <c r="F474"/>
      <c r="G474"/>
      <c r="H474"/>
      <c r="I474"/>
      <c r="J474"/>
      <c r="K474"/>
      <c r="L474"/>
      <c r="M474"/>
      <c r="N474"/>
      <c r="O474"/>
      <c r="P474"/>
      <c r="Q474"/>
      <c r="R474"/>
      <c r="S474"/>
      <c r="T474"/>
      <c r="U474"/>
      <c r="V474"/>
      <c r="W474"/>
      <c r="X474"/>
      <c r="Y474"/>
      <c r="Z474"/>
      <c r="AA474"/>
    </row>
    <row r="475" spans="1:27" x14ac:dyDescent="0.4">
      <c r="A475"/>
      <c r="B475"/>
      <c r="C475"/>
      <c r="D475"/>
      <c r="E475"/>
      <c r="F475"/>
      <c r="G475"/>
      <c r="H475"/>
      <c r="I475"/>
      <c r="J475"/>
      <c r="K475"/>
      <c r="L475"/>
      <c r="M475"/>
      <c r="N475"/>
      <c r="O475"/>
      <c r="P475"/>
      <c r="Q475"/>
      <c r="R475"/>
      <c r="S475"/>
      <c r="T475"/>
      <c r="U475"/>
      <c r="V475"/>
      <c r="W475"/>
      <c r="X475"/>
      <c r="Y475"/>
      <c r="Z475"/>
      <c r="AA475"/>
    </row>
    <row r="476" spans="1:27" x14ac:dyDescent="0.4">
      <c r="A476"/>
      <c r="B476"/>
      <c r="C476"/>
      <c r="D476"/>
      <c r="E476"/>
      <c r="F476"/>
      <c r="G476"/>
      <c r="H476"/>
      <c r="I476"/>
      <c r="J476"/>
      <c r="K476"/>
      <c r="L476"/>
      <c r="M476"/>
      <c r="N476"/>
      <c r="O476"/>
      <c r="P476"/>
      <c r="Q476"/>
      <c r="R476"/>
      <c r="S476"/>
      <c r="T476"/>
      <c r="U476"/>
      <c r="V476"/>
      <c r="W476"/>
      <c r="X476"/>
      <c r="Y476"/>
      <c r="Z476"/>
      <c r="AA476"/>
    </row>
    <row r="477" spans="1:27" x14ac:dyDescent="0.4">
      <c r="A477"/>
      <c r="B477"/>
      <c r="C477"/>
      <c r="D477"/>
      <c r="E477"/>
      <c r="F477"/>
      <c r="G477"/>
      <c r="H477"/>
      <c r="I477"/>
      <c r="J477"/>
      <c r="K477"/>
      <c r="L477"/>
      <c r="M477"/>
      <c r="N477"/>
      <c r="O477"/>
      <c r="P477"/>
      <c r="Q477"/>
      <c r="R477"/>
      <c r="S477"/>
      <c r="T477"/>
      <c r="U477"/>
      <c r="V477"/>
      <c r="W477"/>
      <c r="X477"/>
      <c r="Y477"/>
      <c r="Z477"/>
      <c r="AA477"/>
    </row>
    <row r="478" spans="1:27" x14ac:dyDescent="0.4">
      <c r="A478"/>
      <c r="B478"/>
      <c r="C478"/>
      <c r="D478"/>
      <c r="E478"/>
      <c r="F478"/>
      <c r="G478"/>
      <c r="H478"/>
      <c r="I478"/>
      <c r="J478"/>
      <c r="K478"/>
      <c r="L478"/>
      <c r="M478"/>
      <c r="N478"/>
      <c r="O478"/>
      <c r="P478"/>
      <c r="Q478"/>
      <c r="R478"/>
      <c r="S478"/>
      <c r="T478"/>
      <c r="U478"/>
      <c r="V478"/>
      <c r="W478"/>
      <c r="X478"/>
      <c r="Y478"/>
      <c r="Z478"/>
      <c r="AA478"/>
    </row>
    <row r="479" spans="1:27" x14ac:dyDescent="0.4">
      <c r="A479"/>
      <c r="B479"/>
      <c r="C479"/>
      <c r="D479"/>
      <c r="E479"/>
      <c r="F479"/>
      <c r="G479"/>
      <c r="H479"/>
      <c r="I479"/>
      <c r="J479"/>
      <c r="K479"/>
      <c r="L479"/>
      <c r="M479"/>
      <c r="N479"/>
      <c r="O479"/>
      <c r="P479"/>
      <c r="Q479"/>
      <c r="R479"/>
      <c r="S479"/>
      <c r="T479"/>
      <c r="U479"/>
      <c r="V479"/>
      <c r="W479"/>
      <c r="X479"/>
      <c r="Y479"/>
      <c r="Z479"/>
      <c r="AA479"/>
    </row>
    <row r="480" spans="1:27" x14ac:dyDescent="0.4">
      <c r="A480"/>
      <c r="B480"/>
      <c r="C480"/>
      <c r="D480"/>
      <c r="E480"/>
      <c r="F480"/>
      <c r="G480"/>
      <c r="H480"/>
      <c r="I480"/>
      <c r="J480"/>
      <c r="K480"/>
      <c r="L480"/>
      <c r="M480"/>
      <c r="N480"/>
      <c r="O480"/>
      <c r="P480"/>
      <c r="Q480"/>
      <c r="R480"/>
      <c r="S480"/>
      <c r="T480"/>
      <c r="U480"/>
      <c r="V480"/>
      <c r="W480"/>
      <c r="X480"/>
      <c r="Y480"/>
      <c r="Z480"/>
      <c r="AA480"/>
    </row>
    <row r="481" spans="1:27" x14ac:dyDescent="0.4">
      <c r="A481"/>
      <c r="B481"/>
      <c r="C481"/>
      <c r="D481"/>
      <c r="E481"/>
      <c r="F481"/>
      <c r="G481"/>
      <c r="H481"/>
      <c r="I481"/>
      <c r="J481"/>
      <c r="K481"/>
      <c r="L481"/>
      <c r="M481"/>
      <c r="N481"/>
      <c r="O481"/>
      <c r="P481"/>
      <c r="Q481"/>
      <c r="R481"/>
      <c r="S481"/>
      <c r="T481"/>
      <c r="U481"/>
      <c r="V481"/>
      <c r="W481"/>
      <c r="X481"/>
      <c r="Y481"/>
      <c r="Z481"/>
      <c r="AA481"/>
    </row>
    <row r="482" spans="1:27" x14ac:dyDescent="0.4">
      <c r="A482"/>
      <c r="B482"/>
      <c r="C482"/>
      <c r="D482"/>
      <c r="E482"/>
      <c r="F482"/>
      <c r="G482"/>
      <c r="H482"/>
      <c r="I482"/>
      <c r="J482"/>
      <c r="K482"/>
      <c r="L482"/>
      <c r="M482"/>
      <c r="N482"/>
      <c r="O482"/>
      <c r="P482"/>
      <c r="Q482"/>
      <c r="R482"/>
      <c r="S482"/>
      <c r="T482"/>
      <c r="U482"/>
      <c r="V482"/>
      <c r="W482"/>
      <c r="X482"/>
      <c r="Y482"/>
      <c r="Z482"/>
      <c r="AA482"/>
    </row>
    <row r="483" spans="1:27" x14ac:dyDescent="0.4">
      <c r="A483"/>
      <c r="B483"/>
      <c r="C483"/>
      <c r="D483"/>
      <c r="E483"/>
      <c r="F483"/>
      <c r="G483"/>
      <c r="H483"/>
      <c r="I483"/>
      <c r="J483"/>
      <c r="K483"/>
      <c r="L483"/>
      <c r="M483"/>
      <c r="N483"/>
      <c r="O483"/>
      <c r="P483"/>
      <c r="Q483"/>
      <c r="R483"/>
      <c r="S483"/>
      <c r="T483"/>
      <c r="U483"/>
      <c r="V483"/>
      <c r="W483"/>
      <c r="X483"/>
      <c r="Y483"/>
      <c r="Z483"/>
      <c r="AA483"/>
    </row>
    <row r="484" spans="1:27" x14ac:dyDescent="0.4">
      <c r="A484"/>
      <c r="B484"/>
      <c r="C484"/>
      <c r="D484"/>
      <c r="E484"/>
      <c r="F484"/>
      <c r="G484"/>
      <c r="H484"/>
      <c r="I484"/>
      <c r="J484"/>
      <c r="K484"/>
      <c r="L484"/>
      <c r="M484"/>
      <c r="N484"/>
      <c r="O484"/>
      <c r="P484"/>
      <c r="Q484"/>
      <c r="R484"/>
      <c r="S484"/>
      <c r="T484"/>
      <c r="U484"/>
      <c r="V484"/>
      <c r="W484"/>
      <c r="X484"/>
      <c r="Y484"/>
      <c r="Z484"/>
      <c r="AA484"/>
    </row>
    <row r="485" spans="1:27" x14ac:dyDescent="0.4">
      <c r="A485"/>
      <c r="B485"/>
      <c r="C485"/>
      <c r="D485"/>
      <c r="E485"/>
      <c r="F485"/>
      <c r="G485"/>
      <c r="H485"/>
      <c r="I485"/>
      <c r="J485"/>
      <c r="K485"/>
      <c r="L485"/>
      <c r="M485"/>
      <c r="N485"/>
      <c r="O485"/>
      <c r="P485"/>
      <c r="Q485"/>
      <c r="R485"/>
      <c r="S485"/>
      <c r="T485"/>
      <c r="U485"/>
      <c r="V485"/>
      <c r="W485"/>
      <c r="X485"/>
      <c r="Y485"/>
      <c r="Z485"/>
      <c r="AA485"/>
    </row>
    <row r="486" spans="1:27" x14ac:dyDescent="0.4">
      <c r="A486"/>
      <c r="B486"/>
      <c r="C486"/>
      <c r="D486"/>
      <c r="E486"/>
      <c r="F486"/>
      <c r="G486"/>
      <c r="H486"/>
      <c r="I486"/>
      <c r="J486"/>
      <c r="K486"/>
      <c r="L486"/>
      <c r="M486"/>
      <c r="N486"/>
      <c r="O486"/>
      <c r="P486"/>
      <c r="Q486"/>
      <c r="R486"/>
      <c r="S486"/>
      <c r="T486"/>
      <c r="U486"/>
      <c r="V486"/>
      <c r="W486"/>
      <c r="X486"/>
      <c r="Y486"/>
      <c r="Z486"/>
      <c r="AA486"/>
    </row>
    <row r="487" spans="1:27" x14ac:dyDescent="0.4">
      <c r="A487"/>
      <c r="B487"/>
      <c r="C487"/>
      <c r="D487"/>
      <c r="E487"/>
      <c r="F487"/>
      <c r="G487"/>
      <c r="H487"/>
      <c r="I487"/>
      <c r="J487"/>
      <c r="K487"/>
      <c r="L487"/>
      <c r="M487"/>
      <c r="N487"/>
      <c r="O487"/>
      <c r="P487"/>
      <c r="Q487"/>
      <c r="R487"/>
      <c r="S487"/>
      <c r="T487"/>
      <c r="U487"/>
      <c r="V487"/>
      <c r="W487"/>
      <c r="X487"/>
      <c r="Y487"/>
      <c r="Z487"/>
      <c r="AA487"/>
    </row>
    <row r="488" spans="1:27" x14ac:dyDescent="0.4">
      <c r="A488"/>
      <c r="B488"/>
      <c r="C488"/>
      <c r="D488"/>
      <c r="E488"/>
      <c r="F488"/>
      <c r="G488"/>
      <c r="H488"/>
      <c r="I488"/>
      <c r="J488"/>
      <c r="K488"/>
      <c r="L488"/>
      <c r="M488"/>
      <c r="N488"/>
      <c r="O488"/>
      <c r="P488"/>
      <c r="Q488"/>
      <c r="R488"/>
      <c r="S488"/>
      <c r="T488"/>
      <c r="U488"/>
      <c r="V488"/>
      <c r="W488"/>
      <c r="X488"/>
      <c r="Y488"/>
      <c r="Z488"/>
      <c r="AA488"/>
    </row>
    <row r="489" spans="1:27" x14ac:dyDescent="0.4">
      <c r="A489"/>
      <c r="B489"/>
      <c r="C489"/>
      <c r="D489"/>
      <c r="E489"/>
      <c r="F489"/>
      <c r="G489"/>
      <c r="H489"/>
      <c r="I489"/>
      <c r="J489"/>
      <c r="K489"/>
      <c r="L489"/>
      <c r="M489"/>
      <c r="N489"/>
      <c r="O489"/>
      <c r="P489"/>
      <c r="Q489"/>
      <c r="R489"/>
      <c r="S489"/>
      <c r="T489"/>
      <c r="U489"/>
      <c r="V489"/>
      <c r="W489"/>
      <c r="X489"/>
      <c r="Y489"/>
      <c r="Z489"/>
      <c r="AA489"/>
    </row>
    <row r="490" spans="1:27" x14ac:dyDescent="0.4">
      <c r="A490"/>
      <c r="B490"/>
      <c r="C490"/>
      <c r="D490"/>
      <c r="E490"/>
      <c r="F490"/>
      <c r="G490"/>
      <c r="H490"/>
      <c r="I490"/>
      <c r="J490"/>
      <c r="K490"/>
      <c r="L490"/>
      <c r="M490"/>
      <c r="N490"/>
      <c r="O490"/>
      <c r="P490"/>
      <c r="Q490"/>
      <c r="R490"/>
      <c r="S490"/>
      <c r="T490"/>
      <c r="U490"/>
      <c r="V490"/>
      <c r="W490"/>
      <c r="X490"/>
      <c r="Y490"/>
      <c r="Z490"/>
      <c r="AA490"/>
    </row>
    <row r="491" spans="1:27" x14ac:dyDescent="0.4">
      <c r="A491"/>
      <c r="B491"/>
      <c r="C491"/>
      <c r="D491"/>
      <c r="E491"/>
      <c r="F491"/>
      <c r="G491"/>
      <c r="H491"/>
      <c r="I491"/>
      <c r="J491"/>
      <c r="K491"/>
      <c r="L491"/>
      <c r="M491"/>
      <c r="N491"/>
      <c r="O491"/>
      <c r="P491"/>
      <c r="Q491"/>
      <c r="R491"/>
      <c r="S491"/>
      <c r="T491"/>
      <c r="U491"/>
      <c r="V491"/>
      <c r="W491"/>
      <c r="X491"/>
      <c r="Y491"/>
      <c r="Z491"/>
      <c r="AA491"/>
    </row>
    <row r="492" spans="1:27" x14ac:dyDescent="0.4">
      <c r="A492"/>
      <c r="B492"/>
      <c r="C492"/>
      <c r="D492"/>
      <c r="E492"/>
      <c r="F492"/>
      <c r="G492"/>
      <c r="H492"/>
      <c r="I492"/>
      <c r="J492"/>
      <c r="K492"/>
      <c r="L492"/>
      <c r="M492"/>
      <c r="N492"/>
      <c r="O492"/>
      <c r="P492"/>
      <c r="Q492"/>
      <c r="R492"/>
      <c r="S492"/>
      <c r="T492"/>
      <c r="U492"/>
      <c r="V492"/>
      <c r="W492"/>
      <c r="X492"/>
      <c r="Y492"/>
      <c r="Z492"/>
      <c r="AA492"/>
    </row>
    <row r="493" spans="1:27" x14ac:dyDescent="0.4">
      <c r="A493"/>
      <c r="B493"/>
      <c r="C493"/>
      <c r="D493"/>
      <c r="E493"/>
      <c r="F493"/>
      <c r="G493"/>
      <c r="H493"/>
      <c r="I493"/>
      <c r="J493"/>
      <c r="K493"/>
      <c r="L493"/>
      <c r="M493"/>
      <c r="N493"/>
      <c r="O493"/>
      <c r="P493"/>
      <c r="Q493"/>
      <c r="R493"/>
      <c r="S493"/>
      <c r="T493"/>
      <c r="U493"/>
      <c r="V493"/>
      <c r="W493"/>
      <c r="X493"/>
      <c r="Y493"/>
      <c r="Z493"/>
      <c r="AA493"/>
    </row>
    <row r="494" spans="1:27" x14ac:dyDescent="0.4">
      <c r="A494"/>
      <c r="B494"/>
      <c r="C494"/>
      <c r="D494"/>
      <c r="E494"/>
      <c r="F494"/>
      <c r="G494"/>
      <c r="H494"/>
      <c r="I494"/>
      <c r="J494"/>
      <c r="K494"/>
      <c r="L494"/>
      <c r="M494"/>
      <c r="N494"/>
      <c r="O494"/>
      <c r="P494"/>
      <c r="Q494"/>
      <c r="R494"/>
      <c r="S494"/>
      <c r="T494"/>
      <c r="U494"/>
      <c r="V494"/>
      <c r="W494"/>
      <c r="X494"/>
      <c r="Y494"/>
      <c r="Z494"/>
      <c r="AA494"/>
    </row>
    <row r="495" spans="1:27" x14ac:dyDescent="0.4">
      <c r="A495"/>
      <c r="B495"/>
      <c r="C495"/>
      <c r="D495"/>
      <c r="E495"/>
      <c r="F495"/>
      <c r="G495"/>
      <c r="H495"/>
      <c r="I495"/>
      <c r="J495"/>
      <c r="K495"/>
      <c r="L495"/>
      <c r="M495"/>
      <c r="N495"/>
      <c r="O495"/>
      <c r="P495"/>
      <c r="Q495"/>
      <c r="R495"/>
      <c r="S495"/>
      <c r="T495"/>
      <c r="U495"/>
      <c r="V495"/>
      <c r="W495"/>
      <c r="X495"/>
      <c r="Y495"/>
      <c r="Z495"/>
      <c r="AA495"/>
    </row>
    <row r="496" spans="1:27" x14ac:dyDescent="0.4">
      <c r="A496"/>
      <c r="B496"/>
      <c r="C496"/>
      <c r="D496"/>
      <c r="E496"/>
      <c r="F496"/>
      <c r="G496"/>
      <c r="H496"/>
      <c r="I496"/>
      <c r="J496"/>
      <c r="K496"/>
      <c r="L496"/>
      <c r="M496"/>
      <c r="N496"/>
      <c r="O496"/>
      <c r="P496"/>
      <c r="Q496"/>
      <c r="R496"/>
      <c r="S496"/>
      <c r="T496"/>
      <c r="U496"/>
      <c r="V496"/>
      <c r="W496"/>
      <c r="X496"/>
      <c r="Y496"/>
      <c r="Z496"/>
      <c r="AA496"/>
    </row>
    <row r="497" spans="1:27" x14ac:dyDescent="0.4">
      <c r="A497"/>
      <c r="B497"/>
      <c r="C497"/>
      <c r="D497"/>
      <c r="E497"/>
      <c r="F497"/>
      <c r="G497"/>
      <c r="H497"/>
      <c r="I497"/>
      <c r="J497"/>
      <c r="K497"/>
      <c r="L497"/>
      <c r="M497"/>
      <c r="N497"/>
      <c r="O497"/>
      <c r="P497"/>
      <c r="Q497"/>
      <c r="R497"/>
      <c r="S497"/>
      <c r="T497"/>
      <c r="U497"/>
      <c r="V497"/>
      <c r="W497"/>
      <c r="X497"/>
      <c r="Y497"/>
      <c r="Z497"/>
      <c r="AA497"/>
    </row>
    <row r="498" spans="1:27" x14ac:dyDescent="0.4">
      <c r="A498"/>
      <c r="B498"/>
      <c r="C498"/>
      <c r="D498"/>
      <c r="E498"/>
      <c r="F498"/>
      <c r="G498"/>
      <c r="H498"/>
      <c r="I498"/>
      <c r="J498"/>
      <c r="K498"/>
      <c r="L498"/>
      <c r="M498"/>
      <c r="N498"/>
      <c r="O498"/>
      <c r="P498"/>
      <c r="Q498"/>
      <c r="R498"/>
      <c r="S498"/>
      <c r="T498"/>
      <c r="U498"/>
      <c r="V498"/>
      <c r="W498"/>
      <c r="X498"/>
      <c r="Y498"/>
      <c r="Z498"/>
      <c r="AA498"/>
    </row>
    <row r="499" spans="1:27" x14ac:dyDescent="0.4">
      <c r="A499"/>
      <c r="B499"/>
      <c r="C499"/>
      <c r="D499"/>
      <c r="E499"/>
      <c r="F499"/>
      <c r="G499"/>
      <c r="H499"/>
      <c r="I499"/>
      <c r="J499"/>
      <c r="K499"/>
      <c r="L499"/>
      <c r="M499"/>
      <c r="N499"/>
      <c r="O499"/>
      <c r="P499"/>
      <c r="Q499"/>
      <c r="R499"/>
      <c r="S499"/>
      <c r="T499"/>
      <c r="U499"/>
      <c r="V499"/>
      <c r="W499"/>
      <c r="X499"/>
      <c r="Y499"/>
      <c r="Z499"/>
      <c r="AA499"/>
    </row>
    <row r="500" spans="1:27" x14ac:dyDescent="0.4">
      <c r="A500"/>
      <c r="B500"/>
      <c r="C500"/>
      <c r="D500"/>
      <c r="E500"/>
      <c r="F500"/>
      <c r="G500"/>
      <c r="H500"/>
      <c r="I500"/>
      <c r="J500"/>
      <c r="K500"/>
      <c r="L500"/>
      <c r="M500"/>
      <c r="N500"/>
      <c r="O500"/>
      <c r="P500"/>
      <c r="Q500"/>
      <c r="R500"/>
      <c r="S500"/>
      <c r="T500"/>
      <c r="U500"/>
      <c r="V500"/>
      <c r="W500"/>
      <c r="X500"/>
      <c r="Y500"/>
      <c r="Z500"/>
      <c r="AA500"/>
    </row>
    <row r="501" spans="1:27" x14ac:dyDescent="0.4">
      <c r="A501"/>
      <c r="B501"/>
      <c r="C501"/>
      <c r="D501"/>
      <c r="E501"/>
      <c r="F501"/>
      <c r="G501"/>
      <c r="H501"/>
      <c r="I501"/>
      <c r="J501"/>
      <c r="K501"/>
      <c r="L501"/>
      <c r="M501"/>
      <c r="N501"/>
      <c r="O501"/>
      <c r="P501"/>
      <c r="Q501"/>
      <c r="R501"/>
      <c r="S501"/>
      <c r="T501"/>
      <c r="U501"/>
      <c r="V501"/>
      <c r="W501"/>
      <c r="X501"/>
      <c r="Y501"/>
      <c r="Z501"/>
      <c r="AA501"/>
    </row>
    <row r="502" spans="1:27" x14ac:dyDescent="0.4">
      <c r="A502"/>
      <c r="B502"/>
      <c r="C502"/>
      <c r="D502"/>
      <c r="E502"/>
      <c r="F502"/>
      <c r="G502"/>
      <c r="H502"/>
      <c r="I502"/>
      <c r="J502"/>
      <c r="K502"/>
      <c r="L502"/>
      <c r="M502"/>
      <c r="N502"/>
      <c r="O502"/>
      <c r="P502"/>
      <c r="Q502"/>
      <c r="R502"/>
      <c r="S502"/>
      <c r="T502"/>
      <c r="U502"/>
      <c r="V502"/>
      <c r="W502"/>
      <c r="X502"/>
      <c r="Y502"/>
      <c r="Z502"/>
      <c r="AA502"/>
    </row>
    <row r="503" spans="1:27" x14ac:dyDescent="0.4">
      <c r="A503"/>
      <c r="B503"/>
      <c r="C503"/>
      <c r="D503"/>
      <c r="E503"/>
      <c r="F503"/>
      <c r="G503"/>
      <c r="H503"/>
      <c r="I503"/>
      <c r="J503"/>
      <c r="K503"/>
      <c r="L503"/>
      <c r="M503"/>
      <c r="N503"/>
      <c r="O503"/>
      <c r="P503"/>
      <c r="Q503"/>
      <c r="R503"/>
      <c r="S503"/>
      <c r="T503"/>
      <c r="U503"/>
      <c r="V503"/>
      <c r="W503"/>
      <c r="X503"/>
      <c r="Y503"/>
      <c r="Z503"/>
      <c r="AA503"/>
    </row>
    <row r="504" spans="1:27" x14ac:dyDescent="0.4">
      <c r="A504"/>
      <c r="B504"/>
      <c r="C504"/>
      <c r="D504"/>
      <c r="E504"/>
      <c r="F504"/>
      <c r="G504"/>
      <c r="H504"/>
      <c r="I504"/>
      <c r="J504"/>
      <c r="K504"/>
      <c r="L504"/>
      <c r="M504"/>
      <c r="N504"/>
      <c r="O504"/>
      <c r="P504"/>
      <c r="Q504"/>
      <c r="R504"/>
      <c r="S504"/>
      <c r="T504"/>
      <c r="U504"/>
      <c r="V504"/>
      <c r="W504"/>
      <c r="X504"/>
      <c r="Y504"/>
      <c r="Z504"/>
      <c r="AA504"/>
    </row>
    <row r="505" spans="1:27" x14ac:dyDescent="0.4">
      <c r="A505"/>
      <c r="B505"/>
      <c r="C505"/>
      <c r="D505"/>
      <c r="E505"/>
      <c r="F505"/>
      <c r="G505"/>
      <c r="H505"/>
      <c r="I505"/>
      <c r="J505"/>
      <c r="K505"/>
      <c r="L505"/>
      <c r="M505"/>
      <c r="N505"/>
      <c r="O505"/>
      <c r="P505"/>
      <c r="Q505"/>
      <c r="R505"/>
      <c r="S505"/>
      <c r="T505"/>
      <c r="U505"/>
      <c r="V505"/>
      <c r="W505"/>
      <c r="X505"/>
      <c r="Y505"/>
      <c r="Z505"/>
      <c r="AA505"/>
    </row>
    <row r="506" spans="1:27" x14ac:dyDescent="0.4">
      <c r="A506"/>
      <c r="B506"/>
      <c r="C506"/>
      <c r="D506"/>
      <c r="E506"/>
      <c r="F506"/>
      <c r="G506"/>
      <c r="H506"/>
      <c r="I506"/>
      <c r="J506"/>
      <c r="K506"/>
      <c r="L506"/>
      <c r="M506"/>
      <c r="N506"/>
      <c r="O506"/>
      <c r="P506"/>
      <c r="Q506"/>
      <c r="R506"/>
      <c r="S506"/>
      <c r="T506"/>
      <c r="U506"/>
      <c r="V506"/>
      <c r="W506"/>
      <c r="X506"/>
      <c r="Y506"/>
      <c r="Z506"/>
      <c r="AA506"/>
    </row>
    <row r="507" spans="1:27" x14ac:dyDescent="0.4">
      <c r="A507"/>
      <c r="B507"/>
      <c r="C507"/>
      <c r="D507"/>
      <c r="E507"/>
      <c r="F507"/>
      <c r="G507"/>
      <c r="H507"/>
      <c r="I507"/>
      <c r="J507"/>
      <c r="K507"/>
      <c r="L507"/>
      <c r="M507"/>
      <c r="N507"/>
      <c r="O507"/>
      <c r="P507"/>
      <c r="Q507"/>
      <c r="R507"/>
      <c r="S507"/>
      <c r="T507"/>
      <c r="U507"/>
      <c r="V507"/>
      <c r="W507"/>
      <c r="X507"/>
      <c r="Y507"/>
      <c r="Z507"/>
      <c r="AA507"/>
    </row>
    <row r="508" spans="1:27" x14ac:dyDescent="0.4">
      <c r="A508"/>
      <c r="B508"/>
      <c r="C508"/>
      <c r="D508"/>
      <c r="E508"/>
      <c r="F508"/>
      <c r="G508"/>
      <c r="H508"/>
      <c r="I508"/>
      <c r="J508"/>
      <c r="K508"/>
      <c r="L508"/>
      <c r="M508"/>
      <c r="N508"/>
      <c r="O508"/>
      <c r="P508"/>
      <c r="Q508"/>
      <c r="R508"/>
      <c r="S508"/>
      <c r="T508"/>
      <c r="U508"/>
      <c r="V508"/>
      <c r="W508"/>
      <c r="X508"/>
      <c r="Y508"/>
      <c r="Z508"/>
      <c r="AA508"/>
    </row>
    <row r="509" spans="1:27" x14ac:dyDescent="0.4">
      <c r="A509"/>
      <c r="B509"/>
      <c r="C509"/>
      <c r="D509"/>
      <c r="E509"/>
      <c r="F509"/>
      <c r="G509"/>
      <c r="H509"/>
      <c r="I509"/>
      <c r="J509"/>
      <c r="K509"/>
      <c r="L509"/>
      <c r="M509"/>
      <c r="N509"/>
      <c r="O509"/>
      <c r="P509"/>
      <c r="Q509"/>
      <c r="R509"/>
      <c r="S509"/>
      <c r="T509"/>
      <c r="U509"/>
      <c r="V509"/>
      <c r="W509"/>
      <c r="X509"/>
      <c r="Y509"/>
      <c r="Z509"/>
      <c r="AA509"/>
    </row>
    <row r="510" spans="1:27" x14ac:dyDescent="0.4">
      <c r="A510"/>
      <c r="B510"/>
      <c r="C510"/>
      <c r="D510"/>
      <c r="E510"/>
      <c r="F510"/>
      <c r="G510"/>
      <c r="H510"/>
      <c r="I510"/>
      <c r="J510"/>
      <c r="K510"/>
      <c r="L510"/>
      <c r="M510"/>
      <c r="N510"/>
      <c r="O510"/>
      <c r="P510"/>
      <c r="Q510"/>
      <c r="R510"/>
      <c r="S510"/>
      <c r="T510"/>
      <c r="U510"/>
      <c r="V510"/>
      <c r="W510"/>
      <c r="X510"/>
      <c r="Y510"/>
      <c r="Z510"/>
      <c r="AA510"/>
    </row>
    <row r="511" spans="1:27" x14ac:dyDescent="0.4">
      <c r="A511"/>
      <c r="B511"/>
      <c r="C511"/>
      <c r="D511"/>
      <c r="E511"/>
      <c r="F511"/>
      <c r="G511"/>
      <c r="H511"/>
      <c r="I511"/>
      <c r="J511"/>
      <c r="K511"/>
      <c r="L511"/>
      <c r="M511"/>
      <c r="N511"/>
      <c r="O511"/>
      <c r="P511"/>
      <c r="Q511"/>
      <c r="R511"/>
      <c r="S511"/>
      <c r="T511"/>
      <c r="U511"/>
      <c r="V511"/>
      <c r="W511"/>
      <c r="X511"/>
      <c r="Y511"/>
      <c r="Z511"/>
      <c r="AA511"/>
    </row>
    <row r="512" spans="1:27" x14ac:dyDescent="0.4">
      <c r="A512"/>
      <c r="B512"/>
      <c r="C512"/>
      <c r="D512"/>
      <c r="E512"/>
      <c r="F512"/>
      <c r="G512"/>
      <c r="H512"/>
      <c r="I512"/>
      <c r="J512"/>
      <c r="K512"/>
      <c r="L512"/>
      <c r="M512"/>
      <c r="N512"/>
      <c r="O512"/>
      <c r="P512"/>
      <c r="Q512"/>
      <c r="R512"/>
      <c r="S512"/>
      <c r="T512"/>
      <c r="U512"/>
      <c r="V512"/>
      <c r="W512"/>
      <c r="X512"/>
      <c r="Y512"/>
      <c r="Z512"/>
      <c r="AA512"/>
    </row>
    <row r="513" spans="1:27" x14ac:dyDescent="0.4">
      <c r="A513"/>
      <c r="B513"/>
      <c r="C513"/>
      <c r="D513"/>
      <c r="E513"/>
      <c r="F513"/>
      <c r="G513"/>
      <c r="H513"/>
      <c r="I513"/>
      <c r="J513"/>
      <c r="K513"/>
      <c r="L513"/>
      <c r="M513"/>
      <c r="N513"/>
      <c r="O513"/>
      <c r="P513"/>
      <c r="Q513"/>
      <c r="R513"/>
      <c r="S513"/>
      <c r="T513"/>
      <c r="U513"/>
      <c r="V513"/>
      <c r="W513"/>
      <c r="X513"/>
      <c r="Y513"/>
      <c r="Z513"/>
      <c r="AA513"/>
    </row>
    <row r="514" spans="1:27" x14ac:dyDescent="0.4">
      <c r="A514"/>
      <c r="B514"/>
      <c r="C514"/>
      <c r="D514"/>
      <c r="E514"/>
      <c r="F514"/>
      <c r="G514"/>
      <c r="H514"/>
      <c r="I514"/>
      <c r="J514"/>
      <c r="K514"/>
      <c r="L514"/>
      <c r="M514"/>
      <c r="N514"/>
      <c r="O514"/>
      <c r="P514"/>
      <c r="Q514"/>
      <c r="R514"/>
      <c r="S514"/>
      <c r="T514"/>
      <c r="U514"/>
      <c r="V514"/>
      <c r="W514"/>
      <c r="X514"/>
      <c r="Y514"/>
      <c r="Z514"/>
      <c r="AA514"/>
    </row>
    <row r="515" spans="1:27" x14ac:dyDescent="0.4">
      <c r="A515"/>
      <c r="B515"/>
      <c r="C515"/>
      <c r="D515"/>
      <c r="E515"/>
      <c r="F515"/>
      <c r="G515"/>
      <c r="H515"/>
      <c r="I515"/>
      <c r="J515"/>
      <c r="K515"/>
      <c r="L515"/>
      <c r="M515"/>
      <c r="N515"/>
      <c r="O515"/>
      <c r="P515"/>
      <c r="Q515"/>
      <c r="R515"/>
      <c r="S515"/>
      <c r="T515"/>
      <c r="U515"/>
      <c r="V515"/>
      <c r="W515"/>
      <c r="X515"/>
      <c r="Y515"/>
      <c r="Z515"/>
      <c r="AA515"/>
    </row>
    <row r="516" spans="1:27" x14ac:dyDescent="0.4">
      <c r="A516"/>
      <c r="B516"/>
      <c r="C516"/>
      <c r="D516"/>
      <c r="E516"/>
      <c r="F516"/>
      <c r="G516"/>
      <c r="H516"/>
      <c r="I516"/>
      <c r="J516"/>
      <c r="K516"/>
      <c r="L516"/>
      <c r="M516"/>
      <c r="N516"/>
      <c r="O516"/>
      <c r="P516"/>
      <c r="Q516"/>
      <c r="R516"/>
      <c r="S516"/>
      <c r="T516"/>
      <c r="U516"/>
      <c r="V516"/>
      <c r="W516"/>
      <c r="X516"/>
      <c r="Y516"/>
      <c r="Z516"/>
      <c r="AA516"/>
    </row>
    <row r="517" spans="1:27" x14ac:dyDescent="0.4">
      <c r="A517"/>
      <c r="B517"/>
      <c r="C517"/>
      <c r="D517"/>
      <c r="E517"/>
      <c r="F517"/>
      <c r="G517"/>
      <c r="H517"/>
      <c r="I517"/>
      <c r="J517"/>
      <c r="K517"/>
      <c r="L517"/>
      <c r="M517"/>
      <c r="N517"/>
      <c r="O517"/>
      <c r="P517"/>
      <c r="Q517"/>
      <c r="R517"/>
      <c r="S517"/>
      <c r="T517"/>
      <c r="U517"/>
      <c r="V517"/>
      <c r="W517"/>
      <c r="X517"/>
      <c r="Y517"/>
      <c r="Z517"/>
      <c r="AA517"/>
    </row>
    <row r="518" spans="1:27" x14ac:dyDescent="0.4">
      <c r="A518"/>
      <c r="B518"/>
      <c r="C518"/>
      <c r="D518"/>
      <c r="E518"/>
      <c r="F518"/>
      <c r="G518"/>
      <c r="H518"/>
      <c r="I518"/>
      <c r="J518"/>
      <c r="K518"/>
      <c r="L518"/>
      <c r="M518"/>
      <c r="N518"/>
      <c r="O518"/>
      <c r="P518"/>
      <c r="Q518"/>
      <c r="R518"/>
      <c r="S518"/>
      <c r="T518"/>
      <c r="U518"/>
      <c r="V518"/>
      <c r="W518"/>
      <c r="X518"/>
      <c r="Y518"/>
      <c r="Z518"/>
      <c r="AA518"/>
    </row>
    <row r="519" spans="1:27" x14ac:dyDescent="0.4">
      <c r="A519"/>
      <c r="B519"/>
      <c r="C519"/>
      <c r="D519"/>
      <c r="E519"/>
      <c r="F519"/>
      <c r="G519"/>
      <c r="H519"/>
      <c r="I519"/>
      <c r="J519"/>
      <c r="K519"/>
      <c r="L519"/>
      <c r="M519"/>
      <c r="N519"/>
      <c r="O519"/>
      <c r="P519"/>
      <c r="Q519"/>
      <c r="R519"/>
      <c r="S519"/>
      <c r="T519"/>
      <c r="U519"/>
      <c r="V519"/>
      <c r="W519"/>
      <c r="X519"/>
      <c r="Y519"/>
      <c r="Z519"/>
      <c r="AA519"/>
    </row>
    <row r="520" spans="1:27" x14ac:dyDescent="0.4">
      <c r="A520"/>
      <c r="B520"/>
      <c r="C520"/>
      <c r="D520"/>
      <c r="E520"/>
      <c r="F520"/>
      <c r="G520"/>
      <c r="H520"/>
      <c r="I520"/>
      <c r="J520"/>
      <c r="K520"/>
      <c r="L520"/>
      <c r="M520"/>
      <c r="N520"/>
      <c r="O520"/>
      <c r="P520"/>
      <c r="Q520"/>
      <c r="R520"/>
      <c r="S520"/>
      <c r="T520"/>
      <c r="U520"/>
      <c r="V520"/>
      <c r="W520"/>
      <c r="X520"/>
      <c r="Y520"/>
      <c r="Z520"/>
      <c r="AA520"/>
    </row>
    <row r="521" spans="1:27" x14ac:dyDescent="0.4">
      <c r="A521"/>
      <c r="B521"/>
      <c r="C521"/>
      <c r="D521"/>
      <c r="E521"/>
      <c r="F521"/>
      <c r="G521"/>
      <c r="H521"/>
      <c r="I521"/>
      <c r="J521"/>
      <c r="K521"/>
      <c r="L521"/>
      <c r="M521"/>
      <c r="N521"/>
      <c r="O521"/>
      <c r="P521"/>
      <c r="Q521"/>
      <c r="R521"/>
      <c r="S521"/>
      <c r="T521"/>
      <c r="U521"/>
      <c r="V521"/>
      <c r="W521"/>
      <c r="X521"/>
      <c r="Y521"/>
      <c r="Z521"/>
      <c r="AA521"/>
    </row>
    <row r="522" spans="1:27" x14ac:dyDescent="0.4">
      <c r="A522"/>
      <c r="B522"/>
      <c r="C522"/>
      <c r="D522"/>
      <c r="E522"/>
      <c r="F522"/>
      <c r="G522"/>
      <c r="H522"/>
      <c r="I522"/>
      <c r="J522"/>
      <c r="K522"/>
      <c r="L522"/>
      <c r="M522"/>
      <c r="N522"/>
      <c r="O522"/>
      <c r="P522"/>
      <c r="Q522"/>
      <c r="R522"/>
      <c r="S522"/>
      <c r="T522"/>
      <c r="U522"/>
      <c r="V522"/>
      <c r="W522"/>
      <c r="X522"/>
      <c r="Y522"/>
      <c r="Z522"/>
      <c r="AA522"/>
    </row>
    <row r="523" spans="1:27" x14ac:dyDescent="0.4">
      <c r="A523"/>
      <c r="B523"/>
      <c r="C523"/>
      <c r="D523"/>
      <c r="E523"/>
      <c r="F523"/>
      <c r="G523"/>
      <c r="H523"/>
      <c r="I523"/>
      <c r="J523"/>
      <c r="K523"/>
      <c r="L523"/>
      <c r="M523"/>
      <c r="N523"/>
      <c r="O523"/>
      <c r="P523"/>
      <c r="Q523"/>
      <c r="R523"/>
      <c r="S523"/>
      <c r="T523"/>
      <c r="U523"/>
      <c r="V523"/>
      <c r="W523"/>
      <c r="X523"/>
      <c r="Y523"/>
      <c r="Z523"/>
      <c r="AA523"/>
    </row>
    <row r="524" spans="1:27" x14ac:dyDescent="0.4">
      <c r="A524"/>
      <c r="B524"/>
      <c r="C524"/>
      <c r="D524"/>
      <c r="E524"/>
      <c r="F524"/>
      <c r="G524"/>
      <c r="H524"/>
      <c r="I524"/>
      <c r="J524"/>
      <c r="K524"/>
      <c r="L524"/>
      <c r="M524"/>
      <c r="N524"/>
      <c r="O524"/>
      <c r="P524"/>
      <c r="Q524"/>
      <c r="R524"/>
      <c r="S524"/>
      <c r="T524"/>
      <c r="U524"/>
      <c r="V524"/>
      <c r="W524"/>
      <c r="X524"/>
      <c r="Y524"/>
      <c r="Z524"/>
      <c r="AA524"/>
    </row>
    <row r="525" spans="1:27" x14ac:dyDescent="0.4">
      <c r="A525"/>
      <c r="B525"/>
      <c r="C525"/>
      <c r="D525"/>
      <c r="E525"/>
      <c r="F525"/>
      <c r="G525"/>
      <c r="H525"/>
      <c r="I525"/>
      <c r="J525"/>
      <c r="K525"/>
      <c r="L525"/>
      <c r="M525"/>
      <c r="N525"/>
      <c r="O525"/>
      <c r="P525"/>
      <c r="Q525"/>
      <c r="R525"/>
      <c r="S525"/>
      <c r="T525"/>
      <c r="U525"/>
      <c r="V525"/>
      <c r="W525"/>
      <c r="X525"/>
      <c r="Y525"/>
      <c r="Z525"/>
      <c r="AA525"/>
    </row>
    <row r="526" spans="1:27" x14ac:dyDescent="0.4">
      <c r="A526"/>
      <c r="B526"/>
      <c r="C526"/>
      <c r="D526"/>
      <c r="E526"/>
      <c r="F526"/>
      <c r="G526"/>
      <c r="H526"/>
      <c r="I526"/>
      <c r="J526"/>
      <c r="K526"/>
      <c r="L526"/>
      <c r="M526"/>
      <c r="N526"/>
      <c r="O526"/>
      <c r="P526"/>
      <c r="Q526"/>
      <c r="R526"/>
      <c r="S526"/>
      <c r="T526"/>
      <c r="U526"/>
      <c r="V526"/>
      <c r="W526"/>
      <c r="X526"/>
      <c r="Y526"/>
      <c r="Z526"/>
      <c r="AA526"/>
    </row>
    <row r="527" spans="1:27" x14ac:dyDescent="0.4">
      <c r="A527"/>
      <c r="B527"/>
      <c r="C527"/>
      <c r="D527"/>
      <c r="E527"/>
      <c r="F527"/>
      <c r="G527"/>
      <c r="H527"/>
      <c r="I527"/>
      <c r="J527"/>
      <c r="K527"/>
      <c r="L527"/>
      <c r="M527"/>
      <c r="N527"/>
      <c r="O527"/>
      <c r="P527"/>
      <c r="Q527"/>
      <c r="R527"/>
      <c r="S527"/>
      <c r="T527"/>
      <c r="U527"/>
      <c r="V527"/>
      <c r="W527"/>
      <c r="X527"/>
      <c r="Y527"/>
      <c r="Z527"/>
      <c r="AA527"/>
    </row>
    <row r="528" spans="1:27" x14ac:dyDescent="0.4">
      <c r="A528"/>
      <c r="B528"/>
      <c r="C528"/>
      <c r="D528"/>
      <c r="E528"/>
      <c r="F528"/>
      <c r="G528"/>
      <c r="H528"/>
      <c r="I528"/>
      <c r="J528"/>
      <c r="K528"/>
      <c r="L528"/>
      <c r="M528"/>
      <c r="N528"/>
      <c r="O528"/>
      <c r="P528"/>
      <c r="Q528"/>
      <c r="R528"/>
      <c r="S528"/>
      <c r="T528"/>
      <c r="U528"/>
      <c r="V528"/>
      <c r="W528"/>
      <c r="X528"/>
      <c r="Y528"/>
      <c r="Z528"/>
      <c r="AA528"/>
    </row>
    <row r="529" spans="1:27" x14ac:dyDescent="0.4">
      <c r="A529"/>
      <c r="B529"/>
      <c r="C529"/>
      <c r="D529"/>
      <c r="E529"/>
      <c r="F529"/>
      <c r="G529"/>
      <c r="H529"/>
      <c r="I529"/>
      <c r="J529"/>
      <c r="K529"/>
      <c r="L529"/>
      <c r="M529"/>
      <c r="N529"/>
      <c r="O529"/>
      <c r="P529"/>
      <c r="Q529"/>
      <c r="R529"/>
      <c r="S529"/>
      <c r="T529"/>
      <c r="U529"/>
      <c r="V529"/>
      <c r="W529"/>
      <c r="X529"/>
      <c r="Y529"/>
      <c r="Z529"/>
      <c r="AA529"/>
    </row>
    <row r="530" spans="1:27" x14ac:dyDescent="0.4">
      <c r="A530"/>
      <c r="B530"/>
      <c r="C530"/>
      <c r="D530"/>
      <c r="E530"/>
      <c r="F530"/>
      <c r="G530"/>
      <c r="H530"/>
      <c r="I530"/>
      <c r="J530"/>
      <c r="K530"/>
      <c r="L530"/>
      <c r="M530"/>
      <c r="N530"/>
      <c r="O530"/>
      <c r="P530"/>
      <c r="Q530"/>
      <c r="R530"/>
      <c r="S530"/>
      <c r="T530"/>
      <c r="U530"/>
      <c r="V530"/>
      <c r="W530"/>
      <c r="X530"/>
      <c r="Y530"/>
      <c r="Z530"/>
      <c r="AA530"/>
    </row>
    <row r="531" spans="1:27" x14ac:dyDescent="0.4">
      <c r="A531"/>
      <c r="B531"/>
      <c r="C531"/>
      <c r="D531"/>
      <c r="E531"/>
      <c r="F531"/>
      <c r="G531"/>
      <c r="H531"/>
      <c r="I531"/>
      <c r="J531"/>
      <c r="K531"/>
      <c r="L531"/>
      <c r="M531"/>
      <c r="N531"/>
      <c r="O531"/>
      <c r="P531"/>
      <c r="Q531"/>
      <c r="R531"/>
      <c r="S531"/>
      <c r="T531"/>
      <c r="U531"/>
      <c r="V531"/>
      <c r="W531"/>
      <c r="X531"/>
      <c r="Y531"/>
      <c r="Z531"/>
      <c r="AA531"/>
    </row>
    <row r="532" spans="1:27" x14ac:dyDescent="0.4">
      <c r="A532"/>
      <c r="B532"/>
      <c r="C532"/>
      <c r="D532"/>
      <c r="E532"/>
      <c r="F532"/>
      <c r="G532"/>
      <c r="H532"/>
      <c r="I532"/>
      <c r="J532"/>
      <c r="K532"/>
      <c r="L532"/>
      <c r="M532"/>
      <c r="N532"/>
      <c r="O532"/>
      <c r="P532"/>
      <c r="Q532"/>
      <c r="R532"/>
      <c r="S532"/>
      <c r="T532"/>
      <c r="U532"/>
      <c r="V532"/>
      <c r="W532"/>
      <c r="X532"/>
      <c r="Y532"/>
      <c r="Z532"/>
      <c r="AA532"/>
    </row>
    <row r="533" spans="1:27" x14ac:dyDescent="0.4">
      <c r="A533"/>
      <c r="B533"/>
      <c r="C533"/>
      <c r="D533"/>
      <c r="E533"/>
      <c r="F533"/>
      <c r="G533"/>
      <c r="H533"/>
      <c r="I533"/>
      <c r="J533"/>
      <c r="K533"/>
      <c r="L533"/>
      <c r="M533"/>
      <c r="N533"/>
      <c r="O533"/>
      <c r="P533"/>
      <c r="Q533"/>
      <c r="R533"/>
      <c r="S533"/>
      <c r="T533"/>
      <c r="U533"/>
      <c r="V533"/>
      <c r="W533"/>
      <c r="X533"/>
      <c r="Y533"/>
      <c r="Z533"/>
      <c r="AA533"/>
    </row>
    <row r="534" spans="1:27" x14ac:dyDescent="0.4">
      <c r="A534"/>
      <c r="B534"/>
      <c r="C534"/>
      <c r="D534"/>
      <c r="E534"/>
      <c r="F534"/>
      <c r="G534"/>
      <c r="H534"/>
      <c r="I534"/>
      <c r="J534"/>
      <c r="K534"/>
      <c r="L534"/>
      <c r="M534"/>
      <c r="N534"/>
      <c r="O534"/>
      <c r="P534"/>
      <c r="Q534"/>
      <c r="R534"/>
      <c r="S534"/>
      <c r="T534"/>
      <c r="U534"/>
      <c r="V534"/>
      <c r="W534"/>
      <c r="X534"/>
      <c r="Y534"/>
      <c r="Z534"/>
      <c r="AA534"/>
    </row>
    <row r="535" spans="1:27" x14ac:dyDescent="0.4">
      <c r="A535"/>
      <c r="B535"/>
      <c r="C535"/>
      <c r="D535"/>
      <c r="E535"/>
      <c r="F535"/>
      <c r="G535"/>
      <c r="H535"/>
      <c r="I535"/>
      <c r="J535"/>
      <c r="K535"/>
      <c r="L535"/>
      <c r="M535"/>
      <c r="N535"/>
      <c r="O535"/>
      <c r="P535"/>
      <c r="Q535"/>
      <c r="R535"/>
      <c r="S535"/>
      <c r="T535"/>
      <c r="U535"/>
      <c r="V535"/>
      <c r="W535"/>
      <c r="X535"/>
      <c r="Y535"/>
      <c r="Z535"/>
      <c r="AA535"/>
    </row>
    <row r="536" spans="1:27" x14ac:dyDescent="0.4">
      <c r="A536"/>
      <c r="B536"/>
      <c r="C536"/>
      <c r="D536"/>
      <c r="E536"/>
      <c r="F536"/>
      <c r="G536"/>
      <c r="H536"/>
      <c r="I536"/>
      <c r="J536"/>
      <c r="K536"/>
      <c r="L536"/>
      <c r="M536"/>
      <c r="N536"/>
      <c r="O536"/>
      <c r="P536"/>
      <c r="Q536"/>
      <c r="R536"/>
      <c r="S536"/>
      <c r="T536"/>
      <c r="U536"/>
      <c r="V536"/>
      <c r="W536"/>
      <c r="X536"/>
      <c r="Y536"/>
      <c r="Z536"/>
      <c r="AA536"/>
    </row>
    <row r="537" spans="1:27" x14ac:dyDescent="0.4">
      <c r="A537"/>
      <c r="B537"/>
      <c r="C537"/>
      <c r="D537"/>
      <c r="E537"/>
      <c r="F537"/>
      <c r="G537"/>
      <c r="H537"/>
      <c r="I537"/>
      <c r="J537"/>
      <c r="K537"/>
      <c r="L537"/>
      <c r="M537"/>
      <c r="N537"/>
      <c r="O537"/>
      <c r="P537"/>
      <c r="Q537"/>
      <c r="R537"/>
      <c r="S537"/>
      <c r="T537"/>
      <c r="U537"/>
      <c r="V537"/>
      <c r="W537"/>
      <c r="X537"/>
      <c r="Y537"/>
      <c r="Z537"/>
      <c r="AA537"/>
    </row>
    <row r="538" spans="1:27" x14ac:dyDescent="0.4">
      <c r="A538"/>
      <c r="B538"/>
      <c r="C538"/>
      <c r="D538"/>
      <c r="E538"/>
      <c r="F538"/>
      <c r="G538"/>
      <c r="H538"/>
      <c r="I538"/>
      <c r="J538"/>
      <c r="K538"/>
      <c r="L538"/>
      <c r="M538"/>
      <c r="N538"/>
      <c r="O538"/>
      <c r="P538"/>
      <c r="Q538"/>
      <c r="R538"/>
      <c r="S538"/>
      <c r="T538"/>
      <c r="U538"/>
      <c r="V538"/>
      <c r="W538"/>
      <c r="X538"/>
      <c r="Y538"/>
      <c r="Z538"/>
      <c r="AA538"/>
    </row>
    <row r="539" spans="1:27" x14ac:dyDescent="0.4">
      <c r="A539"/>
      <c r="B539"/>
      <c r="C539"/>
      <c r="D539"/>
      <c r="E539"/>
      <c r="F539"/>
      <c r="G539"/>
      <c r="H539"/>
      <c r="I539"/>
      <c r="J539"/>
      <c r="K539"/>
      <c r="L539"/>
      <c r="M539"/>
      <c r="N539"/>
      <c r="O539"/>
      <c r="P539"/>
      <c r="Q539"/>
      <c r="R539"/>
      <c r="S539"/>
      <c r="T539"/>
      <c r="U539"/>
      <c r="V539"/>
      <c r="W539"/>
      <c r="X539"/>
      <c r="Y539"/>
      <c r="Z539"/>
      <c r="AA539"/>
    </row>
    <row r="540" spans="1:27" x14ac:dyDescent="0.4">
      <c r="A540"/>
      <c r="B540"/>
      <c r="C540"/>
      <c r="D540"/>
      <c r="E540"/>
      <c r="F540"/>
      <c r="G540"/>
      <c r="H540"/>
      <c r="I540"/>
      <c r="J540"/>
      <c r="K540"/>
      <c r="L540"/>
      <c r="M540"/>
      <c r="N540"/>
      <c r="O540"/>
      <c r="P540"/>
      <c r="Q540"/>
      <c r="R540"/>
      <c r="S540"/>
      <c r="T540"/>
      <c r="U540"/>
      <c r="V540"/>
      <c r="W540"/>
      <c r="X540"/>
      <c r="Y540"/>
      <c r="Z540"/>
      <c r="AA540"/>
    </row>
    <row r="541" spans="1:27" x14ac:dyDescent="0.4">
      <c r="A541"/>
      <c r="B541"/>
      <c r="C541"/>
      <c r="D541"/>
      <c r="E541"/>
      <c r="F541"/>
      <c r="G541"/>
      <c r="H541"/>
      <c r="I541"/>
      <c r="J541"/>
      <c r="K541"/>
      <c r="L541"/>
      <c r="M541"/>
      <c r="N541"/>
      <c r="O541"/>
      <c r="P541"/>
      <c r="Q541"/>
      <c r="R541"/>
      <c r="S541"/>
      <c r="T541"/>
      <c r="U541"/>
      <c r="V541"/>
      <c r="W541"/>
      <c r="X541"/>
      <c r="Y541"/>
      <c r="Z541"/>
      <c r="AA541"/>
    </row>
    <row r="542" spans="1:27" x14ac:dyDescent="0.4">
      <c r="A542"/>
      <c r="B542"/>
      <c r="C542"/>
      <c r="D542"/>
      <c r="E542"/>
      <c r="F542"/>
      <c r="G542"/>
      <c r="H542"/>
      <c r="I542"/>
      <c r="J542"/>
      <c r="K542"/>
      <c r="L542"/>
      <c r="M542"/>
      <c r="N542"/>
      <c r="O542"/>
      <c r="P542"/>
      <c r="Q542"/>
      <c r="R542"/>
      <c r="S542"/>
      <c r="T542"/>
      <c r="U542"/>
      <c r="V542"/>
      <c r="W542"/>
      <c r="X542"/>
      <c r="Y542"/>
      <c r="Z542"/>
      <c r="AA542"/>
    </row>
    <row r="543" spans="1:27" x14ac:dyDescent="0.4">
      <c r="A543"/>
      <c r="B543"/>
      <c r="C543"/>
      <c r="D543"/>
      <c r="E543"/>
      <c r="F543"/>
      <c r="G543"/>
      <c r="H543"/>
      <c r="I543"/>
      <c r="J543"/>
      <c r="K543"/>
      <c r="L543"/>
      <c r="M543"/>
      <c r="N543"/>
      <c r="O543"/>
      <c r="P543"/>
      <c r="Q543"/>
      <c r="R543"/>
      <c r="S543"/>
      <c r="T543"/>
      <c r="U543"/>
      <c r="V543"/>
      <c r="W543"/>
      <c r="X543"/>
      <c r="Y543"/>
      <c r="Z543"/>
      <c r="AA543"/>
    </row>
    <row r="544" spans="1:27" x14ac:dyDescent="0.4">
      <c r="A544"/>
      <c r="B544"/>
      <c r="C544"/>
      <c r="D544"/>
      <c r="E544"/>
      <c r="F544"/>
      <c r="G544"/>
      <c r="H544"/>
      <c r="I544"/>
      <c r="J544"/>
      <c r="K544"/>
      <c r="L544"/>
      <c r="M544"/>
      <c r="N544"/>
      <c r="O544"/>
      <c r="P544"/>
      <c r="Q544"/>
      <c r="R544"/>
      <c r="S544"/>
      <c r="T544"/>
      <c r="U544"/>
      <c r="V544"/>
      <c r="W544"/>
      <c r="X544"/>
      <c r="Y544"/>
      <c r="Z544"/>
      <c r="AA544"/>
    </row>
    <row r="545" spans="1:27" x14ac:dyDescent="0.4">
      <c r="A545"/>
      <c r="B545"/>
      <c r="C545"/>
      <c r="D545"/>
      <c r="E545"/>
      <c r="F545"/>
      <c r="G545"/>
      <c r="H545"/>
      <c r="I545"/>
      <c r="J545"/>
      <c r="K545"/>
      <c r="L545"/>
      <c r="M545"/>
      <c r="N545"/>
      <c r="O545"/>
      <c r="P545"/>
      <c r="Q545"/>
      <c r="R545"/>
      <c r="S545"/>
      <c r="T545"/>
      <c r="U545"/>
      <c r="V545"/>
      <c r="W545"/>
      <c r="X545"/>
      <c r="Y545"/>
      <c r="Z545"/>
      <c r="AA545"/>
    </row>
    <row r="546" spans="1:27" x14ac:dyDescent="0.4">
      <c r="A546"/>
      <c r="B546"/>
      <c r="C546"/>
      <c r="D546"/>
      <c r="E546"/>
      <c r="F546"/>
      <c r="G546"/>
      <c r="H546"/>
      <c r="I546"/>
      <c r="J546"/>
      <c r="K546"/>
      <c r="L546"/>
      <c r="M546"/>
      <c r="N546"/>
      <c r="O546"/>
      <c r="P546"/>
      <c r="Q546"/>
      <c r="R546"/>
      <c r="S546"/>
      <c r="T546"/>
      <c r="U546"/>
      <c r="V546"/>
      <c r="W546"/>
      <c r="X546"/>
      <c r="Y546"/>
      <c r="Z546"/>
      <c r="AA546"/>
    </row>
    <row r="547" spans="1:27" x14ac:dyDescent="0.4">
      <c r="A547"/>
      <c r="B547"/>
      <c r="C547"/>
      <c r="D547"/>
      <c r="E547"/>
      <c r="F547"/>
      <c r="G547"/>
      <c r="H547"/>
      <c r="I547"/>
      <c r="J547"/>
      <c r="K547"/>
      <c r="L547"/>
      <c r="M547"/>
      <c r="N547"/>
      <c r="O547"/>
      <c r="P547"/>
      <c r="Q547"/>
      <c r="R547"/>
      <c r="S547"/>
      <c r="T547"/>
      <c r="U547"/>
      <c r="V547"/>
      <c r="W547"/>
      <c r="X547"/>
      <c r="Y547"/>
      <c r="Z547"/>
      <c r="AA547"/>
    </row>
    <row r="548" spans="1:27" x14ac:dyDescent="0.4">
      <c r="A548"/>
      <c r="B548"/>
      <c r="C548"/>
      <c r="D548"/>
      <c r="E548"/>
      <c r="F548"/>
      <c r="G548"/>
      <c r="H548"/>
      <c r="I548"/>
      <c r="J548"/>
      <c r="K548"/>
      <c r="L548"/>
      <c r="M548"/>
      <c r="N548"/>
      <c r="O548"/>
      <c r="P548"/>
      <c r="Q548"/>
      <c r="R548"/>
      <c r="S548"/>
      <c r="T548"/>
      <c r="U548"/>
      <c r="V548"/>
      <c r="W548"/>
      <c r="X548"/>
      <c r="Y548"/>
      <c r="Z548"/>
      <c r="AA548"/>
    </row>
    <row r="549" spans="1:27" x14ac:dyDescent="0.4">
      <c r="A549"/>
      <c r="B549"/>
      <c r="C549"/>
      <c r="D549"/>
      <c r="E549"/>
      <c r="F549"/>
      <c r="G549"/>
      <c r="H549"/>
      <c r="I549"/>
      <c r="J549"/>
      <c r="K549"/>
      <c r="L549"/>
      <c r="M549"/>
      <c r="N549"/>
      <c r="O549"/>
      <c r="P549"/>
      <c r="Q549"/>
      <c r="R549"/>
      <c r="S549"/>
      <c r="T549"/>
      <c r="U549"/>
      <c r="V549"/>
      <c r="W549"/>
      <c r="X549"/>
      <c r="Y549"/>
      <c r="Z549"/>
      <c r="AA549"/>
    </row>
    <row r="550" spans="1:27" x14ac:dyDescent="0.4">
      <c r="A550"/>
      <c r="B550"/>
      <c r="C550"/>
      <c r="D550"/>
      <c r="E550"/>
      <c r="F550"/>
      <c r="G550"/>
      <c r="H550"/>
      <c r="I550"/>
      <c r="J550"/>
      <c r="K550"/>
      <c r="L550"/>
      <c r="M550"/>
      <c r="N550"/>
      <c r="O550"/>
      <c r="P550"/>
      <c r="Q550"/>
      <c r="R550"/>
      <c r="S550"/>
      <c r="T550"/>
      <c r="U550"/>
      <c r="V550"/>
      <c r="W550"/>
      <c r="X550"/>
      <c r="Y550"/>
      <c r="Z550"/>
      <c r="AA550"/>
    </row>
    <row r="551" spans="1:27" x14ac:dyDescent="0.4">
      <c r="A551"/>
      <c r="B551"/>
      <c r="C551"/>
      <c r="D551"/>
      <c r="E551"/>
      <c r="F551"/>
      <c r="G551"/>
      <c r="H551"/>
      <c r="I551"/>
      <c r="J551"/>
      <c r="K551"/>
      <c r="L551"/>
      <c r="M551"/>
      <c r="N551"/>
      <c r="O551"/>
      <c r="P551"/>
      <c r="Q551"/>
      <c r="R551"/>
      <c r="S551"/>
      <c r="T551"/>
      <c r="U551"/>
      <c r="V551"/>
      <c r="W551"/>
      <c r="X551"/>
      <c r="Y551"/>
      <c r="Z551"/>
      <c r="AA551"/>
    </row>
    <row r="552" spans="1:27" x14ac:dyDescent="0.4">
      <c r="A552"/>
      <c r="B552"/>
      <c r="C552"/>
      <c r="D552"/>
      <c r="E552"/>
      <c r="F552"/>
      <c r="G552"/>
      <c r="H552"/>
      <c r="I552"/>
      <c r="J552"/>
      <c r="K552"/>
      <c r="L552"/>
      <c r="M552"/>
      <c r="N552"/>
      <c r="O552"/>
      <c r="P552"/>
      <c r="Q552"/>
      <c r="R552"/>
      <c r="S552"/>
      <c r="T552"/>
      <c r="U552"/>
      <c r="V552"/>
      <c r="W552"/>
      <c r="X552"/>
      <c r="Y552"/>
      <c r="Z552"/>
      <c r="AA552"/>
    </row>
    <row r="553" spans="1:27" x14ac:dyDescent="0.4">
      <c r="A553"/>
      <c r="B553"/>
      <c r="C553"/>
      <c r="D553"/>
      <c r="E553"/>
      <c r="F553"/>
      <c r="G553"/>
      <c r="H553"/>
      <c r="I553"/>
      <c r="J553"/>
      <c r="K553"/>
      <c r="L553"/>
      <c r="M553"/>
      <c r="N553"/>
      <c r="O553"/>
      <c r="P553"/>
      <c r="Q553"/>
      <c r="R553"/>
      <c r="S553"/>
      <c r="T553"/>
      <c r="U553"/>
      <c r="V553"/>
      <c r="W553"/>
      <c r="X553"/>
      <c r="Y553"/>
      <c r="Z553"/>
      <c r="AA553"/>
    </row>
    <row r="554" spans="1:27" x14ac:dyDescent="0.4">
      <c r="A554"/>
      <c r="B554"/>
      <c r="C554"/>
      <c r="D554"/>
      <c r="E554"/>
      <c r="F554"/>
      <c r="G554"/>
      <c r="H554"/>
      <c r="I554"/>
      <c r="J554"/>
      <c r="K554"/>
      <c r="L554"/>
      <c r="M554"/>
      <c r="N554"/>
      <c r="O554"/>
      <c r="P554"/>
      <c r="Q554"/>
      <c r="R554"/>
      <c r="S554"/>
      <c r="T554"/>
      <c r="U554"/>
      <c r="V554"/>
      <c r="W554"/>
      <c r="X554"/>
      <c r="Y554"/>
      <c r="Z554"/>
      <c r="AA554"/>
    </row>
    <row r="555" spans="1:27" x14ac:dyDescent="0.4">
      <c r="A555"/>
      <c r="B555"/>
      <c r="C555"/>
      <c r="D555"/>
      <c r="E555"/>
      <c r="F555"/>
      <c r="G555"/>
      <c r="H555"/>
      <c r="I555"/>
      <c r="J555"/>
      <c r="K555"/>
      <c r="L555"/>
      <c r="M555"/>
      <c r="N555"/>
      <c r="O555"/>
      <c r="P555"/>
      <c r="Q555"/>
      <c r="R555"/>
      <c r="S555"/>
      <c r="T555"/>
      <c r="U555"/>
      <c r="V555"/>
      <c r="W555"/>
      <c r="X555"/>
      <c r="Y555"/>
      <c r="Z555"/>
      <c r="AA555"/>
    </row>
    <row r="556" spans="1:27" x14ac:dyDescent="0.4">
      <c r="A556"/>
      <c r="B556"/>
      <c r="C556"/>
      <c r="D556"/>
      <c r="E556"/>
      <c r="F556"/>
      <c r="G556"/>
      <c r="H556"/>
      <c r="I556"/>
      <c r="J556"/>
      <c r="K556"/>
      <c r="L556"/>
      <c r="M556"/>
      <c r="N556"/>
      <c r="O556"/>
      <c r="P556"/>
      <c r="Q556"/>
      <c r="R556"/>
      <c r="S556"/>
      <c r="T556"/>
      <c r="U556"/>
      <c r="V556"/>
      <c r="W556"/>
      <c r="X556"/>
      <c r="Y556"/>
      <c r="Z556"/>
      <c r="AA556"/>
    </row>
    <row r="557" spans="1:27" x14ac:dyDescent="0.4">
      <c r="A557"/>
      <c r="B557"/>
      <c r="C557"/>
      <c r="D557"/>
      <c r="E557"/>
      <c r="F557"/>
      <c r="G557"/>
      <c r="H557"/>
      <c r="I557"/>
      <c r="J557"/>
      <c r="K557"/>
      <c r="L557"/>
      <c r="M557"/>
      <c r="N557"/>
      <c r="O557"/>
      <c r="P557"/>
      <c r="Q557"/>
      <c r="R557"/>
      <c r="S557"/>
      <c r="T557"/>
      <c r="U557"/>
      <c r="V557"/>
      <c r="W557"/>
      <c r="X557"/>
      <c r="Y557"/>
      <c r="Z557"/>
      <c r="AA557"/>
    </row>
    <row r="558" spans="1:27" x14ac:dyDescent="0.4">
      <c r="A558"/>
      <c r="B558"/>
      <c r="C558"/>
      <c r="D558"/>
      <c r="E558"/>
      <c r="F558"/>
      <c r="G558"/>
      <c r="H558"/>
      <c r="I558"/>
      <c r="J558"/>
      <c r="K558"/>
      <c r="L558"/>
      <c r="M558"/>
      <c r="N558"/>
      <c r="O558"/>
      <c r="P558"/>
      <c r="Q558"/>
      <c r="R558"/>
      <c r="S558"/>
      <c r="T558"/>
      <c r="U558"/>
      <c r="V558"/>
      <c r="W558"/>
      <c r="X558"/>
      <c r="Y558"/>
      <c r="Z558"/>
      <c r="AA558"/>
    </row>
    <row r="559" spans="1:27" x14ac:dyDescent="0.4">
      <c r="A559"/>
      <c r="B559"/>
      <c r="C559"/>
      <c r="D559"/>
      <c r="E559"/>
      <c r="F559"/>
      <c r="G559"/>
      <c r="H559"/>
      <c r="I559"/>
      <c r="J559"/>
      <c r="K559"/>
      <c r="L559"/>
      <c r="M559"/>
      <c r="N559"/>
      <c r="O559"/>
      <c r="P559"/>
      <c r="Q559"/>
      <c r="R559"/>
      <c r="S559"/>
      <c r="T559"/>
      <c r="U559"/>
      <c r="V559"/>
      <c r="W559"/>
      <c r="X559"/>
      <c r="Y559"/>
      <c r="Z559"/>
      <c r="AA559"/>
    </row>
    <row r="560" spans="1:27" x14ac:dyDescent="0.4">
      <c r="A560"/>
      <c r="B560"/>
      <c r="C560"/>
      <c r="D560"/>
      <c r="E560"/>
      <c r="F560"/>
      <c r="G560"/>
      <c r="H560"/>
      <c r="I560"/>
      <c r="J560"/>
      <c r="K560"/>
      <c r="L560"/>
      <c r="M560"/>
      <c r="N560"/>
      <c r="O560"/>
      <c r="P560"/>
      <c r="Q560"/>
      <c r="R560"/>
      <c r="S560"/>
      <c r="T560"/>
      <c r="U560"/>
      <c r="V560"/>
      <c r="W560"/>
      <c r="X560"/>
      <c r="Y560"/>
      <c r="Z560"/>
      <c r="AA560"/>
    </row>
    <row r="561" spans="1:27" x14ac:dyDescent="0.4">
      <c r="A561"/>
      <c r="B561"/>
      <c r="C561"/>
      <c r="D561"/>
      <c r="E561"/>
      <c r="F561"/>
      <c r="G561"/>
      <c r="H561"/>
      <c r="I561"/>
      <c r="J561"/>
      <c r="K561"/>
      <c r="L561"/>
      <c r="M561"/>
      <c r="N561"/>
      <c r="O561"/>
      <c r="P561"/>
      <c r="Q561"/>
      <c r="R561"/>
      <c r="S561"/>
      <c r="T561"/>
      <c r="U561"/>
      <c r="V561"/>
      <c r="W561"/>
      <c r="X561"/>
      <c r="Y561"/>
      <c r="Z561"/>
      <c r="AA561"/>
    </row>
    <row r="562" spans="1:27" x14ac:dyDescent="0.4">
      <c r="A562"/>
      <c r="B562"/>
      <c r="C562"/>
      <c r="D562"/>
      <c r="E562"/>
      <c r="F562"/>
      <c r="G562"/>
      <c r="H562"/>
      <c r="I562"/>
      <c r="J562"/>
      <c r="K562"/>
      <c r="L562"/>
      <c r="M562"/>
      <c r="N562"/>
      <c r="O562"/>
      <c r="P562"/>
      <c r="Q562"/>
      <c r="R562"/>
      <c r="S562"/>
      <c r="T562"/>
      <c r="U562"/>
      <c r="V562"/>
      <c r="W562"/>
      <c r="X562"/>
      <c r="Y562"/>
      <c r="Z562"/>
      <c r="AA562"/>
    </row>
    <row r="563" spans="1:27" x14ac:dyDescent="0.4">
      <c r="A563"/>
      <c r="B563"/>
      <c r="C563"/>
      <c r="D563"/>
      <c r="E563"/>
      <c r="F563"/>
      <c r="G563"/>
      <c r="H563"/>
      <c r="I563"/>
      <c r="J563"/>
      <c r="K563"/>
      <c r="L563"/>
      <c r="M563"/>
      <c r="N563"/>
      <c r="O563"/>
      <c r="P563"/>
      <c r="Q563"/>
      <c r="R563"/>
      <c r="S563"/>
      <c r="T563"/>
      <c r="U563"/>
      <c r="V563"/>
      <c r="W563"/>
      <c r="X563"/>
      <c r="Y563"/>
      <c r="Z563"/>
      <c r="AA563"/>
    </row>
    <row r="564" spans="1:27" x14ac:dyDescent="0.4">
      <c r="A564"/>
      <c r="B564"/>
      <c r="C564"/>
      <c r="D564"/>
      <c r="E564"/>
      <c r="F564"/>
      <c r="G564"/>
      <c r="H564"/>
      <c r="I564"/>
      <c r="J564"/>
      <c r="K564"/>
      <c r="L564"/>
      <c r="M564"/>
      <c r="N564"/>
      <c r="O564"/>
      <c r="P564"/>
      <c r="Q564"/>
      <c r="R564"/>
      <c r="S564"/>
      <c r="T564"/>
      <c r="U564"/>
      <c r="V564"/>
      <c r="W564"/>
      <c r="X564"/>
      <c r="Y564"/>
      <c r="Z564"/>
      <c r="AA564"/>
    </row>
    <row r="565" spans="1:27" x14ac:dyDescent="0.4">
      <c r="A565"/>
      <c r="B565"/>
      <c r="C565"/>
      <c r="D565"/>
      <c r="E565"/>
      <c r="F565"/>
      <c r="G565"/>
      <c r="H565"/>
      <c r="I565"/>
      <c r="J565"/>
      <c r="K565"/>
      <c r="L565"/>
      <c r="M565"/>
      <c r="N565"/>
      <c r="O565"/>
      <c r="P565"/>
      <c r="Q565"/>
      <c r="R565"/>
      <c r="S565"/>
      <c r="T565"/>
      <c r="U565"/>
      <c r="V565"/>
      <c r="W565"/>
      <c r="X565"/>
      <c r="Y565"/>
      <c r="Z565"/>
      <c r="AA565"/>
    </row>
    <row r="566" spans="1:27" x14ac:dyDescent="0.4">
      <c r="A566"/>
      <c r="B566"/>
      <c r="C566"/>
      <c r="D566"/>
      <c r="E566"/>
      <c r="F566"/>
      <c r="G566"/>
      <c r="H566"/>
      <c r="I566"/>
      <c r="J566"/>
      <c r="K566"/>
      <c r="L566"/>
      <c r="M566"/>
      <c r="N566"/>
      <c r="O566"/>
      <c r="P566"/>
      <c r="Q566"/>
      <c r="R566"/>
      <c r="S566"/>
      <c r="T566"/>
      <c r="U566"/>
      <c r="V566"/>
      <c r="W566"/>
      <c r="X566"/>
      <c r="Y566"/>
      <c r="Z566"/>
      <c r="AA566"/>
    </row>
    <row r="567" spans="1:27" x14ac:dyDescent="0.4">
      <c r="A567"/>
      <c r="B567"/>
      <c r="C567"/>
      <c r="D567"/>
      <c r="E567"/>
      <c r="F567"/>
      <c r="G567"/>
      <c r="H567"/>
      <c r="I567"/>
      <c r="J567"/>
      <c r="K567"/>
      <c r="L567"/>
      <c r="M567"/>
      <c r="N567"/>
      <c r="O567"/>
      <c r="P567"/>
      <c r="Q567"/>
      <c r="R567"/>
      <c r="S567"/>
      <c r="T567"/>
      <c r="U567"/>
      <c r="V567"/>
      <c r="W567"/>
      <c r="X567"/>
      <c r="Y567"/>
      <c r="Z567"/>
      <c r="AA567"/>
    </row>
    <row r="568" spans="1:27" x14ac:dyDescent="0.4">
      <c r="A568"/>
      <c r="B568"/>
      <c r="C568"/>
      <c r="D568"/>
      <c r="E568"/>
      <c r="F568"/>
      <c r="G568"/>
      <c r="H568"/>
      <c r="I568"/>
      <c r="J568"/>
      <c r="K568"/>
      <c r="L568"/>
      <c r="M568"/>
      <c r="N568"/>
      <c r="O568"/>
      <c r="P568"/>
      <c r="Q568"/>
      <c r="R568"/>
      <c r="S568"/>
      <c r="T568"/>
      <c r="U568"/>
      <c r="V568"/>
      <c r="W568"/>
      <c r="X568"/>
      <c r="Y568"/>
      <c r="Z568"/>
      <c r="AA568"/>
    </row>
    <row r="569" spans="1:27" x14ac:dyDescent="0.4">
      <c r="A569"/>
      <c r="B569"/>
      <c r="C569"/>
      <c r="D569"/>
      <c r="E569"/>
      <c r="F569"/>
      <c r="G569"/>
      <c r="H569"/>
      <c r="I569"/>
      <c r="J569"/>
      <c r="K569"/>
      <c r="L569"/>
      <c r="M569"/>
      <c r="N569"/>
      <c r="O569"/>
      <c r="P569"/>
      <c r="Q569"/>
      <c r="R569"/>
      <c r="S569"/>
      <c r="T569"/>
      <c r="U569"/>
      <c r="V569"/>
      <c r="W569"/>
      <c r="X569"/>
      <c r="Y569"/>
      <c r="Z569"/>
      <c r="AA569"/>
    </row>
    <row r="570" spans="1:27" x14ac:dyDescent="0.4">
      <c r="A570"/>
      <c r="B570"/>
      <c r="C570"/>
      <c r="D570"/>
      <c r="E570"/>
      <c r="F570"/>
      <c r="G570"/>
      <c r="H570"/>
      <c r="I570"/>
      <c r="J570"/>
      <c r="K570"/>
      <c r="L570"/>
      <c r="M570"/>
      <c r="N570"/>
      <c r="O570"/>
      <c r="P570"/>
      <c r="Q570"/>
      <c r="R570"/>
      <c r="S570"/>
      <c r="T570"/>
      <c r="U570"/>
      <c r="V570"/>
      <c r="W570"/>
      <c r="X570"/>
      <c r="Y570"/>
      <c r="Z570"/>
      <c r="AA570"/>
    </row>
    <row r="571" spans="1:27" x14ac:dyDescent="0.4">
      <c r="A571"/>
      <c r="B571"/>
      <c r="C571"/>
      <c r="D571"/>
      <c r="E571"/>
      <c r="F571"/>
      <c r="G571"/>
      <c r="H571"/>
      <c r="I571"/>
      <c r="J571"/>
      <c r="K571"/>
      <c r="L571"/>
      <c r="M571"/>
      <c r="N571"/>
      <c r="O571"/>
      <c r="P571"/>
      <c r="Q571"/>
      <c r="R571"/>
      <c r="S571"/>
      <c r="T571"/>
      <c r="U571"/>
      <c r="V571"/>
      <c r="W571"/>
      <c r="X571"/>
      <c r="Y571"/>
      <c r="Z571"/>
      <c r="AA571"/>
    </row>
    <row r="572" spans="1:27" x14ac:dyDescent="0.4">
      <c r="A572"/>
      <c r="B572"/>
      <c r="C572"/>
      <c r="D572"/>
      <c r="E572"/>
      <c r="F572"/>
      <c r="G572"/>
      <c r="H572"/>
      <c r="I572"/>
      <c r="J572"/>
      <c r="K572"/>
      <c r="L572"/>
      <c r="M572"/>
      <c r="N572"/>
      <c r="O572"/>
      <c r="P572"/>
      <c r="Q572"/>
      <c r="R572"/>
      <c r="S572"/>
      <c r="T572"/>
      <c r="U572"/>
      <c r="V572"/>
      <c r="W572"/>
      <c r="X572"/>
      <c r="Y572"/>
      <c r="Z572"/>
      <c r="AA572"/>
    </row>
    <row r="573" spans="1:27" x14ac:dyDescent="0.4">
      <c r="A573"/>
      <c r="B573"/>
      <c r="C573"/>
      <c r="D573"/>
      <c r="E573"/>
      <c r="F573"/>
      <c r="G573"/>
      <c r="H573"/>
      <c r="I573"/>
      <c r="J573"/>
      <c r="K573"/>
      <c r="L573"/>
      <c r="M573"/>
      <c r="N573"/>
      <c r="O573"/>
      <c r="P573"/>
      <c r="Q573"/>
      <c r="R573"/>
      <c r="S573"/>
      <c r="T573"/>
      <c r="U573"/>
      <c r="V573"/>
      <c r="W573"/>
      <c r="X573"/>
      <c r="Y573"/>
      <c r="Z573"/>
      <c r="AA573"/>
    </row>
    <row r="574" spans="1:27" x14ac:dyDescent="0.4">
      <c r="A574"/>
      <c r="B574"/>
      <c r="C574"/>
      <c r="D574"/>
      <c r="E574"/>
      <c r="F574"/>
      <c r="G574"/>
      <c r="H574"/>
      <c r="I574"/>
      <c r="J574"/>
      <c r="K574"/>
      <c r="L574"/>
      <c r="M574"/>
      <c r="N574"/>
      <c r="O574"/>
      <c r="P574"/>
      <c r="Q574"/>
      <c r="R574"/>
      <c r="S574"/>
      <c r="T574"/>
      <c r="U574"/>
      <c r="V574"/>
      <c r="W574"/>
      <c r="X574"/>
      <c r="Y574"/>
      <c r="Z574"/>
      <c r="AA574"/>
    </row>
    <row r="575" spans="1:27" x14ac:dyDescent="0.4">
      <c r="A575"/>
      <c r="B575"/>
      <c r="C575"/>
      <c r="D575"/>
      <c r="E575"/>
      <c r="F575"/>
      <c r="G575"/>
      <c r="H575"/>
      <c r="I575"/>
      <c r="J575"/>
      <c r="K575"/>
      <c r="L575"/>
      <c r="M575"/>
      <c r="N575"/>
      <c r="O575"/>
      <c r="P575"/>
      <c r="Q575"/>
      <c r="R575"/>
      <c r="S575"/>
      <c r="T575"/>
      <c r="U575"/>
      <c r="V575"/>
      <c r="W575"/>
      <c r="X575"/>
      <c r="Y575"/>
      <c r="Z575"/>
      <c r="AA575"/>
    </row>
    <row r="576" spans="1:27" x14ac:dyDescent="0.4">
      <c r="A576"/>
      <c r="B576"/>
      <c r="C576"/>
      <c r="D576"/>
      <c r="E576"/>
      <c r="F576"/>
      <c r="G576"/>
      <c r="H576"/>
      <c r="I576"/>
      <c r="J576"/>
      <c r="K576"/>
      <c r="L576"/>
      <c r="M576"/>
      <c r="N576"/>
      <c r="O576"/>
      <c r="P576"/>
      <c r="Q576"/>
      <c r="R576"/>
      <c r="S576"/>
      <c r="T576"/>
      <c r="U576"/>
      <c r="V576"/>
      <c r="W576"/>
      <c r="X576"/>
      <c r="Y576"/>
      <c r="Z576"/>
      <c r="AA576"/>
    </row>
    <row r="577" spans="1:27" x14ac:dyDescent="0.4">
      <c r="A577"/>
      <c r="B577"/>
      <c r="C577"/>
      <c r="D577"/>
      <c r="E577"/>
      <c r="F577"/>
      <c r="G577"/>
      <c r="H577"/>
      <c r="I577"/>
      <c r="J577"/>
      <c r="K577"/>
      <c r="L577"/>
      <c r="M577"/>
      <c r="N577"/>
      <c r="O577"/>
      <c r="P577"/>
      <c r="Q577"/>
      <c r="R577"/>
      <c r="S577"/>
      <c r="T577"/>
      <c r="U577"/>
      <c r="V577"/>
      <c r="W577"/>
      <c r="X577"/>
      <c r="Y577"/>
      <c r="Z577"/>
      <c r="AA577"/>
    </row>
    <row r="578" spans="1:27" x14ac:dyDescent="0.4">
      <c r="A578"/>
      <c r="B578"/>
      <c r="C578"/>
      <c r="D578"/>
      <c r="E578"/>
      <c r="F578"/>
      <c r="G578"/>
      <c r="H578"/>
      <c r="I578"/>
      <c r="J578"/>
      <c r="K578"/>
      <c r="L578"/>
      <c r="M578"/>
      <c r="N578"/>
      <c r="O578"/>
      <c r="P578"/>
      <c r="Q578"/>
      <c r="R578"/>
      <c r="S578"/>
      <c r="T578"/>
      <c r="U578"/>
      <c r="V578"/>
      <c r="W578"/>
      <c r="X578"/>
      <c r="Y578"/>
      <c r="Z578"/>
      <c r="AA578"/>
    </row>
    <row r="579" spans="1:27" x14ac:dyDescent="0.4">
      <c r="A579"/>
      <c r="B579"/>
      <c r="C579"/>
      <c r="D579"/>
      <c r="E579"/>
      <c r="F579"/>
      <c r="G579"/>
      <c r="H579"/>
      <c r="I579"/>
      <c r="J579"/>
      <c r="K579"/>
      <c r="L579"/>
      <c r="M579"/>
      <c r="N579"/>
      <c r="O579"/>
      <c r="P579"/>
      <c r="Q579"/>
      <c r="R579"/>
      <c r="S579"/>
      <c r="T579"/>
      <c r="U579"/>
      <c r="V579"/>
      <c r="W579"/>
      <c r="X579"/>
      <c r="Y579"/>
      <c r="Z579"/>
      <c r="AA579"/>
    </row>
    <row r="580" spans="1:27" x14ac:dyDescent="0.4">
      <c r="A580"/>
      <c r="B580"/>
      <c r="C580"/>
      <c r="D580"/>
      <c r="E580"/>
      <c r="F580"/>
      <c r="G580"/>
      <c r="H580"/>
      <c r="I580"/>
      <c r="J580"/>
      <c r="K580"/>
      <c r="L580"/>
      <c r="M580"/>
      <c r="N580"/>
      <c r="O580"/>
      <c r="P580"/>
      <c r="Q580"/>
      <c r="R580"/>
      <c r="S580"/>
      <c r="T580"/>
      <c r="U580"/>
      <c r="V580"/>
      <c r="W580"/>
      <c r="X580"/>
      <c r="Y580"/>
      <c r="Z580"/>
      <c r="AA580"/>
    </row>
    <row r="581" spans="1:27" x14ac:dyDescent="0.4">
      <c r="A581"/>
      <c r="B581"/>
      <c r="C581"/>
      <c r="D581"/>
      <c r="E581"/>
      <c r="F581"/>
      <c r="G581"/>
      <c r="H581"/>
      <c r="I581"/>
      <c r="J581"/>
      <c r="K581"/>
      <c r="L581"/>
      <c r="M581"/>
      <c r="N581"/>
      <c r="O581"/>
      <c r="P581"/>
      <c r="Q581"/>
      <c r="R581"/>
      <c r="S581"/>
      <c r="T581"/>
      <c r="U581"/>
      <c r="V581"/>
      <c r="W581"/>
      <c r="X581"/>
      <c r="Y581"/>
      <c r="Z581"/>
      <c r="AA581"/>
    </row>
    <row r="582" spans="1:27" x14ac:dyDescent="0.4">
      <c r="A582"/>
      <c r="B582"/>
      <c r="C582"/>
      <c r="D582"/>
      <c r="E582"/>
      <c r="F582"/>
      <c r="G582"/>
      <c r="H582"/>
      <c r="I582"/>
      <c r="J582"/>
      <c r="K582"/>
      <c r="L582"/>
      <c r="M582"/>
      <c r="N582"/>
      <c r="O582"/>
      <c r="P582"/>
      <c r="Q582"/>
      <c r="R582"/>
      <c r="S582"/>
      <c r="T582"/>
      <c r="U582"/>
      <c r="V582"/>
      <c r="W582"/>
      <c r="X582"/>
      <c r="Y582"/>
      <c r="Z582"/>
      <c r="AA582"/>
    </row>
    <row r="583" spans="1:27" x14ac:dyDescent="0.4">
      <c r="A583"/>
      <c r="B583"/>
      <c r="C583"/>
      <c r="D583"/>
      <c r="E583"/>
      <c r="F583"/>
      <c r="G583"/>
      <c r="H583"/>
      <c r="I583"/>
      <c r="J583"/>
      <c r="K583"/>
      <c r="L583"/>
      <c r="M583"/>
      <c r="N583"/>
      <c r="O583"/>
      <c r="P583"/>
      <c r="Q583"/>
      <c r="R583"/>
      <c r="S583"/>
      <c r="T583"/>
      <c r="U583"/>
      <c r="V583"/>
      <c r="W583"/>
      <c r="X583"/>
      <c r="Y583"/>
      <c r="Z583"/>
      <c r="AA583"/>
    </row>
    <row r="584" spans="1:27" x14ac:dyDescent="0.4">
      <c r="A584"/>
      <c r="B584"/>
      <c r="C584"/>
      <c r="D584"/>
      <c r="E584"/>
      <c r="F584"/>
      <c r="G584"/>
      <c r="H584"/>
      <c r="I584"/>
      <c r="J584"/>
      <c r="K584"/>
      <c r="L584"/>
      <c r="M584"/>
      <c r="N584"/>
      <c r="O584"/>
      <c r="P584"/>
      <c r="Q584"/>
      <c r="R584"/>
      <c r="S584"/>
      <c r="T584"/>
      <c r="U584"/>
      <c r="V584"/>
      <c r="W584"/>
      <c r="X584"/>
      <c r="Y584"/>
      <c r="Z584"/>
      <c r="AA584"/>
    </row>
    <row r="585" spans="1:27" x14ac:dyDescent="0.4">
      <c r="A585"/>
      <c r="B585"/>
      <c r="C585"/>
      <c r="D585"/>
      <c r="E585"/>
      <c r="F585"/>
      <c r="G585"/>
      <c r="H585"/>
      <c r="I585"/>
      <c r="J585"/>
      <c r="K585"/>
      <c r="L585"/>
      <c r="M585"/>
      <c r="N585"/>
      <c r="O585"/>
      <c r="P585"/>
      <c r="Q585"/>
      <c r="R585"/>
      <c r="S585"/>
      <c r="T585"/>
      <c r="U585"/>
      <c r="V585"/>
      <c r="W585"/>
      <c r="X585"/>
      <c r="Y585"/>
      <c r="Z585"/>
      <c r="AA585"/>
    </row>
    <row r="586" spans="1:27" x14ac:dyDescent="0.4">
      <c r="A586"/>
      <c r="B586"/>
      <c r="C586"/>
      <c r="D586"/>
      <c r="E586"/>
      <c r="F586"/>
      <c r="G586"/>
      <c r="H586"/>
      <c r="I586"/>
      <c r="J586"/>
      <c r="K586"/>
      <c r="L586"/>
      <c r="M586"/>
      <c r="N586"/>
      <c r="O586"/>
      <c r="P586"/>
      <c r="Q586"/>
      <c r="R586"/>
      <c r="S586"/>
      <c r="T586"/>
      <c r="U586"/>
      <c r="V586"/>
      <c r="W586"/>
      <c r="X586"/>
      <c r="Y586"/>
      <c r="Z586"/>
      <c r="AA586"/>
    </row>
    <row r="587" spans="1:27" x14ac:dyDescent="0.4">
      <c r="A587"/>
      <c r="B587"/>
      <c r="C587"/>
      <c r="D587"/>
      <c r="E587"/>
      <c r="F587"/>
      <c r="G587"/>
      <c r="H587"/>
      <c r="I587"/>
      <c r="J587"/>
      <c r="K587"/>
      <c r="L587"/>
      <c r="M587"/>
      <c r="N587"/>
      <c r="O587"/>
      <c r="P587"/>
      <c r="Q587"/>
      <c r="R587"/>
      <c r="S587"/>
      <c r="T587"/>
      <c r="U587"/>
      <c r="V587"/>
      <c r="W587"/>
      <c r="X587"/>
      <c r="Y587"/>
      <c r="Z587"/>
      <c r="AA587"/>
    </row>
    <row r="588" spans="1:27" x14ac:dyDescent="0.4">
      <c r="A588"/>
      <c r="B588"/>
      <c r="C588"/>
      <c r="D588"/>
      <c r="E588"/>
      <c r="F588"/>
      <c r="G588"/>
      <c r="H588"/>
      <c r="I588"/>
      <c r="J588"/>
      <c r="K588"/>
      <c r="L588"/>
      <c r="M588"/>
      <c r="N588"/>
      <c r="O588"/>
      <c r="P588"/>
      <c r="Q588"/>
      <c r="R588"/>
      <c r="S588"/>
      <c r="T588"/>
      <c r="U588"/>
      <c r="V588"/>
      <c r="W588"/>
      <c r="X588"/>
      <c r="Y588"/>
      <c r="Z588"/>
      <c r="AA588"/>
    </row>
    <row r="589" spans="1:27" x14ac:dyDescent="0.4">
      <c r="A589"/>
      <c r="B589"/>
      <c r="C589"/>
      <c r="D589"/>
      <c r="E589"/>
      <c r="F589"/>
      <c r="G589"/>
      <c r="H589"/>
      <c r="I589"/>
      <c r="J589"/>
      <c r="K589"/>
      <c r="L589"/>
      <c r="M589"/>
      <c r="N589"/>
      <c r="O589"/>
      <c r="P589"/>
      <c r="Q589"/>
      <c r="R589"/>
      <c r="S589"/>
      <c r="T589"/>
      <c r="U589"/>
      <c r="V589"/>
      <c r="W589"/>
      <c r="X589"/>
      <c r="Y589"/>
      <c r="Z589"/>
      <c r="AA589"/>
    </row>
    <row r="590" spans="1:27" x14ac:dyDescent="0.4">
      <c r="A590"/>
      <c r="B590"/>
      <c r="C590"/>
      <c r="D590"/>
      <c r="E590"/>
      <c r="F590"/>
      <c r="G590"/>
      <c r="H590"/>
      <c r="I590"/>
      <c r="J590"/>
      <c r="K590"/>
      <c r="L590"/>
      <c r="M590"/>
      <c r="N590"/>
      <c r="O590"/>
      <c r="P590"/>
      <c r="Q590"/>
      <c r="R590"/>
      <c r="S590"/>
      <c r="T590"/>
      <c r="U590"/>
      <c r="V590"/>
      <c r="W590"/>
      <c r="X590"/>
      <c r="Y590"/>
      <c r="Z590"/>
      <c r="AA590"/>
    </row>
    <row r="591" spans="1:27" x14ac:dyDescent="0.4">
      <c r="A591"/>
      <c r="B591"/>
      <c r="C591"/>
      <c r="D591"/>
      <c r="E591"/>
      <c r="F591"/>
      <c r="G591"/>
      <c r="H591"/>
      <c r="I591"/>
      <c r="J591"/>
      <c r="K591"/>
      <c r="L591"/>
      <c r="M591"/>
      <c r="N591"/>
      <c r="O591"/>
      <c r="P591"/>
      <c r="Q591"/>
      <c r="R591"/>
      <c r="S591"/>
      <c r="T591"/>
      <c r="U591"/>
      <c r="V591"/>
      <c r="W591"/>
      <c r="X591"/>
      <c r="Y591"/>
      <c r="Z591"/>
      <c r="AA591"/>
    </row>
    <row r="592" spans="1:27" x14ac:dyDescent="0.4">
      <c r="A592"/>
      <c r="B592"/>
      <c r="C592"/>
      <c r="D592"/>
      <c r="E592"/>
      <c r="F592"/>
      <c r="G592"/>
      <c r="H592"/>
      <c r="I592"/>
      <c r="J592"/>
      <c r="K592"/>
      <c r="L592"/>
      <c r="M592"/>
      <c r="N592"/>
      <c r="O592"/>
      <c r="P592"/>
      <c r="Q592"/>
      <c r="R592"/>
      <c r="S592"/>
      <c r="T592"/>
      <c r="U592"/>
      <c r="V592"/>
      <c r="W592"/>
      <c r="X592"/>
      <c r="Y592"/>
      <c r="Z592"/>
      <c r="AA592"/>
    </row>
    <row r="593" spans="1:27" x14ac:dyDescent="0.4">
      <c r="A593"/>
      <c r="B593"/>
      <c r="C593"/>
      <c r="D593"/>
      <c r="E593"/>
      <c r="F593"/>
      <c r="G593"/>
      <c r="H593"/>
      <c r="I593"/>
      <c r="J593"/>
      <c r="K593"/>
      <c r="L593"/>
      <c r="M593"/>
      <c r="N593"/>
      <c r="O593"/>
      <c r="P593"/>
      <c r="Q593"/>
      <c r="R593"/>
      <c r="S593"/>
      <c r="T593"/>
      <c r="U593"/>
      <c r="V593"/>
      <c r="W593"/>
      <c r="X593"/>
      <c r="Y593"/>
      <c r="Z593"/>
      <c r="AA593"/>
    </row>
    <row r="594" spans="1:27" x14ac:dyDescent="0.4">
      <c r="A594"/>
      <c r="B594"/>
      <c r="C594"/>
      <c r="D594"/>
      <c r="E594"/>
      <c r="F594"/>
      <c r="G594"/>
      <c r="H594"/>
      <c r="I594"/>
      <c r="J594"/>
      <c r="K594"/>
      <c r="L594"/>
      <c r="M594"/>
      <c r="N594"/>
      <c r="O594"/>
      <c r="P594"/>
      <c r="Q594"/>
      <c r="R594"/>
      <c r="S594"/>
      <c r="T594"/>
      <c r="U594"/>
      <c r="V594"/>
      <c r="W594"/>
      <c r="X594"/>
      <c r="Y594"/>
      <c r="Z594"/>
      <c r="AA594"/>
    </row>
    <row r="595" spans="1:27" x14ac:dyDescent="0.4">
      <c r="A595"/>
      <c r="B595"/>
      <c r="C595"/>
      <c r="D595"/>
      <c r="E595"/>
      <c r="F595"/>
      <c r="G595"/>
      <c r="H595"/>
      <c r="I595"/>
      <c r="J595"/>
      <c r="K595"/>
      <c r="L595"/>
      <c r="M595"/>
      <c r="N595"/>
      <c r="O595"/>
      <c r="P595"/>
      <c r="Q595"/>
      <c r="R595"/>
      <c r="S595"/>
      <c r="T595"/>
      <c r="U595"/>
      <c r="V595"/>
      <c r="W595"/>
      <c r="X595"/>
      <c r="Y595"/>
      <c r="Z595"/>
      <c r="AA595"/>
    </row>
    <row r="596" spans="1:27" x14ac:dyDescent="0.4">
      <c r="A596"/>
      <c r="B596"/>
      <c r="C596"/>
      <c r="D596"/>
      <c r="E596"/>
      <c r="F596"/>
      <c r="G596"/>
      <c r="H596"/>
      <c r="I596"/>
      <c r="J596"/>
      <c r="K596"/>
      <c r="L596"/>
      <c r="M596"/>
      <c r="N596"/>
      <c r="O596"/>
      <c r="P596"/>
      <c r="Q596"/>
      <c r="R596"/>
      <c r="S596"/>
      <c r="T596"/>
      <c r="U596"/>
      <c r="V596"/>
      <c r="W596"/>
      <c r="X596"/>
      <c r="Y596"/>
      <c r="Z596"/>
      <c r="AA596"/>
    </row>
    <row r="597" spans="1:27" x14ac:dyDescent="0.4">
      <c r="A597"/>
      <c r="B597"/>
      <c r="C597"/>
      <c r="D597"/>
      <c r="E597"/>
      <c r="F597"/>
      <c r="G597"/>
      <c r="H597"/>
      <c r="I597"/>
      <c r="J597"/>
      <c r="K597"/>
      <c r="L597"/>
      <c r="M597"/>
      <c r="N597"/>
      <c r="O597"/>
      <c r="P597"/>
      <c r="Q597"/>
      <c r="R597"/>
      <c r="S597"/>
      <c r="T597"/>
      <c r="U597"/>
      <c r="V597"/>
      <c r="W597"/>
      <c r="X597"/>
      <c r="Y597"/>
      <c r="Z597"/>
      <c r="AA597"/>
    </row>
    <row r="598" spans="1:27" x14ac:dyDescent="0.4">
      <c r="A598"/>
      <c r="B598"/>
      <c r="C598"/>
      <c r="D598"/>
      <c r="E598"/>
      <c r="F598"/>
      <c r="G598"/>
      <c r="H598"/>
      <c r="I598"/>
      <c r="J598"/>
      <c r="K598"/>
      <c r="L598"/>
      <c r="M598"/>
      <c r="N598"/>
      <c r="O598"/>
      <c r="P598"/>
      <c r="Q598"/>
      <c r="R598"/>
      <c r="S598"/>
      <c r="T598"/>
      <c r="U598"/>
      <c r="V598"/>
      <c r="W598"/>
      <c r="X598"/>
      <c r="Y598"/>
      <c r="Z598"/>
      <c r="AA598"/>
    </row>
    <row r="599" spans="1:27" x14ac:dyDescent="0.4">
      <c r="A599"/>
      <c r="B599"/>
      <c r="C599"/>
      <c r="D599"/>
      <c r="E599"/>
      <c r="F599"/>
      <c r="G599"/>
      <c r="H599"/>
      <c r="I599"/>
      <c r="J599"/>
      <c r="K599"/>
      <c r="L599"/>
      <c r="M599"/>
      <c r="N599"/>
      <c r="O599"/>
      <c r="P599"/>
      <c r="Q599"/>
      <c r="R599"/>
      <c r="S599"/>
      <c r="T599"/>
      <c r="U599"/>
      <c r="V599"/>
      <c r="W599"/>
      <c r="X599"/>
      <c r="Y599"/>
      <c r="Z599"/>
      <c r="AA599"/>
    </row>
    <row r="600" spans="1:27" x14ac:dyDescent="0.4">
      <c r="A600"/>
      <c r="B600"/>
      <c r="C600"/>
      <c r="D600"/>
      <c r="E600"/>
      <c r="F600"/>
      <c r="G600"/>
      <c r="H600"/>
      <c r="I600"/>
      <c r="J600"/>
      <c r="K600"/>
      <c r="L600"/>
      <c r="M600"/>
      <c r="N600"/>
      <c r="O600"/>
      <c r="P600"/>
      <c r="Q600"/>
      <c r="R600"/>
      <c r="S600"/>
      <c r="T600"/>
      <c r="U600"/>
      <c r="V600"/>
      <c r="W600"/>
      <c r="X600"/>
      <c r="Y600"/>
      <c r="Z600"/>
      <c r="AA600"/>
    </row>
    <row r="601" spans="1:27" x14ac:dyDescent="0.4">
      <c r="A601"/>
      <c r="B601"/>
      <c r="C601"/>
      <c r="D601"/>
      <c r="E601"/>
      <c r="F601"/>
      <c r="G601"/>
      <c r="H601"/>
      <c r="I601"/>
      <c r="J601"/>
      <c r="K601"/>
      <c r="L601"/>
      <c r="M601"/>
      <c r="N601"/>
      <c r="O601"/>
      <c r="P601"/>
      <c r="Q601"/>
      <c r="R601"/>
      <c r="S601"/>
      <c r="T601"/>
      <c r="U601"/>
      <c r="V601"/>
      <c r="W601"/>
      <c r="X601"/>
      <c r="Y601"/>
      <c r="Z601"/>
      <c r="AA601"/>
    </row>
    <row r="602" spans="1:27" x14ac:dyDescent="0.4">
      <c r="A602"/>
      <c r="B602"/>
      <c r="C602"/>
      <c r="D602"/>
      <c r="E602"/>
      <c r="F602"/>
      <c r="G602"/>
      <c r="H602"/>
      <c r="I602"/>
      <c r="J602"/>
      <c r="K602"/>
      <c r="L602"/>
      <c r="M602"/>
      <c r="N602"/>
      <c r="O602"/>
      <c r="P602"/>
      <c r="Q602"/>
      <c r="R602"/>
      <c r="S602"/>
      <c r="T602"/>
      <c r="U602"/>
      <c r="V602"/>
      <c r="W602"/>
      <c r="X602"/>
      <c r="Y602"/>
      <c r="Z602"/>
      <c r="AA602"/>
    </row>
    <row r="603" spans="1:27" x14ac:dyDescent="0.4">
      <c r="A603"/>
      <c r="B603"/>
      <c r="C603"/>
      <c r="D603"/>
      <c r="E603"/>
      <c r="F603"/>
      <c r="G603"/>
      <c r="H603"/>
      <c r="I603"/>
      <c r="J603"/>
      <c r="K603"/>
      <c r="L603"/>
      <c r="M603"/>
      <c r="N603"/>
      <c r="O603"/>
      <c r="P603"/>
      <c r="Q603"/>
      <c r="R603"/>
      <c r="S603"/>
      <c r="T603"/>
      <c r="U603"/>
      <c r="V603"/>
      <c r="W603"/>
      <c r="X603"/>
      <c r="Y603"/>
      <c r="Z603"/>
      <c r="AA603"/>
    </row>
    <row r="604" spans="1:27" x14ac:dyDescent="0.4">
      <c r="A604"/>
      <c r="B604"/>
      <c r="C604"/>
      <c r="D604"/>
      <c r="E604"/>
      <c r="F604"/>
      <c r="G604"/>
      <c r="H604"/>
      <c r="I604"/>
      <c r="J604"/>
      <c r="K604"/>
      <c r="L604"/>
      <c r="M604"/>
      <c r="N604"/>
      <c r="O604"/>
      <c r="P604"/>
      <c r="Q604"/>
      <c r="R604"/>
      <c r="S604"/>
      <c r="T604"/>
      <c r="U604"/>
      <c r="V604"/>
      <c r="W604"/>
      <c r="X604"/>
      <c r="Y604"/>
      <c r="Z604"/>
      <c r="AA604"/>
    </row>
    <row r="605" spans="1:27" x14ac:dyDescent="0.4">
      <c r="A605"/>
      <c r="B605"/>
      <c r="C605"/>
      <c r="D605"/>
      <c r="E605"/>
      <c r="F605"/>
      <c r="G605"/>
      <c r="H605"/>
      <c r="I605"/>
      <c r="J605"/>
      <c r="K605"/>
      <c r="L605"/>
      <c r="M605"/>
      <c r="N605"/>
      <c r="O605"/>
      <c r="P605"/>
      <c r="Q605"/>
      <c r="R605"/>
      <c r="S605"/>
      <c r="T605"/>
      <c r="U605"/>
      <c r="V605"/>
      <c r="W605"/>
      <c r="X605"/>
      <c r="Y605"/>
      <c r="Z605"/>
      <c r="AA605"/>
    </row>
    <row r="606" spans="1:27" x14ac:dyDescent="0.4">
      <c r="A606"/>
      <c r="B606"/>
      <c r="C606"/>
      <c r="D606"/>
      <c r="E606"/>
      <c r="F606"/>
      <c r="G606"/>
      <c r="H606"/>
      <c r="I606"/>
      <c r="J606"/>
      <c r="K606"/>
      <c r="L606"/>
      <c r="M606"/>
      <c r="N606"/>
      <c r="O606"/>
      <c r="P606"/>
      <c r="Q606"/>
      <c r="R606"/>
      <c r="S606"/>
      <c r="T606"/>
      <c r="U606"/>
      <c r="V606"/>
      <c r="W606"/>
      <c r="X606"/>
      <c r="Y606"/>
      <c r="Z606"/>
      <c r="AA606"/>
    </row>
    <row r="607" spans="1:27" x14ac:dyDescent="0.4">
      <c r="A607"/>
      <c r="B607"/>
      <c r="C607"/>
      <c r="D607"/>
      <c r="E607"/>
      <c r="F607"/>
      <c r="G607"/>
      <c r="H607"/>
      <c r="I607"/>
      <c r="J607"/>
      <c r="K607"/>
      <c r="L607"/>
      <c r="M607"/>
      <c r="N607"/>
      <c r="O607"/>
      <c r="P607"/>
      <c r="Q607"/>
      <c r="R607"/>
      <c r="S607"/>
      <c r="T607"/>
      <c r="U607"/>
      <c r="V607"/>
      <c r="W607"/>
      <c r="X607"/>
      <c r="Y607"/>
      <c r="Z607"/>
      <c r="AA607"/>
    </row>
    <row r="608" spans="1:27" x14ac:dyDescent="0.4">
      <c r="A608"/>
      <c r="B608"/>
      <c r="C608"/>
      <c r="D608"/>
      <c r="E608"/>
      <c r="F608"/>
      <c r="G608"/>
      <c r="H608"/>
      <c r="I608"/>
      <c r="J608"/>
      <c r="K608"/>
      <c r="L608"/>
      <c r="M608"/>
      <c r="N608"/>
      <c r="O608"/>
      <c r="P608"/>
      <c r="Q608"/>
      <c r="R608"/>
      <c r="S608"/>
      <c r="T608"/>
      <c r="U608"/>
      <c r="V608"/>
      <c r="W608"/>
      <c r="X608"/>
      <c r="Y608"/>
      <c r="Z608"/>
      <c r="AA608"/>
    </row>
    <row r="609" spans="1:27" x14ac:dyDescent="0.4">
      <c r="A609"/>
      <c r="B609"/>
      <c r="C609"/>
      <c r="D609"/>
      <c r="E609"/>
      <c r="F609"/>
      <c r="G609"/>
      <c r="H609"/>
      <c r="I609"/>
      <c r="J609"/>
      <c r="K609"/>
      <c r="L609"/>
      <c r="M609"/>
      <c r="N609"/>
      <c r="O609"/>
      <c r="P609"/>
      <c r="Q609"/>
      <c r="R609"/>
      <c r="S609"/>
      <c r="T609"/>
      <c r="U609"/>
      <c r="V609"/>
      <c r="W609"/>
      <c r="X609"/>
      <c r="Y609"/>
      <c r="Z609"/>
      <c r="AA609"/>
    </row>
    <row r="610" spans="1:27" x14ac:dyDescent="0.4">
      <c r="A610"/>
      <c r="B610"/>
      <c r="C610"/>
      <c r="D610"/>
      <c r="E610"/>
      <c r="F610"/>
      <c r="G610"/>
      <c r="H610"/>
      <c r="I610"/>
      <c r="J610"/>
      <c r="K610"/>
      <c r="L610"/>
      <c r="M610"/>
      <c r="N610"/>
      <c r="O610"/>
      <c r="P610"/>
      <c r="Q610"/>
      <c r="R610"/>
      <c r="S610"/>
      <c r="T610"/>
      <c r="U610"/>
      <c r="V610"/>
      <c r="W610"/>
      <c r="X610"/>
      <c r="Y610"/>
      <c r="Z610"/>
      <c r="AA610"/>
    </row>
    <row r="611" spans="1:27" x14ac:dyDescent="0.4">
      <c r="A611"/>
      <c r="B611"/>
      <c r="C611"/>
      <c r="D611"/>
      <c r="E611"/>
      <c r="F611"/>
      <c r="G611"/>
      <c r="H611"/>
      <c r="I611"/>
      <c r="J611"/>
      <c r="K611"/>
      <c r="L611"/>
      <c r="M611"/>
      <c r="N611"/>
      <c r="O611"/>
      <c r="P611"/>
      <c r="Q611"/>
      <c r="R611"/>
      <c r="S611"/>
      <c r="T611"/>
      <c r="U611"/>
      <c r="V611"/>
      <c r="W611"/>
      <c r="X611"/>
      <c r="Y611"/>
      <c r="Z611"/>
      <c r="AA611"/>
    </row>
    <row r="612" spans="1:27" x14ac:dyDescent="0.4">
      <c r="A612"/>
      <c r="B612"/>
      <c r="C612"/>
      <c r="D612"/>
      <c r="E612"/>
      <c r="F612"/>
      <c r="G612"/>
      <c r="H612"/>
      <c r="I612"/>
      <c r="J612"/>
      <c r="K612"/>
      <c r="L612"/>
      <c r="M612"/>
      <c r="N612"/>
      <c r="O612"/>
      <c r="P612"/>
      <c r="Q612"/>
      <c r="R612"/>
      <c r="S612"/>
      <c r="T612"/>
      <c r="U612"/>
      <c r="V612"/>
      <c r="W612"/>
      <c r="X612"/>
      <c r="Y612"/>
      <c r="Z612"/>
      <c r="AA612"/>
    </row>
    <row r="613" spans="1:27" x14ac:dyDescent="0.4">
      <c r="A613"/>
      <c r="B613"/>
      <c r="C613"/>
      <c r="D613"/>
      <c r="E613"/>
      <c r="F613"/>
      <c r="G613"/>
      <c r="H613"/>
      <c r="I613"/>
      <c r="J613"/>
      <c r="K613"/>
      <c r="L613"/>
      <c r="M613"/>
      <c r="N613"/>
      <c r="O613"/>
      <c r="P613"/>
      <c r="Q613"/>
      <c r="R613"/>
      <c r="S613"/>
      <c r="T613"/>
      <c r="U613"/>
      <c r="V613"/>
      <c r="W613"/>
      <c r="X613"/>
      <c r="Y613"/>
      <c r="Z613"/>
      <c r="AA613"/>
    </row>
    <row r="614" spans="1:27" x14ac:dyDescent="0.4">
      <c r="A614"/>
      <c r="B614"/>
      <c r="C614"/>
      <c r="D614"/>
      <c r="E614"/>
      <c r="F614"/>
      <c r="G614"/>
      <c r="H614"/>
      <c r="I614"/>
      <c r="J614"/>
      <c r="K614"/>
      <c r="L614"/>
      <c r="M614"/>
      <c r="N614"/>
      <c r="O614"/>
      <c r="P614"/>
      <c r="Q614"/>
      <c r="R614"/>
      <c r="S614"/>
      <c r="T614"/>
      <c r="U614"/>
      <c r="V614"/>
      <c r="W614"/>
      <c r="X614"/>
      <c r="Y614"/>
      <c r="Z614"/>
      <c r="AA614"/>
    </row>
    <row r="615" spans="1:27" x14ac:dyDescent="0.4">
      <c r="A615"/>
      <c r="B615"/>
      <c r="C615"/>
      <c r="D615"/>
      <c r="E615"/>
      <c r="F615"/>
      <c r="G615"/>
      <c r="H615"/>
      <c r="I615"/>
      <c r="J615"/>
      <c r="K615"/>
      <c r="L615"/>
      <c r="M615"/>
      <c r="N615"/>
      <c r="O615"/>
      <c r="P615"/>
      <c r="Q615"/>
      <c r="R615"/>
      <c r="S615"/>
      <c r="T615"/>
      <c r="U615"/>
      <c r="V615"/>
      <c r="W615"/>
      <c r="X615"/>
      <c r="Y615"/>
      <c r="Z615"/>
      <c r="AA615"/>
    </row>
    <row r="616" spans="1:27" x14ac:dyDescent="0.4">
      <c r="A616"/>
      <c r="B616"/>
      <c r="C616"/>
      <c r="D616"/>
      <c r="E616"/>
      <c r="F616"/>
      <c r="G616"/>
      <c r="H616"/>
      <c r="I616"/>
      <c r="J616"/>
      <c r="K616"/>
      <c r="L616"/>
      <c r="M616"/>
      <c r="N616"/>
      <c r="O616"/>
      <c r="P616"/>
      <c r="Q616"/>
      <c r="R616"/>
      <c r="S616"/>
      <c r="T616"/>
      <c r="U616"/>
      <c r="V616"/>
      <c r="W616"/>
      <c r="X616"/>
      <c r="Y616"/>
      <c r="Z616"/>
      <c r="AA616"/>
    </row>
    <row r="617" spans="1:27" x14ac:dyDescent="0.4">
      <c r="A617"/>
      <c r="B617"/>
      <c r="C617"/>
      <c r="D617"/>
      <c r="E617"/>
      <c r="F617"/>
      <c r="G617"/>
      <c r="H617"/>
      <c r="I617"/>
      <c r="J617"/>
      <c r="K617"/>
      <c r="L617"/>
      <c r="M617"/>
      <c r="N617"/>
      <c r="O617"/>
      <c r="P617"/>
      <c r="Q617"/>
      <c r="R617"/>
      <c r="S617"/>
      <c r="T617"/>
      <c r="U617"/>
      <c r="V617"/>
      <c r="W617"/>
      <c r="X617"/>
      <c r="Y617"/>
      <c r="Z617"/>
      <c r="AA617"/>
    </row>
    <row r="618" spans="1:27" x14ac:dyDescent="0.4">
      <c r="A618"/>
      <c r="B618"/>
      <c r="C618"/>
      <c r="D618"/>
      <c r="E618"/>
      <c r="F618"/>
      <c r="G618"/>
      <c r="H618"/>
      <c r="I618"/>
      <c r="J618"/>
      <c r="K618"/>
      <c r="L618"/>
      <c r="M618"/>
      <c r="N618"/>
      <c r="O618"/>
      <c r="P618"/>
      <c r="Q618"/>
      <c r="R618"/>
      <c r="S618"/>
      <c r="T618"/>
      <c r="U618"/>
      <c r="V618"/>
      <c r="W618"/>
      <c r="X618"/>
      <c r="Y618"/>
      <c r="Z618"/>
      <c r="AA618"/>
    </row>
    <row r="619" spans="1:27" x14ac:dyDescent="0.4">
      <c r="A619"/>
      <c r="B619"/>
      <c r="C619"/>
      <c r="D619"/>
      <c r="E619"/>
      <c r="F619"/>
      <c r="G619"/>
      <c r="H619"/>
      <c r="I619"/>
      <c r="J619"/>
      <c r="K619"/>
      <c r="L619"/>
      <c r="M619"/>
      <c r="N619"/>
      <c r="O619"/>
      <c r="P619"/>
      <c r="Q619"/>
      <c r="R619"/>
      <c r="S619"/>
      <c r="T619"/>
      <c r="U619"/>
      <c r="V619"/>
      <c r="W619"/>
      <c r="X619"/>
      <c r="Y619"/>
      <c r="Z619"/>
      <c r="AA619"/>
    </row>
    <row r="620" spans="1:27" x14ac:dyDescent="0.4">
      <c r="A620"/>
      <c r="B620"/>
      <c r="C620"/>
      <c r="D620"/>
      <c r="E620"/>
      <c r="F620"/>
      <c r="G620"/>
      <c r="H620"/>
      <c r="I620"/>
      <c r="J620"/>
      <c r="K620"/>
      <c r="L620"/>
      <c r="M620"/>
      <c r="N620"/>
      <c r="O620"/>
      <c r="P620"/>
      <c r="Q620"/>
      <c r="R620"/>
      <c r="S620"/>
      <c r="T620"/>
      <c r="U620"/>
      <c r="V620"/>
      <c r="W620"/>
      <c r="X620"/>
      <c r="Y620"/>
      <c r="Z620"/>
      <c r="AA620"/>
    </row>
    <row r="621" spans="1:27" x14ac:dyDescent="0.4">
      <c r="A621"/>
      <c r="B621"/>
      <c r="C621"/>
      <c r="D621"/>
      <c r="E621"/>
      <c r="F621"/>
      <c r="G621"/>
      <c r="H621"/>
      <c r="I621"/>
      <c r="J621"/>
      <c r="K621"/>
      <c r="L621"/>
      <c r="M621"/>
      <c r="N621"/>
      <c r="O621"/>
      <c r="P621"/>
      <c r="Q621"/>
      <c r="R621"/>
      <c r="S621"/>
      <c r="T621"/>
      <c r="U621"/>
      <c r="V621"/>
      <c r="W621"/>
      <c r="X621"/>
      <c r="Y621"/>
      <c r="Z621"/>
      <c r="AA621"/>
    </row>
    <row r="622" spans="1:27" x14ac:dyDescent="0.4">
      <c r="A622"/>
      <c r="B622"/>
      <c r="C622"/>
      <c r="D622"/>
      <c r="E622"/>
      <c r="F622"/>
      <c r="G622"/>
      <c r="H622"/>
      <c r="I622"/>
      <c r="J622"/>
      <c r="K622"/>
      <c r="L622"/>
      <c r="M622"/>
      <c r="N622"/>
      <c r="O622"/>
      <c r="P622"/>
      <c r="Q622"/>
      <c r="R622"/>
      <c r="S622"/>
      <c r="T622"/>
      <c r="U622"/>
      <c r="V622"/>
      <c r="W622"/>
      <c r="X622"/>
      <c r="Y622"/>
      <c r="Z622"/>
      <c r="AA622"/>
    </row>
    <row r="623" spans="1:27" x14ac:dyDescent="0.4">
      <c r="A623"/>
      <c r="B623"/>
      <c r="C623"/>
      <c r="D623"/>
      <c r="E623"/>
      <c r="F623"/>
      <c r="G623"/>
      <c r="H623"/>
      <c r="I623"/>
      <c r="J623"/>
      <c r="K623"/>
      <c r="L623"/>
      <c r="M623"/>
      <c r="N623"/>
      <c r="O623"/>
      <c r="P623"/>
      <c r="Q623"/>
      <c r="R623"/>
      <c r="S623"/>
      <c r="T623"/>
      <c r="U623"/>
      <c r="V623"/>
      <c r="W623"/>
      <c r="X623"/>
      <c r="Y623"/>
      <c r="Z623"/>
      <c r="AA623"/>
    </row>
    <row r="624" spans="1:27" x14ac:dyDescent="0.4">
      <c r="A624"/>
      <c r="B624"/>
      <c r="C624"/>
      <c r="D624"/>
      <c r="E624"/>
      <c r="F624"/>
      <c r="G624"/>
      <c r="H624"/>
      <c r="I624"/>
      <c r="J624"/>
      <c r="K624"/>
      <c r="L624"/>
      <c r="M624"/>
      <c r="N624"/>
      <c r="O624"/>
      <c r="P624"/>
      <c r="Q624"/>
      <c r="R624"/>
      <c r="S624"/>
      <c r="T624"/>
      <c r="U624"/>
      <c r="V624"/>
      <c r="W624"/>
      <c r="X624"/>
      <c r="Y624"/>
      <c r="Z624"/>
      <c r="AA624"/>
    </row>
    <row r="625" spans="1:27" x14ac:dyDescent="0.4">
      <c r="A625"/>
      <c r="B625"/>
      <c r="C625"/>
      <c r="D625"/>
      <c r="E625"/>
      <c r="F625"/>
      <c r="G625"/>
      <c r="H625"/>
      <c r="I625"/>
      <c r="J625"/>
      <c r="K625"/>
      <c r="L625"/>
      <c r="M625"/>
      <c r="N625"/>
      <c r="O625"/>
      <c r="P625"/>
      <c r="Q625"/>
      <c r="R625"/>
      <c r="S625"/>
      <c r="T625"/>
      <c r="U625"/>
      <c r="V625"/>
      <c r="W625"/>
      <c r="X625"/>
      <c r="Y625"/>
      <c r="Z625"/>
      <c r="AA625"/>
    </row>
    <row r="626" spans="1:27" x14ac:dyDescent="0.4">
      <c r="A626"/>
      <c r="B626"/>
      <c r="C626"/>
      <c r="D626"/>
      <c r="E626"/>
      <c r="F626"/>
      <c r="G626"/>
      <c r="H626"/>
      <c r="I626"/>
      <c r="J626"/>
      <c r="K626"/>
      <c r="L626"/>
      <c r="M626"/>
      <c r="N626"/>
      <c r="O626"/>
      <c r="P626"/>
      <c r="Q626"/>
      <c r="R626"/>
      <c r="S626"/>
      <c r="T626"/>
      <c r="U626"/>
      <c r="V626"/>
      <c r="W626"/>
      <c r="X626"/>
      <c r="Y626"/>
      <c r="Z626"/>
      <c r="AA626"/>
    </row>
    <row r="627" spans="1:27" x14ac:dyDescent="0.4">
      <c r="A627"/>
      <c r="B627"/>
      <c r="C627"/>
      <c r="D627"/>
      <c r="E627"/>
      <c r="F627"/>
      <c r="G627"/>
      <c r="H627"/>
      <c r="I627"/>
      <c r="J627"/>
      <c r="K627"/>
      <c r="L627"/>
      <c r="M627"/>
      <c r="N627"/>
      <c r="O627"/>
      <c r="P627"/>
      <c r="Q627"/>
      <c r="R627"/>
      <c r="S627"/>
      <c r="T627"/>
      <c r="U627"/>
      <c r="V627"/>
      <c r="W627"/>
      <c r="X627"/>
      <c r="Y627"/>
      <c r="Z627"/>
      <c r="AA627"/>
    </row>
    <row r="628" spans="1:27" x14ac:dyDescent="0.4">
      <c r="A628"/>
      <c r="B628"/>
      <c r="C628"/>
      <c r="D628"/>
      <c r="E628"/>
      <c r="F628"/>
      <c r="G628"/>
      <c r="H628"/>
      <c r="I628"/>
      <c r="J628"/>
      <c r="K628"/>
      <c r="L628"/>
      <c r="M628"/>
      <c r="N628"/>
      <c r="O628"/>
      <c r="P628"/>
      <c r="Q628"/>
      <c r="R628"/>
      <c r="S628"/>
      <c r="T628"/>
      <c r="U628"/>
      <c r="V628"/>
      <c r="W628"/>
      <c r="X628"/>
      <c r="Y628"/>
      <c r="Z628"/>
      <c r="AA628"/>
    </row>
    <row r="629" spans="1:27" x14ac:dyDescent="0.4">
      <c r="A629"/>
      <c r="B629"/>
      <c r="C629"/>
      <c r="D629"/>
      <c r="E629"/>
      <c r="F629"/>
      <c r="G629"/>
      <c r="H629"/>
      <c r="I629"/>
      <c r="J629"/>
      <c r="K629"/>
      <c r="L629"/>
      <c r="M629"/>
      <c r="N629"/>
      <c r="O629"/>
      <c r="P629"/>
      <c r="Q629"/>
      <c r="R629"/>
      <c r="S629"/>
      <c r="T629"/>
      <c r="U629"/>
      <c r="V629"/>
      <c r="W629"/>
      <c r="X629"/>
      <c r="Y629"/>
      <c r="Z629"/>
      <c r="AA629"/>
    </row>
    <row r="630" spans="1:27" x14ac:dyDescent="0.4">
      <c r="A630"/>
      <c r="B630"/>
      <c r="C630"/>
      <c r="D630"/>
      <c r="E630"/>
      <c r="F630"/>
      <c r="G630"/>
      <c r="H630"/>
      <c r="I630"/>
      <c r="J630"/>
      <c r="K630"/>
      <c r="L630"/>
      <c r="M630"/>
      <c r="N630"/>
      <c r="O630"/>
      <c r="P630"/>
      <c r="Q630"/>
      <c r="R630"/>
      <c r="S630"/>
      <c r="T630"/>
      <c r="U630"/>
      <c r="V630"/>
      <c r="W630"/>
      <c r="X630"/>
      <c r="Y630"/>
      <c r="Z630"/>
      <c r="AA630"/>
    </row>
    <row r="631" spans="1:27" x14ac:dyDescent="0.4">
      <c r="A631"/>
      <c r="B631"/>
      <c r="C631"/>
      <c r="D631"/>
      <c r="E631"/>
      <c r="F631"/>
      <c r="G631"/>
      <c r="H631"/>
      <c r="I631"/>
      <c r="J631"/>
      <c r="K631"/>
      <c r="L631"/>
      <c r="M631"/>
      <c r="N631"/>
      <c r="O631"/>
      <c r="P631"/>
      <c r="Q631"/>
      <c r="R631"/>
      <c r="S631"/>
      <c r="T631"/>
      <c r="U631"/>
      <c r="V631"/>
      <c r="W631"/>
      <c r="X631"/>
      <c r="Y631"/>
      <c r="Z631"/>
      <c r="AA631"/>
    </row>
    <row r="632" spans="1:27" x14ac:dyDescent="0.4">
      <c r="A632"/>
      <c r="B632"/>
      <c r="C632"/>
      <c r="D632"/>
      <c r="E632"/>
      <c r="F632"/>
      <c r="G632"/>
      <c r="H632"/>
      <c r="I632"/>
      <c r="J632"/>
      <c r="K632"/>
      <c r="L632"/>
      <c r="M632"/>
      <c r="N632"/>
      <c r="O632"/>
      <c r="P632"/>
      <c r="Q632"/>
      <c r="R632"/>
      <c r="S632"/>
      <c r="T632"/>
      <c r="U632"/>
      <c r="V632"/>
      <c r="W632"/>
      <c r="X632"/>
      <c r="Y632"/>
      <c r="Z632"/>
      <c r="AA632"/>
    </row>
    <row r="633" spans="1:27" x14ac:dyDescent="0.4">
      <c r="A633"/>
      <c r="B633"/>
      <c r="C633"/>
      <c r="D633"/>
      <c r="E633"/>
      <c r="F633"/>
      <c r="G633"/>
      <c r="H633"/>
      <c r="I633"/>
      <c r="J633"/>
      <c r="K633"/>
      <c r="L633"/>
      <c r="M633"/>
      <c r="N633"/>
      <c r="O633"/>
      <c r="P633"/>
      <c r="Q633"/>
      <c r="R633"/>
      <c r="S633"/>
      <c r="T633"/>
      <c r="U633"/>
      <c r="V633"/>
      <c r="W633"/>
      <c r="X633"/>
      <c r="Y633"/>
      <c r="Z633"/>
      <c r="AA633"/>
    </row>
    <row r="634" spans="1:27" x14ac:dyDescent="0.4">
      <c r="A634"/>
      <c r="B634"/>
      <c r="C634"/>
      <c r="D634"/>
      <c r="E634"/>
      <c r="F634"/>
      <c r="G634"/>
      <c r="H634"/>
      <c r="I634"/>
      <c r="J634"/>
      <c r="K634"/>
      <c r="L634"/>
      <c r="M634"/>
      <c r="N634"/>
      <c r="O634"/>
      <c r="P634"/>
      <c r="Q634"/>
      <c r="R634"/>
      <c r="S634"/>
      <c r="T634"/>
      <c r="U634"/>
      <c r="V634"/>
      <c r="W634"/>
      <c r="X634"/>
      <c r="Y634"/>
      <c r="Z634"/>
      <c r="AA634"/>
    </row>
    <row r="635" spans="1:27" x14ac:dyDescent="0.4">
      <c r="A635"/>
      <c r="B635"/>
      <c r="C635"/>
      <c r="D635"/>
      <c r="E635"/>
      <c r="F635"/>
      <c r="G635"/>
      <c r="H635"/>
      <c r="I635"/>
      <c r="J635"/>
      <c r="K635"/>
      <c r="L635"/>
      <c r="M635"/>
      <c r="N635"/>
      <c r="O635"/>
      <c r="P635"/>
      <c r="Q635"/>
      <c r="R635"/>
      <c r="S635"/>
      <c r="T635"/>
      <c r="U635"/>
      <c r="V635"/>
      <c r="W635"/>
      <c r="X635"/>
      <c r="Y635"/>
      <c r="Z635"/>
      <c r="AA635"/>
    </row>
    <row r="636" spans="1:27" x14ac:dyDescent="0.4">
      <c r="A636"/>
      <c r="B636"/>
      <c r="C636"/>
      <c r="D636"/>
      <c r="E636"/>
      <c r="F636"/>
      <c r="G636"/>
      <c r="H636"/>
      <c r="I636"/>
      <c r="J636"/>
      <c r="K636"/>
      <c r="L636"/>
      <c r="M636"/>
      <c r="N636"/>
      <c r="O636"/>
      <c r="P636"/>
      <c r="Q636"/>
      <c r="R636"/>
      <c r="S636"/>
      <c r="T636"/>
      <c r="U636"/>
      <c r="V636"/>
      <c r="W636"/>
      <c r="X636"/>
      <c r="Y636"/>
      <c r="Z636"/>
      <c r="AA636"/>
    </row>
    <row r="637" spans="1:27" x14ac:dyDescent="0.4">
      <c r="A637"/>
      <c r="B637"/>
      <c r="C637"/>
      <c r="D637"/>
      <c r="E637"/>
      <c r="F637"/>
      <c r="G637"/>
      <c r="H637"/>
      <c r="I637"/>
      <c r="J637"/>
      <c r="K637"/>
      <c r="L637"/>
      <c r="M637"/>
      <c r="N637"/>
      <c r="O637"/>
      <c r="P637"/>
      <c r="Q637"/>
      <c r="R637"/>
      <c r="S637"/>
      <c r="T637"/>
      <c r="U637"/>
      <c r="V637"/>
      <c r="W637"/>
      <c r="X637"/>
      <c r="Y637"/>
      <c r="Z637"/>
      <c r="AA637"/>
    </row>
    <row r="638" spans="1:27" x14ac:dyDescent="0.4">
      <c r="A638"/>
      <c r="B638"/>
      <c r="C638"/>
      <c r="D638"/>
      <c r="E638"/>
      <c r="F638"/>
      <c r="G638"/>
      <c r="H638"/>
      <c r="I638"/>
      <c r="J638"/>
      <c r="K638"/>
      <c r="L638"/>
      <c r="M638"/>
      <c r="N638"/>
      <c r="O638"/>
      <c r="P638"/>
      <c r="Q638"/>
      <c r="R638"/>
      <c r="S638"/>
      <c r="T638"/>
      <c r="U638"/>
      <c r="V638"/>
      <c r="W638"/>
      <c r="X638"/>
      <c r="Y638"/>
      <c r="Z638"/>
      <c r="AA638"/>
    </row>
    <row r="639" spans="1:27" x14ac:dyDescent="0.4">
      <c r="A639"/>
      <c r="B639"/>
      <c r="C639"/>
      <c r="D639"/>
      <c r="E639"/>
      <c r="F639"/>
      <c r="G639"/>
      <c r="H639"/>
      <c r="I639"/>
      <c r="J639"/>
      <c r="K639"/>
      <c r="L639"/>
      <c r="M639"/>
      <c r="N639"/>
      <c r="O639"/>
      <c r="P639"/>
      <c r="Q639"/>
      <c r="R639"/>
      <c r="S639"/>
      <c r="T639"/>
      <c r="U639"/>
      <c r="V639"/>
      <c r="W639"/>
      <c r="X639"/>
      <c r="Y639"/>
      <c r="Z639"/>
      <c r="AA639"/>
    </row>
    <row r="640" spans="1:27" x14ac:dyDescent="0.4">
      <c r="A640"/>
      <c r="B640"/>
      <c r="C640"/>
      <c r="D640"/>
      <c r="E640"/>
      <c r="F640"/>
      <c r="G640"/>
      <c r="H640"/>
      <c r="I640"/>
      <c r="J640"/>
      <c r="K640"/>
      <c r="L640"/>
      <c r="M640"/>
      <c r="N640"/>
      <c r="O640"/>
      <c r="P640"/>
      <c r="Q640"/>
      <c r="R640"/>
      <c r="S640"/>
      <c r="T640"/>
      <c r="U640"/>
      <c r="V640"/>
      <c r="W640"/>
      <c r="X640"/>
      <c r="Y640"/>
      <c r="Z640"/>
      <c r="AA640"/>
    </row>
    <row r="641" spans="1:27" x14ac:dyDescent="0.4">
      <c r="A641"/>
      <c r="B641"/>
      <c r="C641"/>
      <c r="D641"/>
      <c r="E641"/>
      <c r="F641"/>
      <c r="G641"/>
      <c r="H641"/>
      <c r="I641"/>
      <c r="J641"/>
      <c r="K641"/>
      <c r="L641"/>
      <c r="M641"/>
      <c r="N641"/>
      <c r="O641"/>
      <c r="P641"/>
      <c r="Q641"/>
      <c r="R641"/>
      <c r="S641"/>
      <c r="T641"/>
      <c r="U641"/>
      <c r="V641"/>
      <c r="W641"/>
      <c r="X641"/>
      <c r="Y641"/>
      <c r="Z641"/>
      <c r="AA641"/>
    </row>
    <row r="642" spans="1:27" x14ac:dyDescent="0.4">
      <c r="A642"/>
      <c r="B642"/>
      <c r="C642"/>
      <c r="D642"/>
      <c r="E642"/>
      <c r="F642"/>
      <c r="G642"/>
      <c r="H642"/>
      <c r="I642"/>
      <c r="J642"/>
      <c r="K642"/>
      <c r="L642"/>
      <c r="M642"/>
      <c r="N642"/>
      <c r="O642"/>
      <c r="P642"/>
      <c r="Q642"/>
      <c r="R642"/>
      <c r="S642"/>
      <c r="T642"/>
      <c r="U642"/>
      <c r="V642"/>
      <c r="W642"/>
      <c r="X642"/>
      <c r="Y642"/>
      <c r="Z642"/>
      <c r="AA642"/>
    </row>
    <row r="643" spans="1:27" x14ac:dyDescent="0.4">
      <c r="A643"/>
      <c r="B643"/>
      <c r="C643"/>
      <c r="D643"/>
      <c r="E643"/>
      <c r="F643"/>
      <c r="G643"/>
      <c r="H643"/>
      <c r="I643"/>
      <c r="J643"/>
      <c r="K643"/>
      <c r="L643"/>
      <c r="M643"/>
      <c r="N643"/>
      <c r="O643"/>
      <c r="P643"/>
      <c r="Q643"/>
      <c r="R643"/>
      <c r="S643"/>
      <c r="T643"/>
      <c r="U643"/>
      <c r="V643"/>
      <c r="W643"/>
      <c r="X643"/>
      <c r="Y643"/>
      <c r="Z643"/>
      <c r="AA643"/>
    </row>
    <row r="644" spans="1:27" x14ac:dyDescent="0.4">
      <c r="A644"/>
      <c r="B644"/>
      <c r="C644"/>
      <c r="D644"/>
      <c r="E644"/>
      <c r="F644"/>
      <c r="G644"/>
      <c r="H644"/>
      <c r="I644"/>
      <c r="J644"/>
      <c r="K644"/>
      <c r="L644"/>
      <c r="M644"/>
      <c r="N644"/>
      <c r="O644"/>
      <c r="P644"/>
      <c r="Q644"/>
      <c r="R644"/>
      <c r="S644"/>
      <c r="T644"/>
      <c r="U644"/>
      <c r="V644"/>
      <c r="W644"/>
      <c r="X644"/>
      <c r="Y644"/>
      <c r="Z644"/>
      <c r="AA644"/>
    </row>
    <row r="645" spans="1:27" x14ac:dyDescent="0.4">
      <c r="A645"/>
      <c r="B645"/>
      <c r="C645"/>
      <c r="D645"/>
      <c r="E645"/>
      <c r="F645"/>
      <c r="G645"/>
      <c r="H645"/>
      <c r="I645"/>
      <c r="J645"/>
      <c r="K645"/>
      <c r="L645"/>
      <c r="M645"/>
      <c r="N645"/>
      <c r="O645"/>
      <c r="P645"/>
      <c r="Q645"/>
      <c r="R645"/>
      <c r="S645"/>
      <c r="T645"/>
      <c r="U645"/>
      <c r="V645"/>
      <c r="W645"/>
      <c r="X645"/>
      <c r="Y645"/>
      <c r="Z645"/>
      <c r="AA645"/>
    </row>
    <row r="646" spans="1:27" x14ac:dyDescent="0.4">
      <c r="A646"/>
      <c r="B646"/>
      <c r="C646"/>
      <c r="D646"/>
      <c r="E646"/>
      <c r="F646"/>
      <c r="G646"/>
      <c r="H646"/>
      <c r="I646"/>
      <c r="J646"/>
      <c r="K646"/>
      <c r="L646"/>
      <c r="M646"/>
      <c r="N646"/>
      <c r="O646"/>
      <c r="P646"/>
      <c r="Q646"/>
      <c r="R646"/>
      <c r="S646"/>
      <c r="T646"/>
      <c r="U646"/>
      <c r="V646"/>
      <c r="W646"/>
      <c r="X646"/>
      <c r="Y646"/>
      <c r="Z646"/>
      <c r="AA646"/>
    </row>
    <row r="647" spans="1:27" x14ac:dyDescent="0.4">
      <c r="A647"/>
      <c r="B647"/>
      <c r="C647"/>
      <c r="D647"/>
      <c r="E647"/>
      <c r="F647"/>
      <c r="G647"/>
      <c r="H647"/>
      <c r="I647"/>
      <c r="J647"/>
      <c r="K647"/>
      <c r="L647"/>
      <c r="M647"/>
      <c r="N647"/>
      <c r="O647"/>
      <c r="P647"/>
      <c r="Q647"/>
      <c r="R647"/>
      <c r="S647"/>
      <c r="T647"/>
      <c r="U647"/>
      <c r="V647"/>
      <c r="W647"/>
      <c r="X647"/>
      <c r="Y647"/>
      <c r="Z647"/>
      <c r="AA647"/>
    </row>
    <row r="648" spans="1:27" x14ac:dyDescent="0.4">
      <c r="A648"/>
      <c r="B648"/>
      <c r="C648"/>
      <c r="D648"/>
      <c r="E648"/>
      <c r="F648"/>
      <c r="G648"/>
      <c r="H648"/>
      <c r="I648"/>
      <c r="J648"/>
      <c r="K648"/>
      <c r="L648"/>
      <c r="M648"/>
      <c r="N648"/>
      <c r="O648"/>
      <c r="P648"/>
      <c r="Q648"/>
      <c r="R648"/>
      <c r="S648"/>
      <c r="T648"/>
      <c r="U648"/>
      <c r="V648"/>
      <c r="W648"/>
      <c r="X648"/>
      <c r="Y648"/>
      <c r="Z648"/>
      <c r="AA648"/>
    </row>
    <row r="649" spans="1:27" x14ac:dyDescent="0.4">
      <c r="A649"/>
      <c r="B649"/>
      <c r="C649"/>
      <c r="D649"/>
      <c r="E649"/>
      <c r="F649"/>
      <c r="G649"/>
      <c r="H649"/>
      <c r="I649"/>
      <c r="J649"/>
      <c r="K649"/>
      <c r="L649"/>
      <c r="M649"/>
      <c r="N649"/>
      <c r="O649"/>
      <c r="P649"/>
      <c r="Q649"/>
      <c r="R649"/>
      <c r="S649"/>
      <c r="T649"/>
      <c r="U649"/>
      <c r="V649"/>
      <c r="W649"/>
      <c r="X649"/>
      <c r="Y649"/>
      <c r="Z649"/>
      <c r="AA649"/>
    </row>
    <row r="650" spans="1:27" x14ac:dyDescent="0.4">
      <c r="A650"/>
      <c r="B650"/>
      <c r="C650"/>
      <c r="D650"/>
      <c r="E650"/>
      <c r="F650"/>
      <c r="G650"/>
      <c r="H650"/>
      <c r="I650"/>
      <c r="J650"/>
      <c r="K650"/>
      <c r="L650"/>
      <c r="M650"/>
      <c r="N650"/>
      <c r="O650"/>
      <c r="P650"/>
      <c r="Q650"/>
      <c r="R650"/>
      <c r="S650"/>
      <c r="T650"/>
      <c r="U650"/>
      <c r="V650"/>
      <c r="W650"/>
      <c r="X650"/>
      <c r="Y650"/>
      <c r="Z650"/>
      <c r="AA650"/>
    </row>
    <row r="651" spans="1:27" x14ac:dyDescent="0.4">
      <c r="A651"/>
      <c r="B651"/>
      <c r="C651"/>
      <c r="D651"/>
      <c r="E651"/>
      <c r="F651"/>
      <c r="G651"/>
      <c r="H651"/>
      <c r="I651"/>
      <c r="J651"/>
      <c r="K651"/>
      <c r="L651"/>
      <c r="M651"/>
      <c r="N651"/>
      <c r="O651"/>
      <c r="P651"/>
      <c r="Q651"/>
      <c r="R651"/>
      <c r="S651"/>
      <c r="T651"/>
      <c r="U651"/>
      <c r="V651"/>
      <c r="W651"/>
      <c r="X651"/>
      <c r="Y651"/>
      <c r="Z651"/>
      <c r="AA651"/>
    </row>
    <row r="652" spans="1:27" x14ac:dyDescent="0.4">
      <c r="A652"/>
      <c r="B652"/>
      <c r="C652"/>
      <c r="D652"/>
      <c r="E652"/>
      <c r="F652"/>
      <c r="G652"/>
      <c r="H652"/>
      <c r="I652"/>
      <c r="J652"/>
      <c r="K652"/>
      <c r="L652"/>
      <c r="M652"/>
      <c r="N652"/>
      <c r="O652"/>
      <c r="P652"/>
      <c r="Q652"/>
      <c r="R652"/>
      <c r="S652"/>
      <c r="T652"/>
      <c r="U652"/>
      <c r="V652"/>
      <c r="W652"/>
      <c r="X652"/>
      <c r="Y652"/>
      <c r="Z652"/>
      <c r="AA652"/>
    </row>
    <row r="653" spans="1:27" x14ac:dyDescent="0.4">
      <c r="A653"/>
      <c r="B653"/>
      <c r="C653"/>
      <c r="D653"/>
      <c r="E653"/>
      <c r="F653"/>
      <c r="G653"/>
      <c r="H653"/>
      <c r="I653"/>
      <c r="J653"/>
      <c r="K653"/>
      <c r="L653"/>
      <c r="M653"/>
      <c r="N653"/>
      <c r="O653"/>
      <c r="P653"/>
      <c r="Q653"/>
      <c r="R653"/>
      <c r="S653"/>
      <c r="T653"/>
      <c r="U653"/>
      <c r="V653"/>
      <c r="W653"/>
      <c r="X653"/>
      <c r="Y653"/>
      <c r="Z653"/>
      <c r="AA653"/>
    </row>
    <row r="654" spans="1:27" x14ac:dyDescent="0.4">
      <c r="A654"/>
      <c r="B654"/>
      <c r="C654"/>
      <c r="D654"/>
      <c r="E654"/>
      <c r="F654"/>
      <c r="G654"/>
      <c r="H654"/>
      <c r="I654"/>
      <c r="J654"/>
      <c r="K654"/>
      <c r="L654"/>
      <c r="M654"/>
      <c r="N654"/>
      <c r="O654"/>
      <c r="P654"/>
      <c r="Q654"/>
      <c r="R654"/>
      <c r="S654"/>
      <c r="T654"/>
      <c r="U654"/>
      <c r="V654"/>
      <c r="W654"/>
      <c r="X654"/>
      <c r="Y654"/>
      <c r="Z654"/>
      <c r="AA654"/>
    </row>
    <row r="655" spans="1:27" x14ac:dyDescent="0.4">
      <c r="A655"/>
      <c r="B655"/>
      <c r="C655"/>
      <c r="D655"/>
      <c r="E655"/>
      <c r="F655"/>
      <c r="G655"/>
      <c r="H655"/>
      <c r="I655"/>
      <c r="J655"/>
      <c r="K655"/>
      <c r="L655"/>
      <c r="M655"/>
      <c r="N655"/>
      <c r="O655"/>
      <c r="P655"/>
      <c r="Q655"/>
      <c r="R655"/>
      <c r="S655"/>
      <c r="T655"/>
      <c r="U655"/>
      <c r="V655"/>
      <c r="W655"/>
      <c r="X655"/>
      <c r="Y655"/>
      <c r="Z655"/>
      <c r="AA655"/>
    </row>
    <row r="656" spans="1:27" x14ac:dyDescent="0.4">
      <c r="A656"/>
      <c r="B656"/>
      <c r="C656"/>
      <c r="D656"/>
      <c r="E656"/>
      <c r="F656"/>
      <c r="G656"/>
      <c r="H656"/>
      <c r="I656"/>
      <c r="J656"/>
      <c r="K656"/>
      <c r="L656"/>
      <c r="M656"/>
      <c r="N656"/>
      <c r="O656"/>
      <c r="P656"/>
      <c r="Q656"/>
      <c r="R656"/>
      <c r="S656"/>
      <c r="T656"/>
      <c r="U656"/>
      <c r="V656"/>
      <c r="W656"/>
      <c r="X656"/>
      <c r="Y656"/>
      <c r="Z656"/>
      <c r="AA656"/>
    </row>
    <row r="657" spans="1:27" x14ac:dyDescent="0.4">
      <c r="A657"/>
      <c r="B657"/>
      <c r="C657"/>
      <c r="D657"/>
      <c r="E657"/>
      <c r="F657"/>
      <c r="G657"/>
      <c r="H657"/>
      <c r="I657"/>
      <c r="J657"/>
      <c r="K657"/>
      <c r="L657"/>
      <c r="M657"/>
      <c r="N657"/>
      <c r="O657"/>
      <c r="P657"/>
      <c r="Q657"/>
      <c r="R657"/>
      <c r="S657"/>
      <c r="T657"/>
      <c r="U657"/>
      <c r="V657"/>
      <c r="W657"/>
      <c r="X657"/>
      <c r="Y657"/>
      <c r="Z657"/>
      <c r="AA657"/>
    </row>
    <row r="658" spans="1:27" x14ac:dyDescent="0.4">
      <c r="A658"/>
      <c r="B658"/>
      <c r="C658"/>
      <c r="D658"/>
      <c r="E658"/>
      <c r="F658"/>
      <c r="G658"/>
      <c r="H658"/>
      <c r="I658"/>
      <c r="J658"/>
      <c r="K658"/>
      <c r="L658"/>
      <c r="M658"/>
      <c r="N658"/>
      <c r="O658"/>
      <c r="P658"/>
      <c r="Q658"/>
      <c r="R658"/>
      <c r="S658"/>
      <c r="T658"/>
      <c r="U658"/>
      <c r="V658"/>
      <c r="W658"/>
      <c r="X658"/>
      <c r="Y658"/>
      <c r="Z658"/>
      <c r="AA658"/>
    </row>
    <row r="659" spans="1:27" x14ac:dyDescent="0.4">
      <c r="A659"/>
      <c r="B659"/>
      <c r="C659"/>
      <c r="D659"/>
      <c r="E659"/>
      <c r="F659"/>
      <c r="G659"/>
      <c r="H659"/>
      <c r="I659"/>
      <c r="J659"/>
      <c r="K659"/>
      <c r="L659"/>
      <c r="M659"/>
      <c r="N659"/>
      <c r="O659"/>
      <c r="P659"/>
      <c r="Q659"/>
      <c r="R659"/>
      <c r="S659"/>
      <c r="T659"/>
      <c r="U659"/>
      <c r="V659"/>
      <c r="W659"/>
      <c r="X659"/>
      <c r="Y659"/>
      <c r="Z659"/>
      <c r="AA659"/>
    </row>
    <row r="660" spans="1:27" x14ac:dyDescent="0.4">
      <c r="A660"/>
      <c r="B660"/>
      <c r="C660"/>
      <c r="D660"/>
      <c r="E660"/>
      <c r="F660"/>
      <c r="G660"/>
      <c r="H660"/>
      <c r="I660"/>
      <c r="J660"/>
      <c r="K660"/>
      <c r="L660"/>
      <c r="M660"/>
      <c r="N660"/>
      <c r="O660"/>
      <c r="P660"/>
      <c r="Q660"/>
      <c r="R660"/>
      <c r="S660"/>
      <c r="T660"/>
      <c r="U660"/>
      <c r="V660"/>
      <c r="W660"/>
      <c r="X660"/>
      <c r="Y660"/>
      <c r="Z660"/>
      <c r="AA660"/>
    </row>
    <row r="661" spans="1:27" x14ac:dyDescent="0.4">
      <c r="A661"/>
      <c r="B661"/>
      <c r="C661"/>
      <c r="D661"/>
      <c r="E661"/>
      <c r="F661"/>
      <c r="G661"/>
      <c r="H661"/>
      <c r="I661"/>
      <c r="J661"/>
      <c r="K661"/>
      <c r="L661"/>
      <c r="M661"/>
      <c r="N661"/>
      <c r="O661"/>
      <c r="P661"/>
      <c r="Q661"/>
      <c r="R661"/>
      <c r="S661"/>
      <c r="T661"/>
      <c r="U661"/>
      <c r="V661"/>
      <c r="W661"/>
      <c r="X661"/>
      <c r="Y661"/>
      <c r="Z661"/>
      <c r="AA661"/>
    </row>
    <row r="662" spans="1:27" x14ac:dyDescent="0.4">
      <c r="A662"/>
      <c r="B662"/>
      <c r="C662"/>
      <c r="D662"/>
      <c r="E662"/>
      <c r="F662"/>
      <c r="G662"/>
      <c r="H662"/>
      <c r="I662"/>
      <c r="J662"/>
      <c r="K662"/>
      <c r="L662"/>
      <c r="M662"/>
      <c r="N662"/>
      <c r="O662"/>
      <c r="P662"/>
      <c r="Q662"/>
      <c r="R662"/>
      <c r="S662"/>
      <c r="T662"/>
      <c r="U662"/>
      <c r="V662"/>
      <c r="W662"/>
      <c r="X662"/>
      <c r="Y662"/>
      <c r="Z662"/>
      <c r="AA662"/>
    </row>
    <row r="663" spans="1:27" x14ac:dyDescent="0.4">
      <c r="A663"/>
      <c r="B663"/>
      <c r="C663"/>
      <c r="D663"/>
      <c r="E663"/>
      <c r="F663"/>
      <c r="G663"/>
      <c r="H663"/>
      <c r="I663"/>
      <c r="J663"/>
      <c r="K663"/>
      <c r="L663"/>
      <c r="M663"/>
      <c r="N663"/>
      <c r="O663"/>
      <c r="P663"/>
      <c r="Q663"/>
      <c r="R663"/>
      <c r="S663"/>
      <c r="T663"/>
      <c r="U663"/>
      <c r="V663"/>
      <c r="W663"/>
      <c r="X663"/>
      <c r="Y663"/>
      <c r="Z663"/>
      <c r="AA663"/>
    </row>
    <row r="664" spans="1:27" x14ac:dyDescent="0.4">
      <c r="A664"/>
      <c r="B664"/>
      <c r="C664"/>
      <c r="D664"/>
      <c r="E664"/>
      <c r="F664"/>
      <c r="G664"/>
      <c r="H664"/>
      <c r="I664"/>
      <c r="J664"/>
      <c r="K664"/>
      <c r="L664"/>
      <c r="M664"/>
      <c r="N664"/>
      <c r="O664"/>
      <c r="P664"/>
      <c r="Q664"/>
      <c r="R664"/>
      <c r="S664"/>
      <c r="T664"/>
      <c r="U664"/>
      <c r="V664"/>
      <c r="W664"/>
      <c r="X664"/>
      <c r="Y664"/>
      <c r="Z664"/>
      <c r="AA664"/>
    </row>
    <row r="665" spans="1:27" x14ac:dyDescent="0.4">
      <c r="A665"/>
      <c r="B665"/>
      <c r="C665"/>
      <c r="D665"/>
      <c r="E665"/>
      <c r="F665"/>
      <c r="G665"/>
      <c r="H665"/>
      <c r="I665"/>
      <c r="J665"/>
      <c r="K665"/>
      <c r="L665"/>
      <c r="M665"/>
      <c r="N665"/>
      <c r="O665"/>
      <c r="P665"/>
      <c r="Q665"/>
      <c r="R665"/>
      <c r="S665"/>
      <c r="T665"/>
      <c r="U665"/>
      <c r="V665"/>
      <c r="W665"/>
      <c r="X665"/>
      <c r="Y665"/>
      <c r="Z665"/>
      <c r="AA665"/>
    </row>
    <row r="666" spans="1:27" x14ac:dyDescent="0.4">
      <c r="A666"/>
      <c r="B666"/>
      <c r="C666"/>
      <c r="D666"/>
      <c r="E666"/>
      <c r="F666"/>
      <c r="G666"/>
      <c r="H666"/>
      <c r="I666"/>
      <c r="J666"/>
      <c r="K666"/>
      <c r="L666"/>
      <c r="M666"/>
      <c r="N666"/>
      <c r="O666"/>
      <c r="P666"/>
      <c r="Q666"/>
      <c r="R666"/>
      <c r="S666"/>
      <c r="T666"/>
      <c r="U666"/>
      <c r="V666"/>
      <c r="W666"/>
      <c r="X666"/>
      <c r="Y666"/>
      <c r="Z666"/>
      <c r="AA666"/>
    </row>
    <row r="667" spans="1:27" x14ac:dyDescent="0.4">
      <c r="A667"/>
      <c r="B667"/>
      <c r="C667"/>
      <c r="D667"/>
      <c r="E667"/>
      <c r="F667"/>
      <c r="G667"/>
      <c r="H667"/>
      <c r="I667"/>
      <c r="J667"/>
      <c r="K667"/>
      <c r="L667"/>
      <c r="M667"/>
      <c r="N667"/>
      <c r="O667"/>
      <c r="P667"/>
      <c r="Q667"/>
      <c r="R667"/>
      <c r="S667"/>
      <c r="T667"/>
      <c r="U667"/>
      <c r="V667"/>
      <c r="W667"/>
      <c r="X667"/>
      <c r="Y667"/>
      <c r="Z667"/>
      <c r="AA667"/>
    </row>
    <row r="668" spans="1:27" x14ac:dyDescent="0.4">
      <c r="A668"/>
      <c r="B668"/>
      <c r="C668"/>
      <c r="D668"/>
      <c r="E668"/>
      <c r="F668"/>
      <c r="G668"/>
      <c r="H668"/>
      <c r="I668"/>
      <c r="J668"/>
      <c r="K668"/>
      <c r="L668"/>
      <c r="M668"/>
      <c r="N668"/>
      <c r="O668"/>
      <c r="P668"/>
      <c r="Q668"/>
      <c r="R668"/>
      <c r="S668"/>
      <c r="T668"/>
      <c r="U668"/>
      <c r="V668"/>
      <c r="W668"/>
      <c r="X668"/>
      <c r="Y668"/>
      <c r="Z668"/>
      <c r="AA668"/>
    </row>
    <row r="669" spans="1:27" x14ac:dyDescent="0.4">
      <c r="A669"/>
      <c r="B669"/>
      <c r="C669"/>
      <c r="D669"/>
      <c r="E669"/>
      <c r="F669"/>
      <c r="G669"/>
      <c r="H669"/>
      <c r="I669"/>
      <c r="J669"/>
      <c r="K669"/>
      <c r="L669"/>
      <c r="M669"/>
      <c r="N669"/>
      <c r="O669"/>
      <c r="P669"/>
      <c r="Q669"/>
      <c r="R669"/>
      <c r="S669"/>
      <c r="T669"/>
      <c r="U669"/>
      <c r="V669"/>
      <c r="W669"/>
      <c r="X669"/>
      <c r="Y669"/>
      <c r="Z669"/>
      <c r="AA669"/>
    </row>
    <row r="670" spans="1:27" x14ac:dyDescent="0.4">
      <c r="A670"/>
      <c r="B670"/>
      <c r="C670"/>
      <c r="D670"/>
      <c r="E670"/>
      <c r="F670"/>
      <c r="G670"/>
      <c r="H670"/>
      <c r="I670"/>
      <c r="J670"/>
      <c r="K670"/>
      <c r="L670"/>
      <c r="M670"/>
      <c r="N670"/>
      <c r="O670"/>
      <c r="P670"/>
      <c r="Q670"/>
      <c r="R670"/>
      <c r="S670"/>
      <c r="T670"/>
      <c r="U670"/>
      <c r="V670"/>
      <c r="W670"/>
      <c r="X670"/>
      <c r="Y670"/>
      <c r="Z670"/>
      <c r="AA670"/>
    </row>
    <row r="671" spans="1:27" x14ac:dyDescent="0.4">
      <c r="A671"/>
      <c r="B671"/>
      <c r="C671"/>
      <c r="D671"/>
      <c r="E671"/>
      <c r="F671"/>
      <c r="G671"/>
      <c r="H671"/>
      <c r="I671"/>
      <c r="J671"/>
      <c r="K671"/>
      <c r="L671"/>
      <c r="M671"/>
      <c r="N671"/>
      <c r="O671"/>
      <c r="P671"/>
      <c r="Q671"/>
      <c r="R671"/>
      <c r="S671"/>
      <c r="T671"/>
      <c r="U671"/>
      <c r="V671"/>
      <c r="W671"/>
      <c r="X671"/>
      <c r="Y671"/>
      <c r="Z671"/>
      <c r="AA671"/>
    </row>
    <row r="672" spans="1:27" x14ac:dyDescent="0.4">
      <c r="A672"/>
      <c r="B672"/>
      <c r="C672"/>
      <c r="D672"/>
      <c r="E672"/>
      <c r="F672"/>
      <c r="G672"/>
      <c r="H672"/>
      <c r="I672"/>
      <c r="J672"/>
      <c r="K672"/>
      <c r="L672"/>
      <c r="M672"/>
      <c r="N672"/>
      <c r="O672"/>
      <c r="P672"/>
      <c r="Q672"/>
      <c r="R672"/>
      <c r="S672"/>
      <c r="T672"/>
      <c r="U672"/>
      <c r="V672"/>
      <c r="W672"/>
      <c r="X672"/>
      <c r="Y672"/>
      <c r="Z672"/>
      <c r="AA672"/>
    </row>
    <row r="673" spans="1:27" x14ac:dyDescent="0.4">
      <c r="A673"/>
      <c r="B673"/>
      <c r="C673"/>
      <c r="D673"/>
      <c r="E673"/>
      <c r="F673"/>
      <c r="G673"/>
      <c r="H673"/>
      <c r="I673"/>
      <c r="J673"/>
      <c r="K673"/>
      <c r="L673"/>
      <c r="M673"/>
      <c r="N673"/>
      <c r="O673"/>
      <c r="P673"/>
      <c r="Q673"/>
      <c r="R673"/>
      <c r="S673"/>
      <c r="T673"/>
      <c r="U673"/>
      <c r="V673"/>
      <c r="W673"/>
      <c r="X673"/>
      <c r="Y673"/>
      <c r="Z673"/>
      <c r="AA673"/>
    </row>
    <row r="674" spans="1:27" x14ac:dyDescent="0.4">
      <c r="A674"/>
      <c r="B674"/>
      <c r="C674"/>
      <c r="D674"/>
      <c r="E674"/>
      <c r="F674"/>
      <c r="G674"/>
      <c r="H674"/>
      <c r="I674"/>
      <c r="J674"/>
      <c r="K674"/>
      <c r="L674"/>
      <c r="M674"/>
      <c r="N674"/>
      <c r="O674"/>
      <c r="P674"/>
      <c r="Q674"/>
      <c r="R674"/>
      <c r="S674"/>
      <c r="T674"/>
      <c r="U674"/>
      <c r="V674"/>
      <c r="W674"/>
      <c r="X674"/>
      <c r="Y674"/>
      <c r="Z674"/>
      <c r="AA674"/>
    </row>
    <row r="675" spans="1:27" x14ac:dyDescent="0.4">
      <c r="A675"/>
      <c r="B675"/>
      <c r="C675"/>
      <c r="D675"/>
      <c r="E675"/>
      <c r="F675"/>
      <c r="G675"/>
      <c r="H675"/>
      <c r="I675"/>
      <c r="J675"/>
      <c r="K675"/>
      <c r="L675"/>
      <c r="M675"/>
      <c r="N675"/>
      <c r="O675"/>
      <c r="P675"/>
      <c r="Q675"/>
      <c r="R675"/>
      <c r="S675"/>
      <c r="T675"/>
      <c r="U675"/>
      <c r="V675"/>
      <c r="W675"/>
      <c r="X675"/>
      <c r="Y675"/>
      <c r="Z675"/>
      <c r="AA675"/>
    </row>
    <row r="676" spans="1:27" x14ac:dyDescent="0.4">
      <c r="A676"/>
      <c r="B676"/>
      <c r="C676"/>
      <c r="D676"/>
      <c r="E676"/>
      <c r="F676"/>
      <c r="G676"/>
      <c r="H676"/>
      <c r="I676"/>
      <c r="J676"/>
      <c r="K676"/>
      <c r="L676"/>
      <c r="M676"/>
      <c r="N676"/>
      <c r="O676"/>
      <c r="P676"/>
      <c r="Q676"/>
      <c r="R676"/>
      <c r="S676"/>
      <c r="T676"/>
      <c r="U676"/>
      <c r="V676"/>
      <c r="W676"/>
      <c r="X676"/>
      <c r="Y676"/>
      <c r="Z676"/>
      <c r="AA676"/>
    </row>
    <row r="677" spans="1:27" x14ac:dyDescent="0.4">
      <c r="A677"/>
      <c r="B677"/>
      <c r="C677"/>
      <c r="D677"/>
      <c r="E677"/>
      <c r="F677"/>
      <c r="G677"/>
      <c r="H677"/>
      <c r="I677"/>
      <c r="J677"/>
      <c r="K677"/>
      <c r="L677"/>
      <c r="M677"/>
      <c r="N677"/>
      <c r="O677"/>
      <c r="P677"/>
      <c r="Q677"/>
      <c r="R677"/>
      <c r="S677"/>
      <c r="T677"/>
      <c r="U677"/>
      <c r="V677"/>
      <c r="W677"/>
      <c r="X677"/>
      <c r="Y677"/>
      <c r="Z677"/>
      <c r="AA677"/>
    </row>
    <row r="678" spans="1:27" x14ac:dyDescent="0.4">
      <c r="A678"/>
      <c r="B678"/>
      <c r="C678"/>
      <c r="D678"/>
      <c r="E678"/>
      <c r="F678"/>
      <c r="G678"/>
      <c r="H678"/>
      <c r="I678"/>
      <c r="J678"/>
      <c r="K678"/>
      <c r="L678"/>
      <c r="M678"/>
      <c r="N678"/>
      <c r="O678"/>
      <c r="P678"/>
      <c r="Q678"/>
      <c r="R678"/>
      <c r="S678"/>
      <c r="T678"/>
      <c r="U678"/>
      <c r="V678"/>
      <c r="W678"/>
      <c r="X678"/>
      <c r="Y678"/>
      <c r="Z678"/>
      <c r="AA678"/>
    </row>
    <row r="679" spans="1:27" x14ac:dyDescent="0.4">
      <c r="A679"/>
      <c r="B679"/>
      <c r="C679"/>
      <c r="D679"/>
      <c r="E679"/>
      <c r="F679"/>
      <c r="G679"/>
      <c r="H679"/>
      <c r="I679"/>
      <c r="J679"/>
      <c r="K679"/>
      <c r="L679"/>
      <c r="M679"/>
      <c r="N679"/>
      <c r="O679"/>
      <c r="P679"/>
      <c r="Q679"/>
      <c r="R679"/>
      <c r="S679"/>
      <c r="T679"/>
      <c r="U679"/>
      <c r="V679"/>
      <c r="W679"/>
      <c r="X679"/>
      <c r="Y679"/>
      <c r="Z679"/>
      <c r="AA679"/>
    </row>
    <row r="680" spans="1:27" x14ac:dyDescent="0.4">
      <c r="A680"/>
      <c r="B680"/>
      <c r="C680"/>
      <c r="D680"/>
      <c r="E680"/>
      <c r="F680"/>
      <c r="G680"/>
      <c r="H680"/>
      <c r="I680"/>
      <c r="J680"/>
      <c r="K680"/>
      <c r="L680"/>
      <c r="M680"/>
      <c r="N680"/>
      <c r="O680"/>
      <c r="P680"/>
      <c r="Q680"/>
      <c r="R680"/>
      <c r="S680"/>
      <c r="T680"/>
      <c r="U680"/>
      <c r="V680"/>
      <c r="W680"/>
      <c r="X680"/>
      <c r="Y680"/>
      <c r="Z680"/>
      <c r="AA680"/>
    </row>
    <row r="681" spans="1:27" x14ac:dyDescent="0.4">
      <c r="A681"/>
      <c r="B681"/>
      <c r="C681"/>
      <c r="D681"/>
      <c r="E681"/>
      <c r="F681"/>
      <c r="G681"/>
      <c r="H681"/>
      <c r="I681"/>
      <c r="J681"/>
      <c r="K681"/>
      <c r="L681"/>
      <c r="M681"/>
      <c r="N681"/>
      <c r="O681"/>
      <c r="P681"/>
      <c r="Q681"/>
      <c r="R681"/>
      <c r="S681"/>
      <c r="T681"/>
      <c r="U681"/>
      <c r="V681"/>
      <c r="W681"/>
      <c r="X681"/>
      <c r="Y681"/>
      <c r="Z681"/>
      <c r="AA681"/>
    </row>
    <row r="682" spans="1:27" x14ac:dyDescent="0.4">
      <c r="A682"/>
      <c r="B682"/>
      <c r="C682"/>
      <c r="D682"/>
      <c r="E682"/>
      <c r="F682"/>
      <c r="G682"/>
      <c r="H682"/>
      <c r="I682"/>
      <c r="J682"/>
      <c r="K682"/>
      <c r="L682"/>
      <c r="M682"/>
      <c r="N682"/>
      <c r="O682"/>
      <c r="P682"/>
      <c r="Q682"/>
      <c r="R682"/>
      <c r="S682"/>
      <c r="T682"/>
      <c r="U682"/>
      <c r="V682"/>
      <c r="W682"/>
      <c r="X682"/>
      <c r="Y682"/>
      <c r="Z682"/>
      <c r="AA682"/>
    </row>
    <row r="683" spans="1:27" x14ac:dyDescent="0.4">
      <c r="A683"/>
      <c r="B683"/>
      <c r="C683"/>
      <c r="D683"/>
      <c r="E683"/>
      <c r="F683"/>
      <c r="G683"/>
      <c r="H683"/>
      <c r="I683"/>
      <c r="J683"/>
      <c r="K683"/>
      <c r="L683"/>
      <c r="M683"/>
      <c r="N683"/>
      <c r="O683"/>
      <c r="P683"/>
      <c r="Q683"/>
      <c r="R683"/>
      <c r="S683"/>
      <c r="T683"/>
      <c r="U683"/>
      <c r="V683"/>
      <c r="W683"/>
      <c r="X683"/>
      <c r="Y683"/>
      <c r="Z683"/>
      <c r="AA683"/>
    </row>
    <row r="684" spans="1:27" x14ac:dyDescent="0.4">
      <c r="A684"/>
      <c r="B684"/>
      <c r="C684"/>
      <c r="D684"/>
      <c r="E684"/>
      <c r="F684"/>
      <c r="G684"/>
      <c r="H684"/>
      <c r="I684"/>
      <c r="J684"/>
      <c r="K684"/>
      <c r="L684"/>
      <c r="M684"/>
      <c r="N684"/>
      <c r="O684"/>
      <c r="P684"/>
      <c r="Q684"/>
      <c r="R684"/>
      <c r="S684"/>
      <c r="T684"/>
      <c r="U684"/>
      <c r="V684"/>
      <c r="W684"/>
      <c r="X684"/>
      <c r="Y684"/>
      <c r="Z684"/>
      <c r="AA684"/>
    </row>
    <row r="685" spans="1:27" x14ac:dyDescent="0.4">
      <c r="A685"/>
      <c r="B685"/>
      <c r="C685"/>
      <c r="D685"/>
      <c r="E685"/>
      <c r="F685"/>
      <c r="G685"/>
      <c r="H685"/>
      <c r="I685"/>
      <c r="J685"/>
      <c r="K685"/>
      <c r="L685"/>
      <c r="M685"/>
      <c r="N685"/>
      <c r="O685"/>
      <c r="P685"/>
      <c r="Q685"/>
      <c r="R685"/>
      <c r="S685"/>
      <c r="T685"/>
      <c r="U685"/>
      <c r="V685"/>
      <c r="W685"/>
      <c r="X685"/>
      <c r="Y685"/>
      <c r="Z685"/>
      <c r="AA685"/>
    </row>
    <row r="686" spans="1:27" x14ac:dyDescent="0.4">
      <c r="A686"/>
      <c r="B686"/>
      <c r="C686"/>
      <c r="D686"/>
      <c r="E686"/>
      <c r="F686"/>
      <c r="G686"/>
      <c r="H686"/>
      <c r="I686"/>
      <c r="J686"/>
      <c r="K686"/>
      <c r="L686"/>
      <c r="M686"/>
      <c r="N686"/>
      <c r="O686"/>
      <c r="P686"/>
      <c r="Q686"/>
      <c r="R686"/>
      <c r="S686"/>
      <c r="T686"/>
      <c r="U686"/>
      <c r="V686"/>
      <c r="W686"/>
      <c r="X686"/>
      <c r="Y686"/>
      <c r="Z686"/>
      <c r="AA686"/>
    </row>
    <row r="687" spans="1:27" x14ac:dyDescent="0.4">
      <c r="A687"/>
      <c r="B687"/>
      <c r="C687"/>
      <c r="D687"/>
      <c r="E687"/>
      <c r="F687"/>
      <c r="G687"/>
      <c r="H687"/>
      <c r="I687"/>
      <c r="J687"/>
      <c r="K687"/>
      <c r="L687"/>
      <c r="M687"/>
      <c r="N687"/>
      <c r="O687"/>
      <c r="P687"/>
      <c r="Q687"/>
      <c r="R687"/>
      <c r="S687"/>
      <c r="T687"/>
      <c r="U687"/>
      <c r="V687"/>
      <c r="W687"/>
      <c r="X687"/>
      <c r="Y687"/>
      <c r="Z687"/>
      <c r="AA687"/>
    </row>
    <row r="688" spans="1:27" x14ac:dyDescent="0.4">
      <c r="A688"/>
      <c r="B688"/>
      <c r="C688"/>
      <c r="D688"/>
      <c r="E688"/>
      <c r="F688"/>
      <c r="G688"/>
      <c r="H688"/>
      <c r="I688"/>
      <c r="J688"/>
      <c r="K688"/>
      <c r="L688"/>
      <c r="M688"/>
      <c r="N688"/>
      <c r="O688"/>
      <c r="P688"/>
      <c r="Q688"/>
      <c r="R688"/>
      <c r="S688"/>
      <c r="T688"/>
      <c r="U688"/>
      <c r="V688"/>
      <c r="W688"/>
      <c r="X688"/>
      <c r="Y688"/>
      <c r="Z688"/>
      <c r="AA688"/>
    </row>
    <row r="689" spans="1:27" x14ac:dyDescent="0.4">
      <c r="A689"/>
      <c r="B689"/>
      <c r="C689"/>
      <c r="D689"/>
      <c r="E689"/>
      <c r="F689"/>
      <c r="G689"/>
      <c r="H689"/>
      <c r="I689"/>
      <c r="J689"/>
      <c r="K689"/>
      <c r="L689"/>
      <c r="M689"/>
      <c r="N689"/>
      <c r="O689"/>
      <c r="P689"/>
      <c r="Q689"/>
      <c r="R689"/>
      <c r="S689"/>
      <c r="T689"/>
      <c r="U689"/>
      <c r="V689"/>
      <c r="W689"/>
      <c r="X689"/>
      <c r="Y689"/>
      <c r="Z689"/>
      <c r="AA689"/>
    </row>
    <row r="690" spans="1:27" x14ac:dyDescent="0.4">
      <c r="A690"/>
      <c r="B690"/>
      <c r="C690"/>
      <c r="D690"/>
      <c r="E690"/>
      <c r="F690"/>
      <c r="G690"/>
      <c r="H690"/>
      <c r="I690"/>
      <c r="J690"/>
      <c r="K690"/>
      <c r="L690"/>
      <c r="M690"/>
      <c r="N690"/>
      <c r="O690"/>
      <c r="P690"/>
      <c r="Q690"/>
      <c r="R690"/>
      <c r="S690"/>
      <c r="T690"/>
      <c r="U690"/>
      <c r="V690"/>
      <c r="W690"/>
      <c r="X690"/>
      <c r="Y690"/>
      <c r="Z690"/>
      <c r="AA690"/>
    </row>
    <row r="691" spans="1:27" x14ac:dyDescent="0.4">
      <c r="A691"/>
      <c r="B691"/>
      <c r="C691"/>
      <c r="D691"/>
      <c r="E691"/>
      <c r="F691"/>
      <c r="G691"/>
      <c r="H691"/>
      <c r="I691"/>
      <c r="J691"/>
      <c r="K691"/>
      <c r="L691"/>
      <c r="M691"/>
      <c r="N691"/>
      <c r="O691"/>
      <c r="P691"/>
      <c r="Q691"/>
      <c r="R691"/>
      <c r="S691"/>
      <c r="T691"/>
      <c r="U691"/>
      <c r="V691"/>
      <c r="W691"/>
      <c r="X691"/>
      <c r="Y691"/>
      <c r="Z691"/>
      <c r="AA691"/>
    </row>
    <row r="692" spans="1:27" x14ac:dyDescent="0.4">
      <c r="A692"/>
      <c r="B692"/>
      <c r="C692"/>
      <c r="D692"/>
      <c r="E692"/>
      <c r="F692"/>
      <c r="G692"/>
      <c r="H692"/>
      <c r="I692"/>
      <c r="J692"/>
      <c r="K692"/>
      <c r="L692"/>
      <c r="M692"/>
      <c r="N692"/>
      <c r="O692"/>
      <c r="P692"/>
      <c r="Q692"/>
      <c r="R692"/>
      <c r="S692"/>
      <c r="T692"/>
      <c r="U692"/>
      <c r="V692"/>
      <c r="W692"/>
      <c r="X692"/>
      <c r="Y692"/>
      <c r="Z692"/>
      <c r="AA692"/>
    </row>
    <row r="693" spans="1:27" x14ac:dyDescent="0.4">
      <c r="A693"/>
      <c r="B693"/>
      <c r="C693"/>
      <c r="D693"/>
      <c r="E693"/>
      <c r="F693"/>
      <c r="G693"/>
      <c r="H693"/>
      <c r="I693"/>
      <c r="J693"/>
      <c r="K693"/>
      <c r="L693"/>
      <c r="M693"/>
      <c r="N693"/>
      <c r="O693"/>
      <c r="P693"/>
      <c r="Q693"/>
      <c r="R693"/>
      <c r="S693"/>
      <c r="T693"/>
      <c r="U693"/>
      <c r="V693"/>
      <c r="W693"/>
      <c r="X693"/>
      <c r="Y693"/>
      <c r="Z693"/>
      <c r="AA693"/>
    </row>
    <row r="694" spans="1:27" x14ac:dyDescent="0.4">
      <c r="A694"/>
      <c r="B694"/>
      <c r="C694"/>
      <c r="D694"/>
      <c r="E694"/>
      <c r="F694"/>
      <c r="G694"/>
      <c r="H694"/>
      <c r="I694"/>
      <c r="J694"/>
      <c r="K694"/>
      <c r="L694"/>
      <c r="M694"/>
      <c r="N694"/>
      <c r="O694"/>
      <c r="P694"/>
      <c r="Q694"/>
      <c r="R694"/>
      <c r="S694"/>
      <c r="T694"/>
      <c r="U694"/>
      <c r="V694"/>
      <c r="W694"/>
      <c r="X694"/>
      <c r="Y694"/>
      <c r="Z694"/>
      <c r="AA694"/>
    </row>
    <row r="695" spans="1:27" x14ac:dyDescent="0.4">
      <c r="A695"/>
      <c r="B695"/>
      <c r="C695"/>
      <c r="D695"/>
      <c r="E695"/>
      <c r="F695"/>
      <c r="G695"/>
      <c r="H695"/>
      <c r="I695"/>
      <c r="J695"/>
      <c r="K695"/>
      <c r="L695"/>
      <c r="M695"/>
      <c r="N695"/>
      <c r="O695"/>
      <c r="P695"/>
      <c r="Q695"/>
      <c r="R695"/>
      <c r="S695"/>
      <c r="T695"/>
      <c r="U695"/>
      <c r="V695"/>
      <c r="W695"/>
      <c r="X695"/>
      <c r="Y695"/>
      <c r="Z695"/>
      <c r="AA695"/>
    </row>
    <row r="696" spans="1:27" x14ac:dyDescent="0.4">
      <c r="A696"/>
      <c r="B696"/>
      <c r="C696"/>
      <c r="D696"/>
      <c r="E696"/>
      <c r="F696"/>
      <c r="G696"/>
      <c r="H696"/>
      <c r="I696"/>
      <c r="J696"/>
      <c r="K696"/>
      <c r="L696"/>
      <c r="M696"/>
      <c r="N696"/>
      <c r="O696"/>
      <c r="P696"/>
      <c r="Q696"/>
      <c r="R696"/>
      <c r="S696"/>
      <c r="T696"/>
      <c r="U696"/>
      <c r="V696"/>
      <c r="W696"/>
      <c r="X696"/>
      <c r="Y696"/>
      <c r="Z696"/>
      <c r="AA696"/>
    </row>
    <row r="697" spans="1:27" x14ac:dyDescent="0.4">
      <c r="A697"/>
      <c r="B697"/>
      <c r="C697"/>
      <c r="D697"/>
      <c r="E697"/>
      <c r="F697"/>
      <c r="G697"/>
      <c r="H697"/>
      <c r="I697"/>
      <c r="J697"/>
      <c r="K697"/>
      <c r="L697"/>
      <c r="M697"/>
      <c r="N697"/>
      <c r="O697"/>
      <c r="P697"/>
      <c r="Q697"/>
      <c r="R697"/>
      <c r="S697"/>
      <c r="T697"/>
      <c r="U697"/>
      <c r="V697"/>
      <c r="W697"/>
      <c r="X697"/>
      <c r="Y697"/>
      <c r="Z697"/>
      <c r="AA697"/>
    </row>
    <row r="698" spans="1:27" x14ac:dyDescent="0.4">
      <c r="A698"/>
      <c r="B698"/>
      <c r="C698"/>
      <c r="D698"/>
      <c r="E698"/>
      <c r="F698"/>
      <c r="G698"/>
      <c r="H698"/>
      <c r="I698"/>
      <c r="J698"/>
      <c r="K698"/>
      <c r="L698"/>
      <c r="M698"/>
      <c r="N698"/>
      <c r="O698"/>
      <c r="P698"/>
      <c r="Q698"/>
      <c r="R698"/>
      <c r="S698"/>
      <c r="T698"/>
      <c r="U698"/>
      <c r="V698"/>
      <c r="W698"/>
      <c r="X698"/>
      <c r="Y698"/>
      <c r="Z698"/>
      <c r="AA698"/>
    </row>
    <row r="699" spans="1:27" x14ac:dyDescent="0.4">
      <c r="A699"/>
      <c r="B699"/>
      <c r="C699"/>
      <c r="D699"/>
      <c r="E699"/>
      <c r="F699"/>
      <c r="G699"/>
      <c r="H699"/>
      <c r="I699"/>
      <c r="J699"/>
      <c r="K699"/>
      <c r="L699"/>
      <c r="M699"/>
      <c r="N699"/>
      <c r="O699"/>
      <c r="P699"/>
      <c r="Q699"/>
      <c r="R699"/>
      <c r="S699"/>
      <c r="T699"/>
      <c r="U699"/>
      <c r="V699"/>
      <c r="W699"/>
      <c r="X699"/>
      <c r="Y699"/>
      <c r="Z699"/>
      <c r="AA699"/>
    </row>
    <row r="700" spans="1:27" x14ac:dyDescent="0.4">
      <c r="A700"/>
      <c r="B700"/>
      <c r="C700"/>
      <c r="D700"/>
      <c r="E700"/>
      <c r="F700"/>
      <c r="G700"/>
      <c r="H700"/>
      <c r="I700"/>
      <c r="J700"/>
      <c r="K700"/>
      <c r="L700"/>
      <c r="M700"/>
      <c r="N700"/>
      <c r="O700"/>
      <c r="P700"/>
      <c r="Q700"/>
      <c r="R700"/>
      <c r="S700"/>
      <c r="T700"/>
      <c r="U700"/>
      <c r="V700"/>
      <c r="W700"/>
      <c r="X700"/>
      <c r="Y700"/>
      <c r="Z700"/>
      <c r="AA700"/>
    </row>
    <row r="701" spans="1:27" x14ac:dyDescent="0.4">
      <c r="A701"/>
      <c r="B701"/>
      <c r="C701"/>
      <c r="D701"/>
      <c r="E701"/>
      <c r="F701"/>
      <c r="G701"/>
      <c r="H701"/>
      <c r="I701"/>
      <c r="J701"/>
      <c r="K701"/>
      <c r="L701"/>
      <c r="M701"/>
      <c r="N701"/>
      <c r="O701"/>
      <c r="P701"/>
      <c r="Q701"/>
      <c r="R701"/>
      <c r="S701"/>
      <c r="T701"/>
      <c r="U701"/>
      <c r="V701"/>
      <c r="W701"/>
      <c r="X701"/>
      <c r="Y701"/>
      <c r="Z701"/>
      <c r="AA701"/>
    </row>
    <row r="702" spans="1:27" x14ac:dyDescent="0.4">
      <c r="A702"/>
      <c r="B702"/>
      <c r="C702"/>
      <c r="D702"/>
      <c r="E702"/>
      <c r="F702"/>
      <c r="G702"/>
      <c r="H702"/>
      <c r="I702"/>
      <c r="J702"/>
      <c r="K702"/>
      <c r="L702"/>
      <c r="M702"/>
      <c r="N702"/>
      <c r="O702"/>
      <c r="P702"/>
      <c r="Q702"/>
      <c r="R702"/>
      <c r="S702"/>
      <c r="T702"/>
      <c r="U702"/>
      <c r="V702"/>
      <c r="W702"/>
      <c r="X702"/>
      <c r="Y702"/>
      <c r="Z702"/>
      <c r="AA702"/>
    </row>
    <row r="703" spans="1:27" x14ac:dyDescent="0.4">
      <c r="A703"/>
      <c r="B703"/>
      <c r="C703"/>
      <c r="D703"/>
      <c r="E703"/>
      <c r="F703"/>
      <c r="G703"/>
      <c r="H703"/>
      <c r="I703"/>
      <c r="J703"/>
      <c r="K703"/>
      <c r="L703"/>
      <c r="M703"/>
      <c r="N703"/>
      <c r="O703"/>
      <c r="P703"/>
      <c r="Q703"/>
      <c r="R703"/>
      <c r="S703"/>
      <c r="T703"/>
      <c r="U703"/>
      <c r="V703"/>
      <c r="W703"/>
      <c r="X703"/>
      <c r="Y703"/>
      <c r="Z703"/>
      <c r="AA703"/>
    </row>
    <row r="704" spans="1:27" x14ac:dyDescent="0.4">
      <c r="A704"/>
      <c r="B704"/>
      <c r="C704"/>
      <c r="D704"/>
      <c r="E704"/>
      <c r="F704"/>
      <c r="G704"/>
      <c r="H704"/>
      <c r="I704"/>
      <c r="J704"/>
      <c r="K704"/>
      <c r="L704"/>
      <c r="M704"/>
      <c r="N704"/>
      <c r="O704"/>
      <c r="P704"/>
      <c r="Q704"/>
      <c r="R704"/>
      <c r="S704"/>
      <c r="T704"/>
      <c r="U704"/>
      <c r="V704"/>
      <c r="W704"/>
      <c r="X704"/>
      <c r="Y704"/>
      <c r="Z704"/>
      <c r="AA704"/>
    </row>
    <row r="705" spans="1:27" x14ac:dyDescent="0.4">
      <c r="A705"/>
      <c r="B705"/>
      <c r="C705"/>
      <c r="D705"/>
      <c r="E705"/>
      <c r="F705"/>
      <c r="G705"/>
      <c r="H705"/>
      <c r="I705"/>
      <c r="J705"/>
      <c r="K705"/>
      <c r="L705"/>
      <c r="M705"/>
      <c r="N705"/>
      <c r="O705"/>
      <c r="P705"/>
      <c r="Q705"/>
      <c r="R705"/>
      <c r="S705"/>
      <c r="T705"/>
      <c r="U705"/>
      <c r="V705"/>
      <c r="W705"/>
      <c r="X705"/>
      <c r="Y705"/>
      <c r="Z705"/>
      <c r="AA705"/>
    </row>
    <row r="706" spans="1:27" x14ac:dyDescent="0.4">
      <c r="A706"/>
      <c r="B706"/>
      <c r="C706"/>
      <c r="D706"/>
      <c r="E706"/>
      <c r="F706"/>
      <c r="G706"/>
      <c r="H706"/>
      <c r="I706"/>
      <c r="J706"/>
      <c r="K706"/>
      <c r="L706"/>
      <c r="M706"/>
      <c r="N706"/>
      <c r="O706"/>
      <c r="P706"/>
      <c r="Q706"/>
      <c r="R706"/>
      <c r="S706"/>
      <c r="T706"/>
      <c r="U706"/>
      <c r="V706"/>
      <c r="W706"/>
      <c r="X706"/>
      <c r="Y706"/>
      <c r="Z706"/>
      <c r="AA706"/>
    </row>
    <row r="707" spans="1:27" x14ac:dyDescent="0.4">
      <c r="A707"/>
      <c r="B707"/>
      <c r="C707"/>
      <c r="D707"/>
      <c r="E707"/>
      <c r="F707"/>
      <c r="G707"/>
      <c r="H707"/>
      <c r="I707"/>
      <c r="J707"/>
      <c r="K707"/>
      <c r="L707"/>
      <c r="M707"/>
      <c r="N707"/>
      <c r="O707"/>
      <c r="P707"/>
      <c r="Q707"/>
      <c r="R707"/>
      <c r="S707"/>
      <c r="T707"/>
      <c r="U707"/>
      <c r="V707"/>
      <c r="W707"/>
      <c r="X707"/>
      <c r="Y707"/>
      <c r="Z707"/>
      <c r="AA707"/>
    </row>
    <row r="708" spans="1:27" x14ac:dyDescent="0.4">
      <c r="A708"/>
      <c r="B708"/>
      <c r="C708"/>
      <c r="D708"/>
      <c r="E708"/>
      <c r="F708"/>
      <c r="G708"/>
      <c r="H708"/>
      <c r="I708"/>
      <c r="J708"/>
      <c r="K708"/>
      <c r="L708"/>
      <c r="M708"/>
      <c r="N708"/>
      <c r="O708"/>
      <c r="P708"/>
      <c r="Q708"/>
      <c r="R708"/>
      <c r="S708"/>
      <c r="T708"/>
      <c r="U708"/>
      <c r="V708"/>
      <c r="W708"/>
      <c r="X708"/>
      <c r="Y708"/>
      <c r="Z708"/>
      <c r="AA708"/>
    </row>
    <row r="709" spans="1:27" x14ac:dyDescent="0.4">
      <c r="A709"/>
      <c r="B709"/>
      <c r="C709"/>
      <c r="D709"/>
      <c r="E709"/>
      <c r="F709"/>
      <c r="G709"/>
      <c r="H709"/>
      <c r="I709"/>
      <c r="J709"/>
      <c r="K709"/>
      <c r="L709"/>
      <c r="M709"/>
      <c r="N709"/>
      <c r="O709"/>
      <c r="P709"/>
      <c r="Q709"/>
      <c r="R709"/>
      <c r="S709"/>
      <c r="T709"/>
      <c r="U709"/>
      <c r="V709"/>
      <c r="W709"/>
      <c r="X709"/>
      <c r="Y709"/>
      <c r="Z709"/>
      <c r="AA709"/>
    </row>
    <row r="710" spans="1:27" x14ac:dyDescent="0.4">
      <c r="A710"/>
      <c r="B710"/>
      <c r="C710"/>
      <c r="D710"/>
      <c r="E710"/>
      <c r="F710"/>
      <c r="G710"/>
      <c r="H710"/>
      <c r="I710"/>
      <c r="J710"/>
      <c r="K710"/>
      <c r="L710"/>
      <c r="M710"/>
      <c r="N710"/>
      <c r="O710"/>
      <c r="P710"/>
      <c r="Q710"/>
      <c r="R710"/>
      <c r="S710"/>
      <c r="T710"/>
      <c r="U710"/>
      <c r="V710"/>
      <c r="W710"/>
      <c r="X710"/>
      <c r="Y710"/>
      <c r="Z710"/>
      <c r="AA710"/>
    </row>
    <row r="711" spans="1:27" x14ac:dyDescent="0.4">
      <c r="A711"/>
      <c r="B711"/>
      <c r="C711"/>
      <c r="D711"/>
      <c r="E711"/>
      <c r="F711"/>
      <c r="G711"/>
      <c r="H711"/>
      <c r="I711"/>
      <c r="J711"/>
      <c r="K711"/>
      <c r="L711"/>
      <c r="M711"/>
      <c r="N711"/>
      <c r="O711"/>
      <c r="P711"/>
      <c r="Q711"/>
      <c r="R711"/>
      <c r="S711"/>
      <c r="T711"/>
      <c r="U711"/>
      <c r="V711"/>
      <c r="W711"/>
      <c r="X711"/>
      <c r="Y711"/>
      <c r="Z711"/>
      <c r="AA711"/>
    </row>
    <row r="712" spans="1:27" x14ac:dyDescent="0.4">
      <c r="A712"/>
      <c r="B712"/>
      <c r="C712"/>
      <c r="D712"/>
      <c r="E712"/>
      <c r="F712"/>
      <c r="G712"/>
      <c r="H712"/>
      <c r="I712"/>
      <c r="J712"/>
      <c r="K712"/>
      <c r="L712"/>
      <c r="M712"/>
      <c r="N712"/>
      <c r="O712"/>
      <c r="P712"/>
      <c r="Q712"/>
      <c r="R712"/>
      <c r="S712"/>
      <c r="T712"/>
      <c r="U712"/>
      <c r="V712"/>
      <c r="W712"/>
      <c r="X712"/>
      <c r="Y712"/>
      <c r="Z712"/>
      <c r="AA712"/>
    </row>
    <row r="713" spans="1:27" x14ac:dyDescent="0.4">
      <c r="A713"/>
      <c r="B713"/>
      <c r="C713"/>
      <c r="D713"/>
      <c r="E713"/>
      <c r="F713"/>
      <c r="G713"/>
      <c r="H713"/>
      <c r="I713"/>
      <c r="J713"/>
      <c r="K713"/>
      <c r="L713"/>
      <c r="M713"/>
      <c r="N713"/>
      <c r="O713"/>
      <c r="P713"/>
      <c r="Q713"/>
      <c r="R713"/>
      <c r="S713"/>
      <c r="T713"/>
      <c r="U713"/>
      <c r="V713"/>
      <c r="W713"/>
      <c r="X713"/>
      <c r="Y713"/>
      <c r="Z713"/>
      <c r="AA713"/>
    </row>
    <row r="714" spans="1:27" x14ac:dyDescent="0.4">
      <c r="A714"/>
      <c r="B714"/>
      <c r="C714"/>
      <c r="D714"/>
      <c r="E714"/>
      <c r="F714"/>
      <c r="G714"/>
      <c r="H714"/>
      <c r="I714"/>
      <c r="J714"/>
      <c r="K714"/>
      <c r="L714"/>
      <c r="M714"/>
      <c r="N714"/>
      <c r="O714"/>
      <c r="P714"/>
      <c r="Q714"/>
      <c r="R714"/>
      <c r="S714"/>
      <c r="T714"/>
      <c r="U714"/>
      <c r="V714"/>
      <c r="W714"/>
      <c r="X714"/>
      <c r="Y714"/>
      <c r="Z714"/>
      <c r="AA714"/>
    </row>
    <row r="715" spans="1:27" x14ac:dyDescent="0.4">
      <c r="A715"/>
      <c r="B715"/>
      <c r="C715"/>
      <c r="D715"/>
      <c r="E715"/>
      <c r="F715"/>
      <c r="G715"/>
      <c r="H715"/>
      <c r="I715"/>
      <c r="J715"/>
      <c r="K715"/>
      <c r="L715"/>
      <c r="M715"/>
      <c r="N715"/>
      <c r="O715"/>
      <c r="P715"/>
      <c r="Q715"/>
      <c r="R715"/>
      <c r="S715"/>
      <c r="T715"/>
      <c r="U715"/>
      <c r="V715"/>
      <c r="W715"/>
      <c r="X715"/>
      <c r="Y715"/>
      <c r="Z715"/>
      <c r="AA715"/>
    </row>
    <row r="716" spans="1:27" x14ac:dyDescent="0.4">
      <c r="A716"/>
      <c r="B716"/>
      <c r="C716"/>
      <c r="D716"/>
      <c r="E716"/>
      <c r="F716"/>
      <c r="G716"/>
      <c r="H716"/>
      <c r="I716"/>
      <c r="J716"/>
      <c r="K716"/>
      <c r="L716"/>
      <c r="M716"/>
      <c r="N716"/>
      <c r="O716"/>
      <c r="P716"/>
      <c r="Q716"/>
      <c r="R716"/>
      <c r="S716"/>
      <c r="T716"/>
      <c r="U716"/>
      <c r="V716"/>
      <c r="W716"/>
      <c r="X716"/>
      <c r="Y716"/>
      <c r="Z716"/>
      <c r="AA716"/>
    </row>
    <row r="717" spans="1:27" x14ac:dyDescent="0.4">
      <c r="A717"/>
      <c r="B717"/>
      <c r="C717"/>
      <c r="D717"/>
      <c r="E717"/>
      <c r="F717"/>
      <c r="G717"/>
      <c r="H717"/>
      <c r="I717"/>
      <c r="J717"/>
      <c r="K717"/>
      <c r="L717"/>
      <c r="M717"/>
      <c r="N717"/>
      <c r="O717"/>
      <c r="P717"/>
      <c r="Q717"/>
      <c r="R717"/>
      <c r="S717"/>
      <c r="T717"/>
      <c r="U717"/>
      <c r="V717"/>
      <c r="W717"/>
      <c r="X717"/>
      <c r="Y717"/>
      <c r="Z717"/>
      <c r="AA717"/>
    </row>
    <row r="718" spans="1:27" x14ac:dyDescent="0.4">
      <c r="A718"/>
      <c r="B718"/>
      <c r="C718"/>
      <c r="D718"/>
      <c r="E718"/>
      <c r="F718"/>
      <c r="G718"/>
      <c r="H718"/>
      <c r="I718"/>
      <c r="J718"/>
      <c r="K718"/>
      <c r="L718"/>
      <c r="M718"/>
      <c r="N718"/>
      <c r="O718"/>
      <c r="P718"/>
      <c r="Q718"/>
      <c r="R718"/>
      <c r="S718"/>
      <c r="T718"/>
      <c r="U718"/>
      <c r="V718"/>
      <c r="W718"/>
      <c r="X718"/>
      <c r="Y718"/>
      <c r="Z718"/>
      <c r="AA718"/>
    </row>
    <row r="719" spans="1:27" x14ac:dyDescent="0.4">
      <c r="A719"/>
      <c r="B719"/>
      <c r="C719"/>
      <c r="D719"/>
      <c r="E719"/>
      <c r="F719"/>
      <c r="G719"/>
      <c r="H719"/>
      <c r="I719"/>
      <c r="J719"/>
      <c r="K719"/>
      <c r="L719"/>
      <c r="M719"/>
      <c r="N719"/>
      <c r="O719"/>
      <c r="P719"/>
      <c r="Q719"/>
      <c r="R719"/>
      <c r="S719"/>
      <c r="T719"/>
      <c r="U719"/>
      <c r="V719"/>
      <c r="W719"/>
      <c r="X719"/>
      <c r="Y719"/>
      <c r="Z719"/>
      <c r="AA719"/>
    </row>
    <row r="720" spans="1:27" x14ac:dyDescent="0.4">
      <c r="A720"/>
      <c r="B720"/>
      <c r="C720"/>
      <c r="D720"/>
      <c r="E720"/>
      <c r="F720"/>
      <c r="G720"/>
      <c r="H720"/>
      <c r="I720"/>
      <c r="J720"/>
      <c r="K720"/>
      <c r="L720"/>
      <c r="M720"/>
      <c r="N720"/>
      <c r="O720"/>
      <c r="P720"/>
      <c r="Q720"/>
      <c r="R720"/>
      <c r="S720"/>
      <c r="T720"/>
      <c r="U720"/>
      <c r="V720"/>
      <c r="W720"/>
      <c r="X720"/>
      <c r="Y720"/>
      <c r="Z720"/>
      <c r="AA720"/>
    </row>
    <row r="721" spans="1:27" x14ac:dyDescent="0.4">
      <c r="A721"/>
      <c r="B721"/>
      <c r="C721"/>
      <c r="D721"/>
      <c r="E721"/>
      <c r="F721"/>
      <c r="G721"/>
      <c r="H721"/>
      <c r="I721"/>
      <c r="J721"/>
      <c r="K721"/>
      <c r="L721"/>
      <c r="M721"/>
      <c r="N721"/>
      <c r="O721"/>
      <c r="P721"/>
      <c r="Q721"/>
      <c r="R721"/>
      <c r="S721"/>
      <c r="T721"/>
      <c r="U721"/>
      <c r="V721"/>
      <c r="W721"/>
      <c r="X721"/>
      <c r="Y721"/>
      <c r="Z721"/>
      <c r="AA721"/>
    </row>
    <row r="722" spans="1:27" x14ac:dyDescent="0.4">
      <c r="A722"/>
      <c r="B722"/>
      <c r="C722"/>
      <c r="D722"/>
      <c r="E722"/>
      <c r="F722"/>
      <c r="G722"/>
      <c r="H722"/>
      <c r="I722"/>
      <c r="J722"/>
      <c r="K722"/>
      <c r="L722"/>
      <c r="M722"/>
      <c r="N722"/>
      <c r="O722"/>
      <c r="P722"/>
      <c r="Q722"/>
      <c r="R722"/>
      <c r="S722"/>
      <c r="T722"/>
      <c r="U722"/>
      <c r="V722"/>
      <c r="W722"/>
      <c r="X722"/>
      <c r="Y722"/>
      <c r="Z722"/>
      <c r="AA722"/>
    </row>
    <row r="723" spans="1:27" x14ac:dyDescent="0.4">
      <c r="A723"/>
      <c r="B723"/>
      <c r="C723"/>
      <c r="D723"/>
      <c r="E723"/>
      <c r="F723"/>
      <c r="G723"/>
      <c r="H723"/>
      <c r="I723"/>
      <c r="J723"/>
      <c r="K723"/>
      <c r="L723"/>
      <c r="M723"/>
      <c r="N723"/>
      <c r="O723"/>
      <c r="P723"/>
      <c r="Q723"/>
      <c r="R723"/>
      <c r="S723"/>
      <c r="T723"/>
      <c r="U723"/>
      <c r="V723"/>
      <c r="W723"/>
      <c r="X723"/>
      <c r="Y723"/>
      <c r="Z723"/>
      <c r="AA723"/>
    </row>
    <row r="724" spans="1:27" x14ac:dyDescent="0.4">
      <c r="A724"/>
      <c r="B724"/>
      <c r="C724"/>
      <c r="D724"/>
      <c r="E724"/>
      <c r="F724"/>
      <c r="G724"/>
      <c r="H724"/>
      <c r="I724"/>
      <c r="J724"/>
      <c r="K724"/>
      <c r="L724"/>
      <c r="M724"/>
      <c r="N724"/>
      <c r="O724"/>
      <c r="P724"/>
      <c r="Q724"/>
      <c r="R724"/>
      <c r="S724"/>
      <c r="T724"/>
      <c r="U724"/>
      <c r="V724"/>
      <c r="W724"/>
      <c r="X724"/>
      <c r="Y724"/>
      <c r="Z724"/>
      <c r="AA724"/>
    </row>
    <row r="725" spans="1:27" x14ac:dyDescent="0.4">
      <c r="A725"/>
      <c r="B725"/>
      <c r="C725"/>
      <c r="D725"/>
      <c r="E725"/>
      <c r="F725"/>
      <c r="G725"/>
      <c r="H725"/>
      <c r="I725"/>
      <c r="J725"/>
      <c r="K725"/>
      <c r="L725"/>
      <c r="M725"/>
      <c r="N725"/>
      <c r="O725"/>
      <c r="P725"/>
      <c r="Q725"/>
      <c r="R725"/>
      <c r="S725"/>
      <c r="T725"/>
      <c r="U725"/>
      <c r="V725"/>
      <c r="W725"/>
      <c r="X725"/>
      <c r="Y725"/>
      <c r="Z725"/>
      <c r="AA725"/>
    </row>
    <row r="726" spans="1:27" x14ac:dyDescent="0.4">
      <c r="A726"/>
      <c r="B726"/>
      <c r="C726"/>
      <c r="D726"/>
      <c r="E726"/>
      <c r="F726"/>
      <c r="G726"/>
      <c r="H726"/>
      <c r="I726"/>
      <c r="J726"/>
      <c r="K726"/>
      <c r="L726"/>
      <c r="M726"/>
      <c r="N726"/>
      <c r="O726"/>
      <c r="P726"/>
      <c r="Q726"/>
      <c r="R726"/>
      <c r="S726"/>
      <c r="T726"/>
      <c r="U726"/>
      <c r="V726"/>
      <c r="W726"/>
      <c r="X726"/>
      <c r="Y726"/>
      <c r="Z726"/>
      <c r="AA726"/>
    </row>
    <row r="727" spans="1:27" x14ac:dyDescent="0.4">
      <c r="A727"/>
      <c r="B727"/>
      <c r="C727"/>
      <c r="D727"/>
      <c r="E727"/>
      <c r="F727"/>
      <c r="G727"/>
      <c r="H727"/>
      <c r="I727"/>
      <c r="J727"/>
      <c r="K727"/>
      <c r="L727"/>
      <c r="M727"/>
      <c r="N727"/>
      <c r="O727"/>
      <c r="P727"/>
      <c r="Q727"/>
      <c r="R727"/>
      <c r="S727"/>
      <c r="T727"/>
      <c r="U727"/>
      <c r="V727"/>
      <c r="W727"/>
      <c r="X727"/>
      <c r="Y727"/>
      <c r="Z727"/>
      <c r="AA727"/>
    </row>
    <row r="728" spans="1:27" x14ac:dyDescent="0.4">
      <c r="A728"/>
      <c r="B728"/>
      <c r="C728"/>
      <c r="D728"/>
      <c r="E728"/>
      <c r="F728"/>
      <c r="G728"/>
      <c r="H728"/>
      <c r="I728"/>
      <c r="J728"/>
      <c r="K728"/>
      <c r="L728"/>
      <c r="M728"/>
      <c r="N728"/>
      <c r="O728"/>
      <c r="P728"/>
      <c r="Q728"/>
      <c r="R728"/>
      <c r="S728"/>
      <c r="T728"/>
      <c r="U728"/>
      <c r="V728"/>
      <c r="W728"/>
      <c r="X728"/>
      <c r="Y728"/>
      <c r="Z728"/>
      <c r="AA728"/>
    </row>
    <row r="729" spans="1:27" x14ac:dyDescent="0.4">
      <c r="A729"/>
      <c r="B729"/>
      <c r="C729"/>
      <c r="D729"/>
      <c r="E729"/>
      <c r="F729"/>
      <c r="G729"/>
      <c r="H729"/>
      <c r="I729"/>
      <c r="J729"/>
      <c r="K729"/>
      <c r="L729"/>
      <c r="M729"/>
      <c r="N729"/>
      <c r="O729"/>
      <c r="P729"/>
      <c r="Q729"/>
      <c r="R729"/>
      <c r="S729"/>
      <c r="T729"/>
      <c r="U729"/>
      <c r="V729"/>
      <c r="W729"/>
      <c r="X729"/>
      <c r="Y729"/>
      <c r="Z729"/>
      <c r="AA729"/>
    </row>
    <row r="730" spans="1:27" x14ac:dyDescent="0.4">
      <c r="A730"/>
      <c r="B730"/>
      <c r="C730"/>
      <c r="D730"/>
      <c r="E730"/>
      <c r="F730"/>
      <c r="G730"/>
      <c r="H730"/>
      <c r="I730"/>
      <c r="J730"/>
      <c r="K730"/>
      <c r="L730"/>
      <c r="M730"/>
      <c r="N730"/>
      <c r="O730"/>
      <c r="P730"/>
      <c r="Q730"/>
      <c r="R730"/>
      <c r="S730"/>
      <c r="T730"/>
      <c r="U730"/>
      <c r="V730"/>
      <c r="W730"/>
      <c r="X730"/>
      <c r="Y730"/>
      <c r="Z730"/>
      <c r="AA730"/>
    </row>
    <row r="731" spans="1:27" x14ac:dyDescent="0.4">
      <c r="A731"/>
      <c r="B731"/>
      <c r="C731"/>
      <c r="D731"/>
      <c r="E731"/>
      <c r="F731"/>
      <c r="G731"/>
      <c r="H731"/>
      <c r="I731"/>
      <c r="J731"/>
      <c r="K731"/>
      <c r="L731"/>
      <c r="M731"/>
      <c r="N731"/>
      <c r="O731"/>
      <c r="P731"/>
      <c r="Q731"/>
      <c r="R731"/>
      <c r="S731"/>
      <c r="T731"/>
      <c r="U731"/>
      <c r="V731"/>
      <c r="W731"/>
      <c r="X731"/>
      <c r="Y731"/>
      <c r="Z731"/>
      <c r="AA731"/>
    </row>
    <row r="732" spans="1:27" x14ac:dyDescent="0.4">
      <c r="A732"/>
      <c r="B732"/>
      <c r="C732"/>
      <c r="D732"/>
      <c r="E732"/>
      <c r="F732"/>
      <c r="G732"/>
      <c r="H732"/>
      <c r="I732"/>
      <c r="J732"/>
      <c r="K732"/>
      <c r="L732"/>
      <c r="M732"/>
      <c r="N732"/>
      <c r="O732"/>
      <c r="P732"/>
      <c r="Q732"/>
      <c r="R732"/>
      <c r="S732"/>
      <c r="T732"/>
      <c r="U732"/>
      <c r="V732"/>
      <c r="W732"/>
      <c r="X732"/>
      <c r="Y732"/>
      <c r="Z732"/>
      <c r="AA732"/>
    </row>
    <row r="733" spans="1:27" x14ac:dyDescent="0.4">
      <c r="A733"/>
      <c r="B733"/>
      <c r="C733"/>
      <c r="D733"/>
      <c r="E733"/>
      <c r="F733"/>
      <c r="G733"/>
      <c r="H733"/>
      <c r="I733"/>
      <c r="J733"/>
      <c r="K733"/>
      <c r="L733"/>
      <c r="M733"/>
      <c r="N733"/>
      <c r="O733"/>
      <c r="P733"/>
      <c r="Q733"/>
      <c r="R733"/>
      <c r="S733"/>
      <c r="T733"/>
      <c r="U733"/>
      <c r="V733"/>
      <c r="W733"/>
      <c r="X733"/>
      <c r="Y733"/>
      <c r="Z733"/>
      <c r="AA733"/>
    </row>
    <row r="734" spans="1:27" x14ac:dyDescent="0.4">
      <c r="A734"/>
      <c r="B734"/>
      <c r="C734"/>
      <c r="D734"/>
      <c r="E734"/>
      <c r="F734"/>
      <c r="G734"/>
      <c r="H734"/>
      <c r="I734"/>
      <c r="J734"/>
      <c r="K734"/>
      <c r="L734"/>
      <c r="M734"/>
      <c r="N734"/>
      <c r="O734"/>
      <c r="P734"/>
      <c r="Q734"/>
      <c r="R734"/>
      <c r="S734"/>
      <c r="T734"/>
      <c r="U734"/>
      <c r="V734"/>
      <c r="W734"/>
      <c r="X734"/>
      <c r="Y734"/>
      <c r="Z734"/>
      <c r="AA734"/>
    </row>
    <row r="735" spans="1:27" x14ac:dyDescent="0.4">
      <c r="A735"/>
      <c r="B735"/>
      <c r="C735"/>
      <c r="D735"/>
      <c r="E735"/>
      <c r="F735"/>
      <c r="G735"/>
      <c r="H735"/>
      <c r="I735"/>
      <c r="J735"/>
      <c r="K735"/>
      <c r="L735"/>
      <c r="M735"/>
      <c r="N735"/>
      <c r="O735"/>
      <c r="P735"/>
      <c r="Q735"/>
      <c r="R735"/>
      <c r="S735"/>
      <c r="T735"/>
      <c r="U735"/>
      <c r="V735"/>
      <c r="W735"/>
      <c r="X735"/>
      <c r="Y735"/>
      <c r="Z735"/>
      <c r="AA735"/>
    </row>
    <row r="736" spans="1:27" x14ac:dyDescent="0.4">
      <c r="A736"/>
      <c r="B736"/>
      <c r="C736"/>
      <c r="D736"/>
      <c r="E736"/>
      <c r="F736"/>
      <c r="G736"/>
      <c r="H736"/>
      <c r="I736"/>
      <c r="J736"/>
      <c r="K736"/>
      <c r="L736"/>
      <c r="M736"/>
      <c r="N736"/>
      <c r="O736"/>
      <c r="P736"/>
      <c r="Q736"/>
      <c r="R736"/>
      <c r="S736"/>
      <c r="T736"/>
      <c r="U736"/>
      <c r="V736"/>
      <c r="W736"/>
      <c r="X736"/>
      <c r="Y736"/>
      <c r="Z736"/>
      <c r="AA736"/>
    </row>
    <row r="737" spans="1:27" x14ac:dyDescent="0.4">
      <c r="A737"/>
      <c r="B737"/>
      <c r="C737"/>
      <c r="D737"/>
      <c r="E737"/>
      <c r="F737"/>
      <c r="G737"/>
      <c r="H737"/>
      <c r="I737"/>
      <c r="J737"/>
      <c r="K737"/>
      <c r="L737"/>
      <c r="M737"/>
      <c r="N737"/>
      <c r="O737"/>
      <c r="P737"/>
      <c r="Q737"/>
      <c r="R737"/>
      <c r="S737"/>
      <c r="T737"/>
      <c r="U737"/>
      <c r="V737"/>
      <c r="W737"/>
      <c r="X737"/>
      <c r="Y737"/>
      <c r="Z737"/>
      <c r="AA737"/>
    </row>
    <row r="738" spans="1:27" x14ac:dyDescent="0.4">
      <c r="A738"/>
      <c r="B738"/>
      <c r="C738"/>
      <c r="D738"/>
      <c r="E738"/>
      <c r="F738"/>
      <c r="G738"/>
      <c r="H738"/>
      <c r="I738"/>
      <c r="J738"/>
      <c r="K738"/>
      <c r="L738"/>
      <c r="M738"/>
      <c r="N738"/>
      <c r="O738"/>
      <c r="P738"/>
      <c r="Q738"/>
      <c r="R738"/>
      <c r="S738"/>
      <c r="T738"/>
      <c r="U738"/>
      <c r="V738"/>
      <c r="W738"/>
      <c r="X738"/>
      <c r="Y738"/>
      <c r="Z738"/>
      <c r="AA738"/>
    </row>
    <row r="739" spans="1:27" x14ac:dyDescent="0.4">
      <c r="A739"/>
      <c r="B739"/>
      <c r="C739"/>
      <c r="D739"/>
      <c r="E739"/>
      <c r="F739"/>
      <c r="G739"/>
      <c r="H739"/>
      <c r="I739"/>
      <c r="J739"/>
      <c r="K739"/>
      <c r="L739"/>
      <c r="M739"/>
      <c r="N739"/>
      <c r="O739"/>
      <c r="P739"/>
      <c r="Q739"/>
      <c r="R739"/>
      <c r="S739"/>
      <c r="T739"/>
      <c r="U739"/>
      <c r="V739"/>
      <c r="W739"/>
      <c r="X739"/>
      <c r="Y739"/>
      <c r="Z739"/>
      <c r="AA739"/>
    </row>
    <row r="740" spans="1:27" x14ac:dyDescent="0.4">
      <c r="A740"/>
      <c r="B740"/>
      <c r="C740"/>
      <c r="D740"/>
      <c r="E740"/>
      <c r="F740"/>
      <c r="G740"/>
      <c r="H740"/>
      <c r="I740"/>
      <c r="J740"/>
      <c r="K740"/>
      <c r="L740"/>
      <c r="M740"/>
      <c r="N740"/>
      <c r="O740"/>
      <c r="P740"/>
      <c r="Q740"/>
      <c r="R740"/>
      <c r="S740"/>
      <c r="T740"/>
      <c r="U740"/>
      <c r="V740"/>
      <c r="W740"/>
      <c r="X740"/>
      <c r="Y740"/>
      <c r="Z740"/>
      <c r="AA740"/>
    </row>
    <row r="741" spans="1:27" x14ac:dyDescent="0.4">
      <c r="A741"/>
      <c r="B741"/>
      <c r="C741"/>
      <c r="D741"/>
      <c r="E741"/>
      <c r="F741"/>
      <c r="G741"/>
      <c r="H741"/>
      <c r="I741"/>
      <c r="J741"/>
      <c r="K741"/>
      <c r="L741"/>
      <c r="M741"/>
      <c r="N741"/>
      <c r="O741"/>
      <c r="P741"/>
      <c r="Q741"/>
      <c r="R741"/>
      <c r="S741"/>
      <c r="T741"/>
      <c r="U741"/>
      <c r="V741"/>
      <c r="W741"/>
      <c r="X741"/>
      <c r="Y741"/>
      <c r="Z741"/>
      <c r="AA741"/>
    </row>
    <row r="742" spans="1:27" x14ac:dyDescent="0.4">
      <c r="A742"/>
      <c r="B742"/>
      <c r="C742"/>
      <c r="D742"/>
      <c r="E742"/>
      <c r="F742"/>
      <c r="G742"/>
      <c r="H742"/>
      <c r="I742"/>
      <c r="J742"/>
      <c r="K742"/>
      <c r="L742"/>
      <c r="M742"/>
      <c r="N742"/>
      <c r="O742"/>
      <c r="P742"/>
      <c r="Q742"/>
      <c r="R742"/>
      <c r="S742"/>
      <c r="T742"/>
      <c r="U742"/>
      <c r="V742"/>
      <c r="W742"/>
      <c r="X742"/>
      <c r="Y742"/>
      <c r="Z742"/>
      <c r="AA742"/>
    </row>
    <row r="743" spans="1:27" x14ac:dyDescent="0.4">
      <c r="A743"/>
      <c r="B743"/>
      <c r="C743"/>
      <c r="D743"/>
      <c r="E743"/>
      <c r="F743"/>
      <c r="G743"/>
      <c r="H743"/>
      <c r="I743"/>
      <c r="J743"/>
      <c r="K743"/>
      <c r="L743"/>
      <c r="M743"/>
      <c r="N743"/>
      <c r="O743"/>
      <c r="P743"/>
      <c r="Q743"/>
      <c r="R743"/>
      <c r="S743"/>
      <c r="T743"/>
      <c r="U743"/>
      <c r="V743"/>
      <c r="W743"/>
      <c r="X743"/>
      <c r="Y743"/>
      <c r="Z743"/>
      <c r="AA743"/>
    </row>
    <row r="744" spans="1:27" x14ac:dyDescent="0.4">
      <c r="A744"/>
      <c r="B744"/>
      <c r="C744"/>
      <c r="D744"/>
      <c r="E744"/>
      <c r="F744"/>
      <c r="G744"/>
      <c r="H744"/>
      <c r="I744"/>
      <c r="J744"/>
      <c r="K744"/>
      <c r="L744"/>
      <c r="M744"/>
      <c r="N744"/>
      <c r="O744"/>
      <c r="P744"/>
      <c r="Q744"/>
      <c r="R744"/>
      <c r="S744"/>
      <c r="T744"/>
      <c r="U744"/>
      <c r="V744"/>
      <c r="W744"/>
      <c r="X744"/>
      <c r="Y744"/>
      <c r="Z744"/>
      <c r="AA744"/>
    </row>
    <row r="745" spans="1:27" x14ac:dyDescent="0.4">
      <c r="A745"/>
      <c r="B745"/>
      <c r="C745"/>
      <c r="D745"/>
      <c r="E745"/>
      <c r="F745"/>
      <c r="G745"/>
      <c r="H745"/>
      <c r="I745"/>
      <c r="J745"/>
      <c r="K745"/>
      <c r="L745"/>
      <c r="M745"/>
      <c r="N745"/>
      <c r="O745"/>
      <c r="P745"/>
      <c r="Q745"/>
      <c r="R745"/>
      <c r="S745"/>
      <c r="T745"/>
      <c r="U745"/>
      <c r="V745"/>
      <c r="W745"/>
      <c r="X745"/>
      <c r="Y745"/>
      <c r="Z745"/>
      <c r="AA745"/>
    </row>
    <row r="746" spans="1:27" x14ac:dyDescent="0.4">
      <c r="A746"/>
      <c r="B746"/>
      <c r="C746"/>
      <c r="D746"/>
      <c r="E746"/>
      <c r="F746"/>
      <c r="G746"/>
      <c r="H746"/>
      <c r="I746"/>
      <c r="J746"/>
      <c r="K746"/>
      <c r="L746"/>
      <c r="M746"/>
      <c r="N746"/>
      <c r="O746"/>
      <c r="P746"/>
      <c r="Q746"/>
      <c r="R746"/>
      <c r="S746"/>
      <c r="T746"/>
      <c r="U746"/>
      <c r="V746"/>
      <c r="W746"/>
      <c r="X746"/>
      <c r="Y746"/>
      <c r="Z746"/>
      <c r="AA746"/>
    </row>
    <row r="747" spans="1:27" x14ac:dyDescent="0.4">
      <c r="A747"/>
      <c r="B747"/>
      <c r="C747"/>
      <c r="D747"/>
      <c r="E747"/>
      <c r="F747"/>
      <c r="G747"/>
      <c r="H747"/>
      <c r="I747"/>
      <c r="J747"/>
      <c r="K747"/>
      <c r="L747"/>
      <c r="M747"/>
      <c r="N747"/>
      <c r="O747"/>
      <c r="P747"/>
      <c r="Q747"/>
      <c r="R747"/>
      <c r="S747"/>
      <c r="T747"/>
      <c r="U747"/>
      <c r="V747"/>
      <c r="W747"/>
      <c r="X747"/>
      <c r="Y747"/>
      <c r="Z747"/>
      <c r="AA747"/>
    </row>
    <row r="748" spans="1:27" x14ac:dyDescent="0.4">
      <c r="A748"/>
      <c r="B748"/>
      <c r="C748"/>
      <c r="D748"/>
      <c r="E748"/>
      <c r="F748"/>
      <c r="G748"/>
      <c r="H748"/>
      <c r="I748"/>
      <c r="J748"/>
      <c r="K748"/>
      <c r="L748"/>
      <c r="M748"/>
      <c r="N748"/>
      <c r="O748"/>
      <c r="P748"/>
      <c r="Q748"/>
      <c r="R748"/>
      <c r="S748"/>
      <c r="T748"/>
      <c r="U748"/>
      <c r="V748"/>
      <c r="W748"/>
      <c r="X748"/>
      <c r="Y748"/>
      <c r="Z748"/>
      <c r="AA748"/>
    </row>
    <row r="749" spans="1:27" x14ac:dyDescent="0.4">
      <c r="A749"/>
      <c r="B749"/>
      <c r="C749"/>
      <c r="D749"/>
      <c r="E749"/>
      <c r="F749"/>
      <c r="G749"/>
      <c r="H749"/>
      <c r="I749"/>
      <c r="J749"/>
      <c r="K749"/>
      <c r="L749"/>
      <c r="M749"/>
      <c r="N749"/>
      <c r="O749"/>
      <c r="P749"/>
      <c r="Q749"/>
      <c r="R749"/>
      <c r="S749"/>
      <c r="T749"/>
      <c r="U749"/>
      <c r="V749"/>
      <c r="W749"/>
      <c r="X749"/>
      <c r="Y749"/>
      <c r="Z749"/>
      <c r="AA749"/>
    </row>
    <row r="750" spans="1:27" x14ac:dyDescent="0.4">
      <c r="A750"/>
      <c r="B750"/>
      <c r="C750"/>
      <c r="D750"/>
      <c r="E750"/>
      <c r="F750"/>
      <c r="G750"/>
      <c r="H750"/>
      <c r="I750"/>
      <c r="J750"/>
      <c r="K750"/>
      <c r="L750"/>
      <c r="M750"/>
      <c r="N750"/>
      <c r="O750"/>
      <c r="P750"/>
      <c r="Q750"/>
      <c r="R750"/>
      <c r="S750"/>
      <c r="T750"/>
      <c r="U750"/>
      <c r="V750"/>
      <c r="W750"/>
      <c r="X750"/>
      <c r="Y750"/>
      <c r="Z750"/>
      <c r="AA750"/>
    </row>
    <row r="751" spans="1:27" x14ac:dyDescent="0.4">
      <c r="A751"/>
      <c r="B751"/>
      <c r="C751"/>
      <c r="D751"/>
      <c r="E751"/>
      <c r="F751"/>
      <c r="G751"/>
      <c r="H751"/>
      <c r="I751"/>
      <c r="J751"/>
      <c r="K751"/>
      <c r="L751"/>
      <c r="M751"/>
      <c r="N751"/>
      <c r="O751"/>
      <c r="P751"/>
      <c r="Q751"/>
      <c r="R751"/>
      <c r="S751"/>
      <c r="T751"/>
      <c r="U751"/>
      <c r="V751"/>
      <c r="W751"/>
      <c r="X751"/>
      <c r="Y751"/>
      <c r="Z751"/>
      <c r="AA751"/>
    </row>
    <row r="752" spans="1:27" x14ac:dyDescent="0.4">
      <c r="A752"/>
      <c r="B752"/>
      <c r="C752"/>
      <c r="D752"/>
      <c r="E752"/>
      <c r="F752"/>
      <c r="G752"/>
      <c r="H752"/>
      <c r="I752"/>
      <c r="J752"/>
      <c r="K752"/>
      <c r="L752"/>
      <c r="M752"/>
      <c r="N752"/>
      <c r="O752"/>
      <c r="P752"/>
      <c r="Q752"/>
      <c r="R752"/>
      <c r="S752"/>
      <c r="T752"/>
      <c r="U752"/>
      <c r="V752"/>
      <c r="W752"/>
      <c r="X752"/>
      <c r="Y752"/>
      <c r="Z752"/>
      <c r="AA752"/>
    </row>
    <row r="753" spans="1:27" x14ac:dyDescent="0.4">
      <c r="A753"/>
      <c r="B753"/>
      <c r="C753"/>
      <c r="D753"/>
      <c r="E753"/>
      <c r="F753"/>
      <c r="G753"/>
      <c r="H753"/>
      <c r="I753"/>
      <c r="J753"/>
      <c r="K753"/>
      <c r="L753"/>
      <c r="M753"/>
      <c r="N753"/>
      <c r="O753"/>
      <c r="P753"/>
      <c r="Q753"/>
      <c r="R753"/>
      <c r="S753"/>
      <c r="T753"/>
      <c r="U753"/>
      <c r="V753"/>
      <c r="W753"/>
      <c r="X753"/>
      <c r="Y753"/>
      <c r="Z753"/>
      <c r="AA753"/>
    </row>
    <row r="754" spans="1:27" x14ac:dyDescent="0.4">
      <c r="A754"/>
      <c r="B754"/>
      <c r="C754"/>
      <c r="D754"/>
      <c r="E754"/>
      <c r="F754"/>
      <c r="G754"/>
      <c r="H754"/>
      <c r="I754"/>
      <c r="J754"/>
      <c r="K754"/>
      <c r="L754"/>
      <c r="M754"/>
      <c r="N754"/>
      <c r="O754"/>
      <c r="P754"/>
      <c r="Q754"/>
      <c r="R754"/>
      <c r="S754"/>
      <c r="T754"/>
      <c r="U754"/>
      <c r="V754"/>
      <c r="W754"/>
      <c r="X754"/>
      <c r="Y754"/>
      <c r="Z754"/>
      <c r="AA754"/>
    </row>
    <row r="755" spans="1:27" x14ac:dyDescent="0.4">
      <c r="A755"/>
      <c r="B755"/>
      <c r="C755"/>
      <c r="D755"/>
      <c r="E755"/>
      <c r="F755"/>
      <c r="G755"/>
      <c r="H755"/>
      <c r="I755"/>
      <c r="J755"/>
      <c r="K755"/>
      <c r="L755"/>
      <c r="M755"/>
      <c r="N755"/>
      <c r="O755"/>
      <c r="P755"/>
      <c r="Q755"/>
      <c r="R755"/>
      <c r="S755"/>
      <c r="T755"/>
      <c r="U755"/>
      <c r="V755"/>
      <c r="W755"/>
      <c r="X755"/>
      <c r="Y755"/>
      <c r="Z755"/>
      <c r="AA755"/>
    </row>
    <row r="756" spans="1:27" x14ac:dyDescent="0.4">
      <c r="A756"/>
      <c r="B756"/>
      <c r="C756"/>
      <c r="D756"/>
      <c r="E756"/>
      <c r="F756"/>
      <c r="G756"/>
      <c r="H756"/>
      <c r="I756"/>
      <c r="J756"/>
      <c r="K756"/>
      <c r="L756"/>
      <c r="M756"/>
      <c r="N756"/>
      <c r="O756"/>
      <c r="P756"/>
      <c r="Q756"/>
      <c r="R756"/>
      <c r="S756"/>
      <c r="T756"/>
      <c r="U756"/>
      <c r="V756"/>
      <c r="W756"/>
      <c r="X756"/>
      <c r="Y756"/>
      <c r="Z756"/>
      <c r="AA756"/>
    </row>
    <row r="757" spans="1:27" x14ac:dyDescent="0.4">
      <c r="A757"/>
      <c r="B757"/>
      <c r="C757"/>
      <c r="D757"/>
      <c r="E757"/>
      <c r="F757"/>
      <c r="G757"/>
      <c r="H757"/>
      <c r="I757"/>
      <c r="J757"/>
      <c r="K757"/>
      <c r="L757"/>
      <c r="M757"/>
      <c r="N757"/>
      <c r="O757"/>
      <c r="P757"/>
      <c r="Q757"/>
      <c r="R757"/>
      <c r="S757"/>
      <c r="T757"/>
      <c r="U757"/>
      <c r="V757"/>
      <c r="W757"/>
      <c r="X757"/>
      <c r="Y757"/>
      <c r="Z757"/>
      <c r="AA757"/>
    </row>
    <row r="758" spans="1:27" x14ac:dyDescent="0.4">
      <c r="A758"/>
      <c r="B758"/>
      <c r="C758"/>
      <c r="D758"/>
      <c r="E758"/>
      <c r="F758"/>
      <c r="G758"/>
      <c r="H758"/>
      <c r="I758"/>
      <c r="J758"/>
      <c r="K758"/>
      <c r="L758"/>
      <c r="M758"/>
      <c r="N758"/>
      <c r="O758"/>
      <c r="P758"/>
      <c r="Q758"/>
      <c r="R758"/>
      <c r="S758"/>
      <c r="T758"/>
      <c r="U758"/>
      <c r="V758"/>
      <c r="W758"/>
      <c r="X758"/>
      <c r="Y758"/>
      <c r="Z758"/>
      <c r="AA758"/>
    </row>
    <row r="759" spans="1:27" x14ac:dyDescent="0.4">
      <c r="A759"/>
      <c r="B759"/>
      <c r="C759"/>
      <c r="D759"/>
      <c r="E759"/>
      <c r="F759"/>
      <c r="G759"/>
      <c r="H759"/>
      <c r="I759"/>
      <c r="J759"/>
      <c r="K759"/>
      <c r="L759"/>
      <c r="M759"/>
      <c r="N759"/>
      <c r="O759"/>
      <c r="P759"/>
      <c r="Q759"/>
      <c r="R759"/>
      <c r="S759"/>
      <c r="T759"/>
      <c r="U759"/>
      <c r="V759"/>
      <c r="W759"/>
      <c r="X759"/>
      <c r="Y759"/>
      <c r="Z759"/>
      <c r="AA759"/>
    </row>
    <row r="760" spans="1:27" x14ac:dyDescent="0.4">
      <c r="A760"/>
      <c r="B760"/>
      <c r="C760"/>
      <c r="D760"/>
      <c r="E760"/>
      <c r="F760"/>
      <c r="G760"/>
      <c r="H760"/>
      <c r="I760"/>
      <c r="J760"/>
      <c r="K760"/>
      <c r="L760"/>
      <c r="M760"/>
      <c r="N760"/>
      <c r="O760"/>
      <c r="P760"/>
      <c r="Q760"/>
      <c r="R760"/>
      <c r="S760"/>
      <c r="T760"/>
      <c r="U760"/>
      <c r="V760"/>
      <c r="W760"/>
      <c r="X760"/>
      <c r="Y760"/>
      <c r="Z760"/>
      <c r="AA760"/>
    </row>
    <row r="761" spans="1:27" x14ac:dyDescent="0.4">
      <c r="A761"/>
      <c r="B761"/>
      <c r="C761"/>
      <c r="D761"/>
      <c r="E761"/>
      <c r="F761"/>
      <c r="G761"/>
      <c r="H761"/>
      <c r="I761"/>
      <c r="J761"/>
      <c r="K761"/>
      <c r="L761"/>
      <c r="M761"/>
      <c r="N761"/>
      <c r="O761"/>
      <c r="P761"/>
      <c r="Q761"/>
      <c r="R761"/>
      <c r="S761"/>
      <c r="T761"/>
      <c r="U761"/>
      <c r="V761"/>
      <c r="W761"/>
      <c r="X761"/>
      <c r="Y761"/>
      <c r="Z761"/>
      <c r="AA761"/>
    </row>
    <row r="762" spans="1:27" x14ac:dyDescent="0.4">
      <c r="A762"/>
      <c r="B762"/>
      <c r="C762"/>
      <c r="D762"/>
      <c r="E762"/>
      <c r="F762"/>
      <c r="G762"/>
      <c r="H762"/>
      <c r="I762"/>
      <c r="J762"/>
      <c r="K762"/>
      <c r="L762"/>
      <c r="M762"/>
      <c r="N762"/>
      <c r="O762"/>
      <c r="P762"/>
      <c r="Q762"/>
      <c r="R762"/>
      <c r="S762"/>
      <c r="T762"/>
      <c r="U762"/>
      <c r="V762"/>
      <c r="W762"/>
      <c r="X762"/>
      <c r="Y762"/>
      <c r="Z762"/>
      <c r="AA762"/>
    </row>
    <row r="763" spans="1:27" x14ac:dyDescent="0.4">
      <c r="A763"/>
      <c r="B763"/>
      <c r="C763"/>
      <c r="D763"/>
      <c r="E763"/>
      <c r="F763"/>
      <c r="G763"/>
      <c r="H763"/>
      <c r="I763"/>
      <c r="J763"/>
      <c r="K763"/>
      <c r="L763"/>
      <c r="M763"/>
      <c r="N763"/>
      <c r="O763"/>
      <c r="P763"/>
      <c r="Q763"/>
      <c r="R763"/>
      <c r="S763"/>
      <c r="T763"/>
      <c r="U763"/>
      <c r="V763"/>
      <c r="W763"/>
      <c r="X763"/>
      <c r="Y763"/>
      <c r="Z763"/>
      <c r="AA763"/>
    </row>
    <row r="764" spans="1:27" x14ac:dyDescent="0.4">
      <c r="A764"/>
      <c r="B764"/>
      <c r="C764"/>
      <c r="D764"/>
      <c r="E764"/>
      <c r="F764"/>
      <c r="G764"/>
      <c r="H764"/>
      <c r="I764"/>
      <c r="J764"/>
      <c r="K764"/>
      <c r="L764"/>
      <c r="M764"/>
      <c r="N764"/>
      <c r="O764"/>
      <c r="P764"/>
      <c r="Q764"/>
      <c r="R764"/>
      <c r="S764"/>
      <c r="T764"/>
      <c r="U764"/>
      <c r="V764"/>
      <c r="W764"/>
      <c r="X764"/>
      <c r="Y764"/>
      <c r="Z764"/>
      <c r="AA764"/>
    </row>
    <row r="765" spans="1:27" x14ac:dyDescent="0.4">
      <c r="A765"/>
      <c r="B765"/>
      <c r="C765"/>
      <c r="D765"/>
      <c r="E765"/>
      <c r="F765"/>
      <c r="G765"/>
      <c r="H765"/>
      <c r="I765"/>
      <c r="J765"/>
      <c r="K765"/>
      <c r="L765"/>
      <c r="M765"/>
      <c r="N765"/>
      <c r="O765"/>
      <c r="P765"/>
      <c r="Q765"/>
      <c r="R765"/>
      <c r="S765"/>
      <c r="T765"/>
      <c r="U765"/>
      <c r="V765"/>
      <c r="W765"/>
      <c r="X765"/>
      <c r="Y765"/>
      <c r="Z765"/>
      <c r="AA765"/>
    </row>
    <row r="766" spans="1:27" x14ac:dyDescent="0.4">
      <c r="A766"/>
      <c r="B766"/>
      <c r="C766"/>
      <c r="D766"/>
      <c r="E766"/>
      <c r="F766"/>
      <c r="G766"/>
      <c r="H766"/>
      <c r="I766"/>
      <c r="J766"/>
      <c r="K766"/>
      <c r="L766"/>
      <c r="M766"/>
      <c r="N766"/>
      <c r="O766"/>
      <c r="P766"/>
      <c r="Q766"/>
      <c r="R766"/>
      <c r="S766"/>
      <c r="T766"/>
      <c r="U766"/>
      <c r="V766"/>
      <c r="W766"/>
      <c r="X766"/>
      <c r="Y766"/>
      <c r="Z766"/>
      <c r="AA766"/>
    </row>
    <row r="767" spans="1:27" x14ac:dyDescent="0.4">
      <c r="A767"/>
      <c r="B767"/>
      <c r="C767"/>
      <c r="D767"/>
      <c r="E767"/>
      <c r="F767"/>
      <c r="G767"/>
      <c r="H767"/>
      <c r="I767"/>
      <c r="J767"/>
      <c r="K767"/>
      <c r="L767"/>
      <c r="M767"/>
      <c r="N767"/>
      <c r="O767"/>
      <c r="P767"/>
      <c r="Q767"/>
      <c r="R767"/>
      <c r="S767"/>
      <c r="T767"/>
      <c r="U767"/>
      <c r="V767"/>
      <c r="W767"/>
      <c r="X767"/>
      <c r="Y767"/>
      <c r="Z767"/>
      <c r="AA767"/>
    </row>
    <row r="768" spans="1:27" x14ac:dyDescent="0.4">
      <c r="A768"/>
      <c r="B768"/>
      <c r="C768"/>
      <c r="D768"/>
      <c r="E768"/>
      <c r="F768"/>
      <c r="G768"/>
      <c r="H768"/>
      <c r="I768"/>
      <c r="J768"/>
      <c r="K768"/>
      <c r="L768"/>
      <c r="M768"/>
      <c r="N768"/>
      <c r="O768"/>
      <c r="P768"/>
      <c r="Q768"/>
      <c r="R768"/>
      <c r="S768"/>
      <c r="T768"/>
      <c r="U768"/>
      <c r="V768"/>
      <c r="W768"/>
      <c r="X768"/>
      <c r="Y768"/>
      <c r="Z768"/>
      <c r="AA768"/>
    </row>
    <row r="769" spans="1:27" x14ac:dyDescent="0.4">
      <c r="A769"/>
      <c r="B769"/>
      <c r="C769"/>
      <c r="D769"/>
      <c r="E769"/>
      <c r="F769"/>
      <c r="G769"/>
      <c r="H769"/>
      <c r="I769"/>
      <c r="J769"/>
      <c r="K769"/>
      <c r="L769"/>
      <c r="M769"/>
      <c r="N769"/>
      <c r="O769"/>
      <c r="P769"/>
      <c r="Q769"/>
      <c r="R769"/>
      <c r="S769"/>
      <c r="T769"/>
      <c r="U769"/>
      <c r="V769"/>
      <c r="W769"/>
      <c r="X769"/>
      <c r="Y769"/>
      <c r="Z769"/>
      <c r="AA769"/>
    </row>
    <row r="770" spans="1:27" x14ac:dyDescent="0.4">
      <c r="A770"/>
      <c r="B770"/>
      <c r="C770"/>
      <c r="D770"/>
      <c r="E770"/>
      <c r="F770"/>
      <c r="G770"/>
      <c r="H770"/>
      <c r="I770"/>
      <c r="J770"/>
      <c r="K770"/>
      <c r="L770"/>
      <c r="M770"/>
      <c r="N770"/>
      <c r="O770"/>
      <c r="P770"/>
      <c r="Q770"/>
      <c r="R770"/>
      <c r="S770"/>
      <c r="T770"/>
      <c r="U770"/>
      <c r="V770"/>
      <c r="W770"/>
      <c r="X770"/>
      <c r="Y770"/>
      <c r="Z770"/>
      <c r="AA770"/>
    </row>
    <row r="771" spans="1:27" x14ac:dyDescent="0.4">
      <c r="A771"/>
      <c r="B771"/>
      <c r="C771"/>
      <c r="D771"/>
      <c r="E771"/>
      <c r="F771"/>
      <c r="G771"/>
      <c r="H771"/>
      <c r="I771"/>
      <c r="J771"/>
      <c r="K771"/>
      <c r="L771"/>
      <c r="M771"/>
      <c r="N771"/>
      <c r="O771"/>
      <c r="P771"/>
      <c r="Q771"/>
      <c r="R771"/>
      <c r="S771"/>
      <c r="T771"/>
      <c r="U771"/>
      <c r="V771"/>
      <c r="W771"/>
      <c r="X771"/>
      <c r="Y771"/>
      <c r="Z771"/>
      <c r="AA771"/>
    </row>
    <row r="772" spans="1:27" x14ac:dyDescent="0.4">
      <c r="A772"/>
      <c r="B772"/>
      <c r="C772"/>
      <c r="D772"/>
      <c r="E772"/>
      <c r="F772"/>
      <c r="G772"/>
      <c r="H772"/>
      <c r="I772"/>
      <c r="J772"/>
      <c r="K772"/>
      <c r="L772"/>
      <c r="M772"/>
      <c r="N772"/>
      <c r="O772"/>
      <c r="P772"/>
      <c r="Q772"/>
      <c r="R772"/>
      <c r="S772"/>
      <c r="T772"/>
      <c r="U772"/>
      <c r="V772"/>
      <c r="W772"/>
      <c r="X772"/>
      <c r="Y772"/>
      <c r="Z772"/>
      <c r="AA772"/>
    </row>
    <row r="773" spans="1:27" x14ac:dyDescent="0.4">
      <c r="A773"/>
      <c r="B773"/>
      <c r="C773"/>
      <c r="D773"/>
      <c r="E773"/>
      <c r="F773"/>
      <c r="G773"/>
      <c r="H773"/>
      <c r="I773"/>
      <c r="J773"/>
      <c r="K773"/>
      <c r="L773"/>
      <c r="M773"/>
      <c r="N773"/>
      <c r="O773"/>
      <c r="P773"/>
      <c r="Q773"/>
      <c r="R773"/>
      <c r="S773"/>
      <c r="T773"/>
      <c r="U773"/>
      <c r="V773"/>
      <c r="W773"/>
      <c r="X773"/>
      <c r="Y773"/>
      <c r="Z773"/>
      <c r="AA773"/>
    </row>
    <row r="774" spans="1:27" x14ac:dyDescent="0.4">
      <c r="A774"/>
      <c r="B774"/>
      <c r="C774"/>
      <c r="D774"/>
      <c r="E774"/>
      <c r="F774"/>
      <c r="G774"/>
      <c r="H774"/>
      <c r="I774"/>
      <c r="J774"/>
      <c r="K774"/>
      <c r="L774"/>
      <c r="M774"/>
      <c r="N774"/>
      <c r="O774"/>
      <c r="P774"/>
      <c r="Q774"/>
      <c r="R774"/>
      <c r="S774"/>
      <c r="T774"/>
      <c r="U774"/>
      <c r="V774"/>
      <c r="W774"/>
      <c r="X774"/>
      <c r="Y774"/>
      <c r="Z774"/>
      <c r="AA774"/>
    </row>
    <row r="775" spans="1:27" x14ac:dyDescent="0.4">
      <c r="A775"/>
      <c r="B775"/>
      <c r="C775"/>
      <c r="D775"/>
      <c r="E775"/>
      <c r="F775"/>
      <c r="G775"/>
      <c r="H775"/>
      <c r="I775"/>
      <c r="J775"/>
      <c r="K775"/>
      <c r="L775"/>
      <c r="M775"/>
      <c r="N775"/>
      <c r="O775"/>
      <c r="P775"/>
      <c r="Q775"/>
      <c r="R775"/>
      <c r="S775"/>
      <c r="T775"/>
      <c r="U775"/>
      <c r="V775"/>
      <c r="W775"/>
      <c r="X775"/>
      <c r="Y775"/>
      <c r="Z775"/>
      <c r="AA775"/>
    </row>
    <row r="776" spans="1:27" x14ac:dyDescent="0.4">
      <c r="A776"/>
      <c r="B776"/>
      <c r="C776"/>
      <c r="D776"/>
      <c r="E776"/>
      <c r="F776"/>
      <c r="G776"/>
      <c r="H776"/>
      <c r="I776"/>
      <c r="J776"/>
      <c r="K776"/>
      <c r="L776"/>
      <c r="M776"/>
      <c r="N776"/>
      <c r="O776"/>
      <c r="P776"/>
      <c r="Q776"/>
      <c r="R776"/>
      <c r="S776"/>
      <c r="T776"/>
      <c r="U776"/>
      <c r="V776"/>
      <c r="W776"/>
      <c r="X776"/>
      <c r="Y776"/>
      <c r="Z776"/>
      <c r="AA776"/>
    </row>
    <row r="777" spans="1:27" x14ac:dyDescent="0.4">
      <c r="A777"/>
      <c r="B777"/>
      <c r="C777"/>
      <c r="D777"/>
      <c r="E777"/>
      <c r="F777"/>
      <c r="G777"/>
      <c r="H777"/>
      <c r="I777"/>
      <c r="J777"/>
      <c r="K777"/>
      <c r="L777"/>
      <c r="M777"/>
      <c r="N777"/>
      <c r="O777"/>
      <c r="P777"/>
      <c r="Q777"/>
      <c r="R777"/>
      <c r="S777"/>
      <c r="T777"/>
      <c r="U777"/>
      <c r="V777"/>
      <c r="W777"/>
      <c r="X777"/>
      <c r="Y777"/>
      <c r="Z777"/>
      <c r="AA777"/>
    </row>
    <row r="778" spans="1:27" x14ac:dyDescent="0.4">
      <c r="A778"/>
      <c r="B778"/>
      <c r="C778"/>
      <c r="D778"/>
      <c r="E778"/>
      <c r="F778"/>
      <c r="G778"/>
      <c r="H778"/>
      <c r="I778"/>
      <c r="J778"/>
      <c r="K778"/>
      <c r="L778"/>
      <c r="M778"/>
      <c r="N778"/>
      <c r="O778"/>
      <c r="P778"/>
      <c r="Q778"/>
      <c r="R778"/>
      <c r="S778"/>
      <c r="T778"/>
      <c r="U778"/>
      <c r="V778"/>
      <c r="W778"/>
      <c r="X778"/>
      <c r="Y778"/>
      <c r="Z778"/>
      <c r="AA778"/>
    </row>
    <row r="779" spans="1:27" x14ac:dyDescent="0.4">
      <c r="A779"/>
      <c r="B779"/>
      <c r="C779"/>
      <c r="D779"/>
      <c r="E779"/>
      <c r="F779"/>
      <c r="G779"/>
      <c r="H779"/>
      <c r="I779"/>
      <c r="J779"/>
      <c r="K779"/>
      <c r="L779"/>
      <c r="M779"/>
      <c r="N779"/>
      <c r="O779"/>
      <c r="P779"/>
      <c r="Q779"/>
      <c r="R779"/>
      <c r="S779"/>
      <c r="T779"/>
      <c r="U779"/>
      <c r="V779"/>
      <c r="W779"/>
      <c r="X779"/>
      <c r="Y779"/>
      <c r="Z779"/>
      <c r="AA779"/>
    </row>
    <row r="780" spans="1:27" x14ac:dyDescent="0.4">
      <c r="A780"/>
      <c r="B780"/>
      <c r="C780"/>
      <c r="D780"/>
      <c r="E780"/>
      <c r="F780"/>
      <c r="G780"/>
      <c r="H780"/>
      <c r="I780"/>
      <c r="J780"/>
      <c r="K780"/>
      <c r="L780"/>
      <c r="M780"/>
      <c r="N780"/>
      <c r="O780"/>
      <c r="P780"/>
      <c r="Q780"/>
      <c r="R780"/>
      <c r="S780"/>
      <c r="T780"/>
      <c r="U780"/>
      <c r="V780"/>
      <c r="W780"/>
      <c r="X780"/>
      <c r="Y780"/>
      <c r="Z780"/>
      <c r="AA780"/>
    </row>
    <row r="781" spans="1:27" x14ac:dyDescent="0.4">
      <c r="A781"/>
      <c r="B781"/>
      <c r="C781"/>
      <c r="D781"/>
      <c r="E781"/>
      <c r="F781"/>
      <c r="G781"/>
      <c r="H781"/>
      <c r="I781"/>
      <c r="J781"/>
      <c r="K781"/>
      <c r="L781"/>
      <c r="M781"/>
      <c r="N781"/>
      <c r="O781"/>
      <c r="P781"/>
      <c r="Q781"/>
      <c r="R781"/>
      <c r="S781"/>
      <c r="T781"/>
      <c r="U781"/>
      <c r="V781"/>
      <c r="W781"/>
      <c r="X781"/>
      <c r="Y781"/>
      <c r="Z781"/>
      <c r="AA781"/>
    </row>
    <row r="782" spans="1:27" x14ac:dyDescent="0.4">
      <c r="A782"/>
      <c r="B782"/>
      <c r="C782"/>
      <c r="D782"/>
      <c r="E782"/>
      <c r="F782"/>
      <c r="G782"/>
      <c r="H782"/>
      <c r="I782"/>
      <c r="J782"/>
      <c r="K782"/>
      <c r="L782"/>
      <c r="M782"/>
      <c r="N782"/>
      <c r="O782"/>
      <c r="P782"/>
      <c r="Q782"/>
      <c r="R782"/>
      <c r="S782"/>
      <c r="T782"/>
      <c r="U782"/>
      <c r="V782"/>
      <c r="W782"/>
      <c r="X782"/>
      <c r="Y782"/>
      <c r="Z782"/>
      <c r="AA782"/>
    </row>
    <row r="783" spans="1:27" x14ac:dyDescent="0.4">
      <c r="A783"/>
      <c r="B783"/>
      <c r="C783"/>
      <c r="D783"/>
      <c r="E783"/>
      <c r="F783"/>
      <c r="G783"/>
      <c r="H783"/>
      <c r="I783"/>
      <c r="J783"/>
      <c r="K783"/>
      <c r="L783"/>
      <c r="M783"/>
      <c r="N783"/>
      <c r="O783"/>
      <c r="P783"/>
      <c r="Q783"/>
      <c r="R783"/>
      <c r="S783"/>
      <c r="T783"/>
      <c r="U783"/>
      <c r="V783"/>
      <c r="W783"/>
      <c r="X783"/>
      <c r="Y783"/>
      <c r="Z783"/>
      <c r="AA783"/>
    </row>
    <row r="784" spans="1:27" x14ac:dyDescent="0.4">
      <c r="A784"/>
      <c r="B784"/>
      <c r="C784"/>
      <c r="D784"/>
      <c r="E784"/>
      <c r="F784"/>
      <c r="G784"/>
      <c r="H784"/>
      <c r="I784"/>
      <c r="J784"/>
      <c r="K784"/>
      <c r="L784"/>
      <c r="M784"/>
      <c r="N784"/>
      <c r="O784"/>
      <c r="P784"/>
      <c r="Q784"/>
      <c r="R784"/>
      <c r="S784"/>
      <c r="T784"/>
      <c r="U784"/>
      <c r="V784"/>
      <c r="W784"/>
      <c r="X784"/>
      <c r="Y784"/>
      <c r="Z784"/>
      <c r="AA784"/>
    </row>
    <row r="785" spans="1:27" x14ac:dyDescent="0.4">
      <c r="A785"/>
      <c r="B785"/>
      <c r="C785"/>
      <c r="D785"/>
      <c r="E785"/>
      <c r="F785"/>
      <c r="G785"/>
      <c r="H785"/>
      <c r="I785"/>
      <c r="J785"/>
      <c r="K785"/>
      <c r="L785"/>
      <c r="M785"/>
      <c r="N785"/>
      <c r="O785"/>
      <c r="P785"/>
      <c r="Q785"/>
      <c r="R785"/>
      <c r="S785"/>
      <c r="T785"/>
      <c r="U785"/>
      <c r="V785"/>
      <c r="W785"/>
      <c r="X785"/>
      <c r="Y785"/>
      <c r="Z785"/>
      <c r="AA785"/>
    </row>
    <row r="786" spans="1:27" x14ac:dyDescent="0.4">
      <c r="A786"/>
      <c r="B786"/>
      <c r="C786"/>
      <c r="D786"/>
      <c r="E786"/>
      <c r="F786"/>
      <c r="G786"/>
      <c r="H786"/>
      <c r="I786"/>
      <c r="J786"/>
      <c r="K786"/>
      <c r="L786"/>
      <c r="M786"/>
      <c r="N786"/>
      <c r="O786"/>
      <c r="P786"/>
      <c r="Q786"/>
      <c r="R786"/>
      <c r="S786"/>
      <c r="T786"/>
      <c r="U786"/>
      <c r="V786"/>
      <c r="W786"/>
      <c r="X786"/>
      <c r="Y786"/>
      <c r="Z786"/>
      <c r="AA786"/>
    </row>
    <row r="787" spans="1:27" x14ac:dyDescent="0.4">
      <c r="A787"/>
      <c r="B787"/>
      <c r="C787"/>
      <c r="D787"/>
      <c r="E787"/>
      <c r="F787"/>
      <c r="G787"/>
      <c r="H787"/>
      <c r="I787"/>
      <c r="J787"/>
      <c r="K787"/>
      <c r="L787"/>
      <c r="M787"/>
      <c r="N787"/>
      <c r="O787"/>
      <c r="P787"/>
      <c r="Q787"/>
      <c r="R787"/>
      <c r="S787"/>
      <c r="T787"/>
      <c r="U787"/>
      <c r="V787"/>
      <c r="W787"/>
      <c r="X787"/>
      <c r="Y787"/>
      <c r="Z787"/>
      <c r="AA787"/>
    </row>
    <row r="788" spans="1:27" x14ac:dyDescent="0.4">
      <c r="A788"/>
      <c r="B788"/>
      <c r="C788"/>
      <c r="D788"/>
      <c r="E788"/>
      <c r="F788"/>
      <c r="G788"/>
      <c r="H788"/>
      <c r="I788"/>
      <c r="J788"/>
      <c r="K788"/>
      <c r="L788"/>
      <c r="M788"/>
      <c r="N788"/>
      <c r="O788"/>
      <c r="P788"/>
      <c r="Q788"/>
      <c r="R788"/>
      <c r="S788"/>
      <c r="T788"/>
      <c r="U788"/>
      <c r="V788"/>
      <c r="W788"/>
      <c r="X788"/>
      <c r="Y788"/>
      <c r="Z788"/>
      <c r="AA788"/>
    </row>
    <row r="789" spans="1:27" x14ac:dyDescent="0.4">
      <c r="A789"/>
      <c r="B789"/>
      <c r="C789"/>
      <c r="D789"/>
      <c r="E789"/>
      <c r="F789"/>
      <c r="G789"/>
      <c r="H789"/>
      <c r="I789"/>
      <c r="J789"/>
      <c r="K789"/>
      <c r="L789"/>
      <c r="M789"/>
      <c r="N789"/>
      <c r="O789"/>
      <c r="P789"/>
      <c r="Q789"/>
      <c r="R789"/>
      <c r="S789"/>
      <c r="T789"/>
      <c r="U789"/>
      <c r="V789"/>
      <c r="W789"/>
      <c r="X789"/>
      <c r="Y789"/>
      <c r="Z789"/>
      <c r="AA789"/>
    </row>
    <row r="790" spans="1:27" x14ac:dyDescent="0.4">
      <c r="A790"/>
      <c r="B790"/>
      <c r="C790"/>
      <c r="D790"/>
      <c r="E790"/>
      <c r="F790"/>
      <c r="G790"/>
      <c r="H790"/>
      <c r="I790"/>
      <c r="J790"/>
      <c r="K790"/>
      <c r="L790"/>
      <c r="M790"/>
      <c r="N790"/>
      <c r="O790"/>
      <c r="P790"/>
      <c r="Q790"/>
      <c r="R790"/>
      <c r="S790"/>
      <c r="T790"/>
      <c r="U790"/>
      <c r="V790"/>
      <c r="W790"/>
      <c r="X790"/>
      <c r="Y790"/>
      <c r="Z790"/>
      <c r="AA790"/>
    </row>
    <row r="791" spans="1:27" x14ac:dyDescent="0.4">
      <c r="A791"/>
      <c r="B791"/>
      <c r="C791"/>
      <c r="D791"/>
      <c r="E791"/>
      <c r="F791"/>
      <c r="G791"/>
      <c r="H791"/>
      <c r="I791"/>
      <c r="J791"/>
      <c r="K791"/>
      <c r="L791"/>
      <c r="M791"/>
      <c r="N791"/>
      <c r="O791"/>
      <c r="P791"/>
      <c r="Q791"/>
      <c r="R791"/>
      <c r="S791"/>
      <c r="T791"/>
      <c r="U791"/>
      <c r="V791"/>
      <c r="W791"/>
      <c r="X791"/>
      <c r="Y791"/>
      <c r="Z791"/>
      <c r="AA791"/>
    </row>
    <row r="792" spans="1:27" x14ac:dyDescent="0.4">
      <c r="A792"/>
      <c r="B792"/>
      <c r="C792"/>
      <c r="D792"/>
      <c r="E792"/>
      <c r="F792"/>
      <c r="G792"/>
      <c r="H792"/>
      <c r="I792"/>
      <c r="J792"/>
      <c r="K792"/>
      <c r="L792"/>
      <c r="M792"/>
      <c r="N792"/>
      <c r="O792"/>
      <c r="P792"/>
      <c r="Q792"/>
      <c r="R792"/>
      <c r="S792"/>
      <c r="T792"/>
      <c r="U792"/>
      <c r="V792"/>
      <c r="W792"/>
      <c r="X792"/>
      <c r="Y792"/>
      <c r="Z792"/>
      <c r="AA792"/>
    </row>
    <row r="793" spans="1:27" x14ac:dyDescent="0.4">
      <c r="A793"/>
      <c r="B793"/>
      <c r="C793"/>
      <c r="D793"/>
      <c r="E793"/>
      <c r="F793"/>
      <c r="G793"/>
      <c r="H793"/>
      <c r="I793"/>
      <c r="J793"/>
      <c r="K793"/>
      <c r="L793"/>
      <c r="M793"/>
      <c r="N793"/>
      <c r="O793"/>
      <c r="P793"/>
      <c r="Q793"/>
      <c r="R793"/>
      <c r="S793"/>
      <c r="T793"/>
      <c r="U793"/>
      <c r="V793"/>
      <c r="W793"/>
      <c r="X793"/>
      <c r="Y793"/>
      <c r="Z793"/>
      <c r="AA793"/>
    </row>
    <row r="794" spans="1:27" x14ac:dyDescent="0.4">
      <c r="A794"/>
      <c r="B794"/>
      <c r="C794"/>
      <c r="D794"/>
      <c r="E794"/>
      <c r="F794"/>
      <c r="G794"/>
      <c r="H794"/>
      <c r="I794"/>
      <c r="J794"/>
      <c r="K794"/>
      <c r="L794"/>
      <c r="M794"/>
      <c r="N794"/>
      <c r="O794"/>
      <c r="P794"/>
      <c r="Q794"/>
      <c r="R794"/>
      <c r="S794"/>
      <c r="T794"/>
      <c r="U794"/>
      <c r="V794"/>
      <c r="W794"/>
      <c r="X794"/>
      <c r="Y794"/>
      <c r="Z794"/>
      <c r="AA794"/>
    </row>
    <row r="795" spans="1:27" x14ac:dyDescent="0.4">
      <c r="A795"/>
      <c r="B795"/>
      <c r="C795"/>
      <c r="D795"/>
      <c r="E795"/>
      <c r="F795"/>
      <c r="G795"/>
      <c r="H795"/>
      <c r="I795"/>
      <c r="J795"/>
      <c r="K795"/>
      <c r="L795"/>
      <c r="M795"/>
      <c r="N795"/>
      <c r="O795"/>
      <c r="P795"/>
      <c r="Q795"/>
      <c r="R795"/>
      <c r="S795"/>
      <c r="T795"/>
      <c r="U795"/>
      <c r="V795"/>
      <c r="W795"/>
      <c r="X795"/>
      <c r="Y795"/>
      <c r="Z795"/>
      <c r="AA795"/>
    </row>
    <row r="796" spans="1:27" x14ac:dyDescent="0.4">
      <c r="A796"/>
      <c r="B796"/>
      <c r="C796"/>
      <c r="D796"/>
      <c r="E796"/>
      <c r="F796"/>
      <c r="G796"/>
      <c r="H796"/>
      <c r="I796"/>
      <c r="J796"/>
      <c r="K796"/>
      <c r="L796"/>
      <c r="M796"/>
      <c r="N796"/>
      <c r="O796"/>
      <c r="P796"/>
      <c r="Q796"/>
      <c r="R796"/>
      <c r="S796"/>
      <c r="T796"/>
      <c r="U796"/>
      <c r="V796"/>
      <c r="W796"/>
      <c r="X796"/>
      <c r="Y796"/>
      <c r="Z796"/>
      <c r="AA796"/>
    </row>
    <row r="797" spans="1:27" x14ac:dyDescent="0.4">
      <c r="A797"/>
      <c r="B797"/>
      <c r="C797"/>
      <c r="D797"/>
      <c r="E797"/>
      <c r="F797"/>
      <c r="G797"/>
      <c r="H797"/>
      <c r="I797"/>
      <c r="J797"/>
      <c r="K797"/>
      <c r="L797"/>
      <c r="M797"/>
      <c r="N797"/>
      <c r="O797"/>
      <c r="P797"/>
      <c r="Q797"/>
      <c r="R797"/>
      <c r="S797"/>
      <c r="T797"/>
      <c r="U797"/>
      <c r="V797"/>
      <c r="W797"/>
      <c r="X797"/>
      <c r="Y797"/>
      <c r="Z797"/>
      <c r="AA797"/>
    </row>
    <row r="798" spans="1:27" x14ac:dyDescent="0.4">
      <c r="A798"/>
      <c r="B798"/>
      <c r="C798"/>
      <c r="D798"/>
      <c r="E798"/>
      <c r="F798"/>
      <c r="G798"/>
      <c r="H798"/>
      <c r="I798"/>
      <c r="J798"/>
      <c r="K798"/>
      <c r="L798"/>
      <c r="M798"/>
      <c r="N798"/>
      <c r="O798"/>
      <c r="P798"/>
      <c r="Q798"/>
      <c r="R798"/>
      <c r="S798"/>
      <c r="T798"/>
      <c r="U798"/>
      <c r="V798"/>
      <c r="W798"/>
      <c r="X798"/>
      <c r="Y798"/>
      <c r="Z798"/>
      <c r="AA798"/>
    </row>
    <row r="799" spans="1:27" x14ac:dyDescent="0.4">
      <c r="A799"/>
      <c r="B799"/>
      <c r="C799"/>
      <c r="D799"/>
      <c r="E799"/>
      <c r="F799"/>
      <c r="G799"/>
      <c r="H799"/>
      <c r="I799"/>
      <c r="J799"/>
      <c r="K799"/>
      <c r="L799"/>
      <c r="M799"/>
      <c r="N799"/>
      <c r="O799"/>
      <c r="P799"/>
      <c r="Q799"/>
      <c r="R799"/>
      <c r="S799"/>
      <c r="T799"/>
      <c r="U799"/>
      <c r="V799"/>
      <c r="W799"/>
      <c r="X799"/>
      <c r="Y799"/>
      <c r="Z799"/>
      <c r="AA799"/>
    </row>
    <row r="800" spans="1:27" x14ac:dyDescent="0.4">
      <c r="A800"/>
      <c r="B800"/>
      <c r="C800"/>
      <c r="D800"/>
      <c r="E800"/>
      <c r="F800"/>
      <c r="G800"/>
      <c r="H800"/>
      <c r="I800"/>
      <c r="J800"/>
      <c r="K800"/>
      <c r="L800"/>
      <c r="M800"/>
      <c r="N800"/>
      <c r="O800"/>
      <c r="P800"/>
      <c r="Q800"/>
      <c r="R800"/>
      <c r="S800"/>
      <c r="T800"/>
      <c r="U800"/>
      <c r="V800"/>
      <c r="W800"/>
      <c r="X800"/>
      <c r="Y800"/>
      <c r="Z800"/>
      <c r="AA800"/>
    </row>
    <row r="801" spans="1:27" x14ac:dyDescent="0.4">
      <c r="A801"/>
      <c r="B801"/>
      <c r="C801"/>
      <c r="D801"/>
      <c r="E801"/>
      <c r="F801"/>
      <c r="G801"/>
      <c r="H801"/>
      <c r="I801"/>
      <c r="J801"/>
      <c r="K801"/>
      <c r="L801"/>
      <c r="M801"/>
      <c r="N801"/>
      <c r="O801"/>
      <c r="P801"/>
      <c r="Q801"/>
      <c r="R801"/>
      <c r="S801"/>
      <c r="T801"/>
      <c r="U801"/>
      <c r="V801"/>
      <c r="W801"/>
      <c r="X801"/>
      <c r="Y801"/>
      <c r="Z801"/>
      <c r="AA801"/>
    </row>
    <row r="802" spans="1:27" x14ac:dyDescent="0.4">
      <c r="A802"/>
      <c r="B802"/>
      <c r="C802"/>
      <c r="D802"/>
      <c r="E802"/>
      <c r="F802"/>
      <c r="G802"/>
      <c r="H802"/>
      <c r="I802"/>
      <c r="J802"/>
      <c r="K802"/>
      <c r="L802"/>
      <c r="M802"/>
      <c r="N802"/>
      <c r="O802"/>
      <c r="P802"/>
      <c r="Q802"/>
      <c r="R802"/>
      <c r="S802"/>
      <c r="T802"/>
      <c r="U802"/>
      <c r="V802"/>
      <c r="W802"/>
      <c r="X802"/>
      <c r="Y802"/>
      <c r="Z802"/>
      <c r="AA802"/>
    </row>
    <row r="803" spans="1:27" x14ac:dyDescent="0.4">
      <c r="A803"/>
      <c r="B803"/>
      <c r="C803"/>
      <c r="D803"/>
      <c r="E803"/>
      <c r="F803"/>
      <c r="G803"/>
      <c r="H803"/>
      <c r="I803"/>
      <c r="J803"/>
      <c r="K803"/>
      <c r="L803"/>
      <c r="M803"/>
      <c r="N803"/>
      <c r="O803"/>
      <c r="P803"/>
      <c r="Q803"/>
      <c r="R803"/>
      <c r="S803"/>
      <c r="T803"/>
      <c r="U803"/>
      <c r="V803"/>
      <c r="W803"/>
      <c r="X803"/>
      <c r="Y803"/>
      <c r="Z803"/>
      <c r="AA803"/>
    </row>
    <row r="804" spans="1:27" x14ac:dyDescent="0.4">
      <c r="A804"/>
      <c r="B804"/>
      <c r="C804"/>
      <c r="D804"/>
      <c r="E804"/>
      <c r="F804"/>
      <c r="G804"/>
      <c r="H804"/>
      <c r="I804"/>
      <c r="J804"/>
      <c r="K804"/>
      <c r="L804"/>
      <c r="M804"/>
      <c r="N804"/>
      <c r="O804"/>
      <c r="P804"/>
      <c r="Q804"/>
      <c r="R804"/>
      <c r="S804"/>
      <c r="T804"/>
      <c r="U804"/>
      <c r="V804"/>
      <c r="W804"/>
      <c r="X804"/>
      <c r="Y804"/>
      <c r="Z804"/>
      <c r="AA804"/>
    </row>
    <row r="805" spans="1:27" x14ac:dyDescent="0.4">
      <c r="A805"/>
      <c r="B805"/>
      <c r="C805"/>
      <c r="D805"/>
      <c r="E805"/>
      <c r="F805"/>
      <c r="G805"/>
      <c r="H805"/>
      <c r="I805"/>
      <c r="J805"/>
      <c r="K805"/>
      <c r="L805"/>
      <c r="M805"/>
      <c r="N805"/>
      <c r="O805"/>
      <c r="P805"/>
      <c r="Q805"/>
      <c r="R805"/>
      <c r="S805"/>
      <c r="T805"/>
      <c r="U805"/>
      <c r="V805"/>
      <c r="W805"/>
      <c r="X805"/>
      <c r="Y805"/>
      <c r="Z805"/>
      <c r="AA805"/>
    </row>
    <row r="806" spans="1:27" x14ac:dyDescent="0.4">
      <c r="A806"/>
      <c r="B806"/>
      <c r="C806"/>
      <c r="D806"/>
      <c r="E806"/>
      <c r="F806"/>
      <c r="G806"/>
      <c r="H806"/>
      <c r="I806"/>
      <c r="J806"/>
      <c r="K806"/>
      <c r="L806"/>
      <c r="M806"/>
      <c r="N806"/>
      <c r="O806"/>
      <c r="P806"/>
      <c r="Q806"/>
      <c r="R806"/>
      <c r="S806"/>
      <c r="T806"/>
      <c r="U806"/>
      <c r="V806"/>
      <c r="W806"/>
      <c r="X806"/>
      <c r="Y806"/>
      <c r="Z806"/>
      <c r="AA806"/>
    </row>
    <row r="807" spans="1:27" x14ac:dyDescent="0.4">
      <c r="A807"/>
      <c r="B807"/>
      <c r="C807"/>
      <c r="D807"/>
      <c r="E807"/>
      <c r="F807"/>
      <c r="G807"/>
      <c r="H807"/>
      <c r="I807"/>
      <c r="J807"/>
      <c r="K807"/>
      <c r="L807"/>
      <c r="M807"/>
      <c r="N807"/>
      <c r="O807"/>
      <c r="P807"/>
      <c r="Q807"/>
      <c r="R807"/>
      <c r="S807"/>
      <c r="T807"/>
      <c r="U807"/>
      <c r="V807"/>
      <c r="W807"/>
      <c r="X807"/>
      <c r="Y807"/>
      <c r="Z807"/>
      <c r="AA807"/>
    </row>
    <row r="808" spans="1:27" x14ac:dyDescent="0.4">
      <c r="A808"/>
      <c r="B808"/>
      <c r="C808"/>
      <c r="D808"/>
      <c r="E808"/>
      <c r="F808"/>
      <c r="G808"/>
      <c r="H808"/>
      <c r="I808"/>
      <c r="J808"/>
      <c r="K808"/>
      <c r="L808"/>
      <c r="M808"/>
      <c r="N808"/>
      <c r="O808"/>
      <c r="P808"/>
      <c r="Q808"/>
      <c r="R808"/>
      <c r="S808"/>
      <c r="T808"/>
      <c r="U808"/>
      <c r="V808"/>
      <c r="W808"/>
      <c r="X808"/>
      <c r="Y808"/>
      <c r="Z808"/>
      <c r="AA808"/>
    </row>
    <row r="809" spans="1:27" x14ac:dyDescent="0.4">
      <c r="A809"/>
      <c r="B809"/>
      <c r="C809"/>
      <c r="D809"/>
      <c r="E809"/>
      <c r="F809"/>
      <c r="G809"/>
      <c r="H809"/>
      <c r="I809"/>
      <c r="J809"/>
      <c r="K809"/>
      <c r="L809"/>
      <c r="M809"/>
      <c r="N809"/>
      <c r="O809"/>
      <c r="P809"/>
      <c r="Q809"/>
      <c r="R809"/>
      <c r="S809"/>
      <c r="T809"/>
      <c r="U809"/>
      <c r="V809"/>
      <c r="W809"/>
      <c r="X809"/>
      <c r="Y809"/>
      <c r="Z809"/>
      <c r="AA809"/>
    </row>
    <row r="810" spans="1:27" x14ac:dyDescent="0.4">
      <c r="A810"/>
      <c r="B810"/>
      <c r="C810"/>
      <c r="D810"/>
      <c r="E810"/>
      <c r="F810"/>
      <c r="G810"/>
      <c r="H810"/>
      <c r="I810"/>
      <c r="J810"/>
      <c r="K810"/>
      <c r="L810"/>
      <c r="M810"/>
      <c r="N810"/>
      <c r="O810"/>
      <c r="P810"/>
      <c r="Q810"/>
      <c r="R810"/>
      <c r="S810"/>
      <c r="T810"/>
      <c r="U810"/>
      <c r="V810"/>
      <c r="W810"/>
      <c r="X810"/>
      <c r="Y810"/>
      <c r="Z810"/>
      <c r="AA810"/>
    </row>
    <row r="811" spans="1:27" x14ac:dyDescent="0.4">
      <c r="A811"/>
      <c r="B811"/>
      <c r="C811"/>
      <c r="D811"/>
      <c r="E811"/>
      <c r="F811"/>
      <c r="G811"/>
      <c r="H811"/>
      <c r="I811"/>
      <c r="J811"/>
      <c r="K811"/>
      <c r="L811"/>
      <c r="M811"/>
      <c r="N811"/>
      <c r="O811"/>
      <c r="P811"/>
      <c r="Q811"/>
      <c r="R811"/>
      <c r="S811"/>
      <c r="T811"/>
      <c r="U811"/>
      <c r="V811"/>
      <c r="W811"/>
      <c r="X811"/>
      <c r="Y811"/>
      <c r="Z811"/>
      <c r="AA811"/>
    </row>
    <row r="812" spans="1:27" x14ac:dyDescent="0.4">
      <c r="A812"/>
      <c r="B812"/>
      <c r="C812"/>
      <c r="D812"/>
      <c r="E812"/>
      <c r="F812"/>
      <c r="G812"/>
      <c r="H812"/>
      <c r="I812"/>
      <c r="J812"/>
      <c r="K812"/>
      <c r="L812"/>
      <c r="M812"/>
      <c r="N812"/>
      <c r="O812"/>
      <c r="P812"/>
      <c r="Q812"/>
      <c r="R812"/>
      <c r="S812"/>
      <c r="T812"/>
      <c r="U812"/>
      <c r="V812"/>
      <c r="W812"/>
      <c r="X812"/>
      <c r="Y812"/>
      <c r="Z812"/>
      <c r="AA812"/>
    </row>
    <row r="813" spans="1:27" x14ac:dyDescent="0.4">
      <c r="A813"/>
      <c r="B813"/>
      <c r="C813"/>
      <c r="D813"/>
      <c r="E813"/>
      <c r="F813"/>
      <c r="G813"/>
      <c r="H813"/>
      <c r="I813"/>
      <c r="J813"/>
      <c r="K813"/>
      <c r="L813"/>
      <c r="M813"/>
      <c r="N813"/>
      <c r="O813"/>
      <c r="P813"/>
      <c r="Q813"/>
      <c r="R813"/>
      <c r="S813"/>
      <c r="T813"/>
      <c r="U813"/>
      <c r="V813"/>
      <c r="W813"/>
      <c r="X813"/>
      <c r="Y813"/>
      <c r="Z813"/>
      <c r="AA813"/>
    </row>
    <row r="814" spans="1:27" x14ac:dyDescent="0.4">
      <c r="A814"/>
      <c r="B814"/>
      <c r="C814"/>
      <c r="D814"/>
      <c r="E814"/>
      <c r="F814"/>
      <c r="G814"/>
      <c r="H814"/>
      <c r="I814"/>
      <c r="J814"/>
      <c r="K814"/>
      <c r="L814"/>
      <c r="M814"/>
      <c r="N814"/>
      <c r="O814"/>
      <c r="P814"/>
      <c r="Q814"/>
      <c r="R814"/>
      <c r="S814"/>
      <c r="T814"/>
      <c r="U814"/>
      <c r="V814"/>
      <c r="W814"/>
      <c r="X814"/>
      <c r="Y814"/>
      <c r="Z814"/>
      <c r="AA814"/>
    </row>
    <row r="815" spans="1:27" x14ac:dyDescent="0.4">
      <c r="A815"/>
      <c r="B815"/>
      <c r="C815"/>
      <c r="D815"/>
      <c r="E815"/>
      <c r="F815"/>
      <c r="G815"/>
      <c r="H815"/>
      <c r="I815"/>
      <c r="J815"/>
      <c r="K815"/>
      <c r="L815"/>
      <c r="M815"/>
      <c r="N815"/>
      <c r="O815"/>
      <c r="P815"/>
      <c r="Q815"/>
      <c r="R815"/>
      <c r="S815"/>
      <c r="T815"/>
      <c r="U815"/>
      <c r="V815"/>
      <c r="W815"/>
      <c r="X815"/>
      <c r="Y815"/>
      <c r="Z815"/>
      <c r="AA815"/>
    </row>
    <row r="816" spans="1:27" x14ac:dyDescent="0.4">
      <c r="A816"/>
      <c r="B816"/>
      <c r="C816"/>
      <c r="D816"/>
      <c r="E816"/>
      <c r="F816"/>
      <c r="G816"/>
      <c r="H816"/>
      <c r="I816"/>
      <c r="J816"/>
      <c r="K816"/>
      <c r="L816"/>
      <c r="M816"/>
      <c r="N816"/>
      <c r="O816"/>
      <c r="P816"/>
      <c r="Q816"/>
      <c r="R816"/>
      <c r="S816"/>
      <c r="T816"/>
      <c r="U816"/>
      <c r="V816"/>
      <c r="W816"/>
      <c r="X816"/>
      <c r="Y816"/>
      <c r="Z816"/>
      <c r="AA816"/>
    </row>
    <row r="817" spans="1:27" x14ac:dyDescent="0.4">
      <c r="A817"/>
      <c r="B817"/>
      <c r="C817"/>
      <c r="D817"/>
      <c r="E817"/>
      <c r="F817"/>
      <c r="G817"/>
      <c r="H817"/>
      <c r="I817"/>
      <c r="J817"/>
      <c r="K817"/>
      <c r="L817"/>
      <c r="M817"/>
      <c r="N817"/>
      <c r="O817"/>
      <c r="P817"/>
      <c r="Q817"/>
      <c r="R817"/>
      <c r="S817"/>
      <c r="T817"/>
      <c r="U817"/>
      <c r="V817"/>
      <c r="W817"/>
      <c r="X817"/>
      <c r="Y817"/>
      <c r="Z817"/>
      <c r="AA817"/>
    </row>
    <row r="818" spans="1:27" x14ac:dyDescent="0.4">
      <c r="A818"/>
      <c r="B818"/>
      <c r="C818"/>
      <c r="D818"/>
      <c r="E818"/>
      <c r="F818"/>
      <c r="G818"/>
      <c r="H818"/>
      <c r="I818"/>
      <c r="J818"/>
      <c r="K818"/>
      <c r="L818"/>
      <c r="M818"/>
      <c r="N818"/>
      <c r="O818"/>
      <c r="P818"/>
      <c r="Q818"/>
      <c r="R818"/>
      <c r="S818"/>
      <c r="T818"/>
      <c r="U818"/>
      <c r="V818"/>
      <c r="W818"/>
      <c r="X818"/>
      <c r="Y818"/>
      <c r="Z818"/>
      <c r="AA818"/>
    </row>
    <row r="819" spans="1:27" x14ac:dyDescent="0.4">
      <c r="A819"/>
      <c r="B819"/>
      <c r="C819"/>
      <c r="D819"/>
      <c r="E819"/>
      <c r="F819"/>
      <c r="G819"/>
      <c r="H819"/>
      <c r="I819"/>
      <c r="J819"/>
      <c r="K819"/>
      <c r="L819"/>
      <c r="M819"/>
      <c r="N819"/>
      <c r="O819"/>
      <c r="P819"/>
      <c r="Q819"/>
      <c r="R819"/>
      <c r="S819"/>
      <c r="T819"/>
      <c r="U819"/>
      <c r="V819"/>
      <c r="W819"/>
      <c r="X819"/>
      <c r="Y819"/>
      <c r="Z819"/>
      <c r="AA819"/>
    </row>
    <row r="820" spans="1:27" x14ac:dyDescent="0.4">
      <c r="A820"/>
      <c r="B820"/>
      <c r="C820"/>
      <c r="D820"/>
      <c r="E820"/>
      <c r="F820"/>
      <c r="G820"/>
      <c r="H820"/>
      <c r="I820"/>
      <c r="J820"/>
      <c r="K820"/>
      <c r="L820"/>
      <c r="M820"/>
      <c r="N820"/>
      <c r="O820"/>
      <c r="P820"/>
      <c r="Q820"/>
      <c r="R820"/>
      <c r="S820"/>
      <c r="T820"/>
      <c r="U820"/>
      <c r="V820"/>
      <c r="W820"/>
      <c r="X820"/>
      <c r="Y820"/>
      <c r="Z820"/>
      <c r="AA820"/>
    </row>
    <row r="821" spans="1:27" x14ac:dyDescent="0.4">
      <c r="A821"/>
      <c r="B821"/>
      <c r="C821"/>
      <c r="D821"/>
      <c r="E821"/>
      <c r="F821"/>
      <c r="G821"/>
      <c r="H821"/>
      <c r="I821"/>
      <c r="J821"/>
      <c r="K821"/>
      <c r="L821"/>
      <c r="M821"/>
      <c r="N821"/>
      <c r="O821"/>
      <c r="P821"/>
      <c r="Q821"/>
      <c r="R821"/>
      <c r="S821"/>
      <c r="T821"/>
      <c r="U821"/>
      <c r="V821"/>
      <c r="W821"/>
      <c r="X821"/>
      <c r="Y821"/>
      <c r="Z821"/>
      <c r="AA821"/>
    </row>
    <row r="822" spans="1:27" x14ac:dyDescent="0.4">
      <c r="A822"/>
      <c r="B822"/>
      <c r="C822"/>
      <c r="D822"/>
      <c r="E822"/>
      <c r="F822"/>
      <c r="G822"/>
      <c r="H822"/>
      <c r="I822"/>
      <c r="J822"/>
      <c r="K822"/>
      <c r="L822"/>
      <c r="M822"/>
      <c r="N822"/>
      <c r="O822"/>
      <c r="P822"/>
      <c r="Q822"/>
      <c r="R822"/>
      <c r="S822"/>
      <c r="T822"/>
      <c r="U822"/>
      <c r="V822"/>
      <c r="W822"/>
      <c r="X822"/>
      <c r="Y822"/>
      <c r="Z822"/>
      <c r="AA822"/>
    </row>
    <row r="823" spans="1:27" x14ac:dyDescent="0.4">
      <c r="A823"/>
      <c r="B823"/>
      <c r="C823"/>
      <c r="D823"/>
      <c r="E823"/>
      <c r="F823"/>
      <c r="G823"/>
      <c r="H823"/>
      <c r="I823"/>
      <c r="J823"/>
      <c r="K823"/>
      <c r="L823"/>
      <c r="M823"/>
      <c r="N823"/>
      <c r="O823"/>
      <c r="P823"/>
      <c r="Q823"/>
      <c r="R823"/>
      <c r="S823"/>
      <c r="T823"/>
      <c r="U823"/>
      <c r="V823"/>
      <c r="W823"/>
      <c r="X823"/>
      <c r="Y823"/>
      <c r="Z823"/>
      <c r="AA823"/>
    </row>
    <row r="824" spans="1:27" x14ac:dyDescent="0.4">
      <c r="A824"/>
      <c r="B824"/>
      <c r="C824"/>
      <c r="D824"/>
      <c r="E824"/>
      <c r="F824"/>
      <c r="G824"/>
      <c r="H824"/>
      <c r="I824"/>
      <c r="J824"/>
      <c r="K824"/>
      <c r="L824"/>
      <c r="M824"/>
      <c r="N824"/>
      <c r="O824"/>
      <c r="P824"/>
      <c r="Q824"/>
      <c r="R824"/>
      <c r="S824"/>
      <c r="T824"/>
      <c r="U824"/>
      <c r="V824"/>
      <c r="W824"/>
      <c r="X824"/>
      <c r="Y824"/>
      <c r="Z824"/>
      <c r="AA824"/>
    </row>
    <row r="825" spans="1:27" x14ac:dyDescent="0.4">
      <c r="A825"/>
      <c r="B825"/>
      <c r="C825"/>
      <c r="D825"/>
      <c r="E825"/>
      <c r="F825"/>
      <c r="G825"/>
      <c r="H825"/>
      <c r="I825"/>
      <c r="J825"/>
      <c r="K825"/>
      <c r="L825"/>
      <c r="M825"/>
      <c r="N825"/>
      <c r="O825"/>
      <c r="P825"/>
      <c r="Q825"/>
      <c r="R825"/>
      <c r="S825"/>
      <c r="T825"/>
      <c r="U825"/>
      <c r="V825"/>
      <c r="W825"/>
      <c r="X825"/>
      <c r="Y825"/>
      <c r="Z825"/>
      <c r="AA825"/>
    </row>
    <row r="826" spans="1:27" x14ac:dyDescent="0.4">
      <c r="A826"/>
      <c r="B826"/>
      <c r="C826"/>
      <c r="D826"/>
      <c r="E826"/>
      <c r="F826"/>
      <c r="G826"/>
      <c r="H826"/>
      <c r="I826"/>
      <c r="J826"/>
      <c r="K826"/>
      <c r="L826"/>
      <c r="M826"/>
      <c r="N826"/>
      <c r="O826"/>
      <c r="P826"/>
      <c r="Q826"/>
      <c r="R826"/>
      <c r="S826"/>
      <c r="T826"/>
      <c r="U826"/>
      <c r="V826"/>
      <c r="W826"/>
      <c r="X826"/>
      <c r="Y826"/>
      <c r="Z826"/>
      <c r="AA826"/>
    </row>
    <row r="827" spans="1:27" x14ac:dyDescent="0.4">
      <c r="A827"/>
      <c r="B827"/>
      <c r="C827"/>
      <c r="D827"/>
      <c r="E827"/>
      <c r="F827"/>
      <c r="G827"/>
      <c r="H827"/>
      <c r="I827"/>
      <c r="J827"/>
      <c r="K827"/>
      <c r="L827"/>
      <c r="M827"/>
      <c r="N827"/>
      <c r="O827"/>
      <c r="P827"/>
      <c r="Q827"/>
      <c r="R827"/>
      <c r="S827"/>
      <c r="T827"/>
      <c r="U827"/>
      <c r="V827"/>
      <c r="W827"/>
      <c r="X827"/>
      <c r="Y827"/>
      <c r="Z827"/>
      <c r="AA827"/>
    </row>
    <row r="828" spans="1:27" x14ac:dyDescent="0.4">
      <c r="A828"/>
      <c r="B828"/>
      <c r="C828"/>
      <c r="D828"/>
      <c r="E828"/>
      <c r="F828"/>
      <c r="G828"/>
      <c r="H828"/>
      <c r="I828"/>
      <c r="J828"/>
      <c r="K828"/>
      <c r="L828"/>
      <c r="M828"/>
      <c r="N828"/>
      <c r="O828"/>
      <c r="P828"/>
      <c r="Q828"/>
      <c r="R828"/>
      <c r="S828"/>
      <c r="T828"/>
      <c r="U828"/>
      <c r="V828"/>
      <c r="W828"/>
      <c r="X828"/>
      <c r="Y828"/>
      <c r="Z828"/>
      <c r="AA828"/>
    </row>
    <row r="829" spans="1:27" x14ac:dyDescent="0.4">
      <c r="A829"/>
      <c r="B829"/>
      <c r="C829"/>
      <c r="D829"/>
      <c r="E829"/>
      <c r="F829"/>
      <c r="G829"/>
      <c r="H829"/>
      <c r="I829"/>
      <c r="J829"/>
      <c r="K829"/>
      <c r="L829"/>
      <c r="M829"/>
      <c r="N829"/>
      <c r="O829"/>
      <c r="P829"/>
      <c r="Q829"/>
      <c r="R829"/>
      <c r="S829"/>
      <c r="T829"/>
      <c r="U829"/>
      <c r="V829"/>
      <c r="W829"/>
      <c r="X829"/>
      <c r="Y829"/>
      <c r="Z829"/>
      <c r="AA829"/>
    </row>
    <row r="830" spans="1:27" x14ac:dyDescent="0.4">
      <c r="A830"/>
      <c r="B830"/>
      <c r="C830"/>
      <c r="D830"/>
      <c r="E830"/>
      <c r="F830"/>
      <c r="G830"/>
      <c r="H830"/>
      <c r="I830"/>
      <c r="J830"/>
      <c r="K830"/>
      <c r="L830"/>
      <c r="M830"/>
      <c r="N830"/>
      <c r="O830"/>
      <c r="P830"/>
      <c r="Q830"/>
      <c r="R830"/>
      <c r="S830"/>
      <c r="T830"/>
      <c r="U830"/>
      <c r="V830"/>
      <c r="W830"/>
      <c r="X830"/>
      <c r="Y830"/>
      <c r="Z830"/>
      <c r="AA830"/>
    </row>
    <row r="831" spans="1:27" x14ac:dyDescent="0.4">
      <c r="A831"/>
      <c r="B831"/>
      <c r="C831"/>
      <c r="D831"/>
      <c r="E831"/>
      <c r="F831"/>
      <c r="G831"/>
      <c r="H831"/>
      <c r="I831"/>
      <c r="J831"/>
      <c r="K831"/>
      <c r="L831"/>
      <c r="M831"/>
      <c r="N831"/>
      <c r="O831"/>
      <c r="P831"/>
      <c r="Q831"/>
      <c r="R831"/>
      <c r="S831"/>
      <c r="T831"/>
      <c r="U831"/>
      <c r="V831"/>
      <c r="W831"/>
      <c r="X831"/>
      <c r="Y831"/>
      <c r="Z831"/>
      <c r="AA831"/>
    </row>
    <row r="832" spans="1:27" x14ac:dyDescent="0.4">
      <c r="A832"/>
      <c r="B832"/>
      <c r="C832"/>
      <c r="D832"/>
      <c r="E832"/>
      <c r="F832"/>
      <c r="G832"/>
      <c r="H832"/>
      <c r="I832"/>
      <c r="J832"/>
      <c r="K832"/>
      <c r="L832"/>
      <c r="M832"/>
      <c r="N832"/>
      <c r="O832"/>
      <c r="P832"/>
      <c r="Q832"/>
      <c r="R832"/>
      <c r="S832"/>
      <c r="T832"/>
      <c r="U832"/>
      <c r="V832"/>
      <c r="W832"/>
      <c r="X832"/>
      <c r="Y832"/>
      <c r="Z832"/>
      <c r="AA832"/>
    </row>
    <row r="833" spans="1:27" x14ac:dyDescent="0.4">
      <c r="A833"/>
      <c r="B833"/>
      <c r="C833"/>
      <c r="D833"/>
      <c r="E833"/>
      <c r="F833"/>
      <c r="G833"/>
      <c r="H833"/>
      <c r="I833"/>
      <c r="J833"/>
      <c r="K833"/>
      <c r="L833"/>
      <c r="M833"/>
      <c r="N833"/>
      <c r="O833"/>
      <c r="P833"/>
      <c r="Q833"/>
      <c r="R833"/>
      <c r="S833"/>
      <c r="T833"/>
      <c r="U833"/>
      <c r="V833"/>
      <c r="W833"/>
      <c r="X833"/>
      <c r="Y833"/>
      <c r="Z833"/>
      <c r="AA833"/>
    </row>
    <row r="834" spans="1:27" x14ac:dyDescent="0.4">
      <c r="A834"/>
      <c r="B834"/>
      <c r="C834"/>
      <c r="D834"/>
      <c r="E834"/>
      <c r="F834"/>
      <c r="G834"/>
      <c r="H834"/>
      <c r="I834"/>
      <c r="J834"/>
      <c r="K834"/>
      <c r="L834"/>
      <c r="M834"/>
      <c r="N834"/>
      <c r="O834"/>
      <c r="P834"/>
      <c r="Q834"/>
      <c r="R834"/>
      <c r="S834"/>
      <c r="T834"/>
      <c r="U834"/>
      <c r="V834"/>
      <c r="W834"/>
      <c r="X834"/>
      <c r="Y834"/>
      <c r="Z834"/>
      <c r="AA834"/>
    </row>
    <row r="835" spans="1:27" x14ac:dyDescent="0.4">
      <c r="A835"/>
      <c r="B835"/>
      <c r="C835"/>
      <c r="D835"/>
      <c r="E835"/>
      <c r="F835"/>
      <c r="G835"/>
      <c r="H835"/>
      <c r="I835"/>
      <c r="J835"/>
      <c r="K835"/>
      <c r="L835"/>
      <c r="M835"/>
      <c r="N835"/>
      <c r="O835"/>
      <c r="P835"/>
      <c r="Q835"/>
      <c r="R835"/>
      <c r="S835"/>
      <c r="T835"/>
      <c r="U835"/>
      <c r="V835"/>
      <c r="W835"/>
      <c r="X835"/>
      <c r="Y835"/>
      <c r="Z835"/>
      <c r="AA835"/>
    </row>
    <row r="836" spans="1:27" x14ac:dyDescent="0.4">
      <c r="A836"/>
      <c r="B836"/>
      <c r="C836"/>
      <c r="D836"/>
      <c r="E836"/>
      <c r="F836"/>
      <c r="G836"/>
      <c r="H836"/>
      <c r="I836"/>
      <c r="J836"/>
      <c r="K836"/>
      <c r="L836"/>
      <c r="M836"/>
      <c r="N836"/>
      <c r="O836"/>
      <c r="P836"/>
      <c r="Q836"/>
      <c r="R836"/>
      <c r="S836"/>
      <c r="T836"/>
      <c r="U836"/>
      <c r="V836"/>
      <c r="W836"/>
      <c r="X836"/>
      <c r="Y836"/>
      <c r="Z836"/>
      <c r="AA836"/>
    </row>
    <row r="837" spans="1:27" x14ac:dyDescent="0.4">
      <c r="A837"/>
      <c r="B837"/>
      <c r="C837"/>
      <c r="D837"/>
      <c r="E837"/>
      <c r="F837"/>
      <c r="G837"/>
      <c r="H837"/>
      <c r="I837"/>
      <c r="J837"/>
      <c r="K837"/>
      <c r="L837"/>
      <c r="M837"/>
      <c r="N837"/>
      <c r="O837"/>
      <c r="P837"/>
      <c r="Q837"/>
      <c r="R837"/>
      <c r="S837"/>
      <c r="T837"/>
      <c r="U837"/>
      <c r="V837"/>
      <c r="W837"/>
      <c r="X837"/>
      <c r="Y837"/>
      <c r="Z837"/>
      <c r="AA837"/>
    </row>
    <row r="838" spans="1:27" x14ac:dyDescent="0.4">
      <c r="A838"/>
      <c r="B838"/>
      <c r="C838"/>
      <c r="D838"/>
      <c r="E838"/>
      <c r="F838"/>
      <c r="G838"/>
      <c r="H838"/>
      <c r="I838"/>
      <c r="J838"/>
      <c r="K838"/>
      <c r="L838"/>
      <c r="M838"/>
      <c r="N838"/>
      <c r="O838"/>
      <c r="P838"/>
      <c r="Q838"/>
      <c r="R838"/>
      <c r="S838"/>
      <c r="T838"/>
      <c r="U838"/>
      <c r="V838"/>
      <c r="W838"/>
      <c r="X838"/>
      <c r="Y838"/>
      <c r="Z838"/>
      <c r="AA838"/>
    </row>
    <row r="839" spans="1:27" x14ac:dyDescent="0.4">
      <c r="A839"/>
      <c r="B839"/>
      <c r="C839"/>
      <c r="D839"/>
      <c r="E839"/>
      <c r="F839"/>
      <c r="G839"/>
      <c r="H839"/>
      <c r="I839"/>
      <c r="J839"/>
      <c r="K839"/>
      <c r="L839"/>
      <c r="M839"/>
      <c r="N839"/>
      <c r="O839"/>
      <c r="P839"/>
      <c r="Q839"/>
      <c r="R839"/>
      <c r="S839"/>
      <c r="T839"/>
      <c r="U839"/>
      <c r="V839"/>
      <c r="W839"/>
      <c r="X839"/>
      <c r="Y839"/>
      <c r="Z839"/>
      <c r="AA839"/>
    </row>
    <row r="840" spans="1:27" x14ac:dyDescent="0.4">
      <c r="A840"/>
      <c r="B840"/>
      <c r="C840"/>
      <c r="D840"/>
      <c r="E840"/>
      <c r="F840"/>
      <c r="G840"/>
      <c r="H840"/>
      <c r="I840"/>
      <c r="J840"/>
      <c r="K840"/>
      <c r="L840"/>
      <c r="M840"/>
      <c r="N840"/>
      <c r="O840"/>
      <c r="P840"/>
      <c r="Q840"/>
      <c r="R840"/>
      <c r="S840"/>
      <c r="T840"/>
      <c r="U840"/>
      <c r="V840"/>
      <c r="W840"/>
      <c r="X840"/>
      <c r="Y840"/>
      <c r="Z840"/>
      <c r="AA840"/>
    </row>
    <row r="841" spans="1:27" x14ac:dyDescent="0.4">
      <c r="A841"/>
      <c r="B841"/>
      <c r="C841"/>
      <c r="D841"/>
      <c r="E841"/>
      <c r="F841"/>
      <c r="G841"/>
      <c r="H841"/>
      <c r="I841"/>
      <c r="J841"/>
      <c r="K841"/>
      <c r="L841"/>
      <c r="M841"/>
      <c r="N841"/>
      <c r="O841"/>
      <c r="P841"/>
      <c r="Q841"/>
      <c r="R841"/>
      <c r="S841"/>
      <c r="T841"/>
      <c r="U841"/>
      <c r="V841"/>
      <c r="W841"/>
      <c r="X841"/>
      <c r="Y841"/>
      <c r="Z841"/>
      <c r="AA841"/>
    </row>
    <row r="842" spans="1:27" x14ac:dyDescent="0.4">
      <c r="A842"/>
      <c r="B842"/>
      <c r="C842"/>
      <c r="D842"/>
      <c r="E842"/>
      <c r="F842"/>
      <c r="G842"/>
      <c r="H842"/>
      <c r="I842"/>
      <c r="J842"/>
      <c r="K842"/>
      <c r="L842"/>
      <c r="M842"/>
      <c r="N842"/>
      <c r="O842"/>
      <c r="P842"/>
      <c r="Q842"/>
      <c r="R842"/>
      <c r="S842"/>
      <c r="T842"/>
      <c r="U842"/>
      <c r="V842"/>
      <c r="W842"/>
      <c r="X842"/>
      <c r="Y842"/>
      <c r="Z842"/>
      <c r="AA842"/>
    </row>
    <row r="843" spans="1:27" x14ac:dyDescent="0.4">
      <c r="A843"/>
      <c r="B843"/>
      <c r="C843"/>
      <c r="D843"/>
      <c r="E843"/>
      <c r="F843"/>
      <c r="G843"/>
      <c r="H843"/>
      <c r="I843"/>
      <c r="J843"/>
      <c r="K843"/>
      <c r="L843"/>
      <c r="M843"/>
      <c r="N843"/>
      <c r="O843"/>
      <c r="P843"/>
      <c r="Q843"/>
      <c r="R843"/>
      <c r="S843"/>
      <c r="T843"/>
      <c r="U843"/>
      <c r="V843"/>
      <c r="W843"/>
      <c r="X843"/>
      <c r="Y843"/>
      <c r="Z843"/>
      <c r="AA843"/>
    </row>
    <row r="844" spans="1:27" x14ac:dyDescent="0.4">
      <c r="A844"/>
      <c r="B844"/>
      <c r="C844"/>
      <c r="D844"/>
      <c r="E844"/>
      <c r="F844"/>
      <c r="G844"/>
      <c r="H844"/>
      <c r="I844"/>
      <c r="J844"/>
      <c r="K844"/>
      <c r="L844"/>
      <c r="M844"/>
      <c r="N844"/>
      <c r="O844"/>
      <c r="P844"/>
      <c r="Q844"/>
      <c r="R844"/>
      <c r="S844"/>
      <c r="T844"/>
      <c r="U844"/>
      <c r="V844"/>
      <c r="W844"/>
      <c r="X844"/>
      <c r="Y844"/>
      <c r="Z844"/>
      <c r="AA844"/>
    </row>
    <row r="845" spans="1:27" x14ac:dyDescent="0.4">
      <c r="A845"/>
      <c r="B845"/>
      <c r="C845"/>
      <c r="D845"/>
      <c r="E845"/>
      <c r="F845"/>
      <c r="G845"/>
      <c r="H845"/>
      <c r="I845"/>
      <c r="J845"/>
      <c r="K845"/>
      <c r="L845"/>
      <c r="M845"/>
      <c r="N845"/>
      <c r="O845"/>
      <c r="P845"/>
      <c r="Q845"/>
      <c r="R845"/>
      <c r="S845"/>
      <c r="T845"/>
      <c r="U845"/>
      <c r="V845"/>
      <c r="W845"/>
      <c r="X845"/>
      <c r="Y845"/>
      <c r="Z845"/>
      <c r="AA845"/>
    </row>
    <row r="846" spans="1:27" x14ac:dyDescent="0.4">
      <c r="A846"/>
      <c r="B846"/>
      <c r="C846"/>
      <c r="D846"/>
      <c r="E846"/>
      <c r="F846"/>
      <c r="G846"/>
      <c r="H846"/>
      <c r="I846"/>
      <c r="J846"/>
      <c r="K846"/>
      <c r="L846"/>
      <c r="M846"/>
      <c r="N846"/>
      <c r="O846"/>
      <c r="P846"/>
      <c r="Q846"/>
      <c r="R846"/>
      <c r="S846"/>
      <c r="T846"/>
      <c r="U846"/>
      <c r="V846"/>
      <c r="W846"/>
      <c r="X846"/>
      <c r="Y846"/>
      <c r="Z846"/>
      <c r="AA846"/>
    </row>
    <row r="847" spans="1:27" x14ac:dyDescent="0.4">
      <c r="A847"/>
      <c r="B847"/>
      <c r="C847"/>
      <c r="D847"/>
      <c r="E847"/>
      <c r="F847"/>
      <c r="G847"/>
      <c r="H847"/>
      <c r="I847"/>
      <c r="J847"/>
      <c r="K847"/>
      <c r="L847"/>
      <c r="M847"/>
      <c r="N847"/>
      <c r="O847"/>
      <c r="P847"/>
      <c r="Q847"/>
      <c r="R847"/>
      <c r="S847"/>
      <c r="T847"/>
      <c r="U847"/>
      <c r="V847"/>
      <c r="W847"/>
      <c r="X847"/>
      <c r="Y847"/>
      <c r="Z847"/>
      <c r="AA847"/>
    </row>
    <row r="848" spans="1:27" x14ac:dyDescent="0.4">
      <c r="A848"/>
      <c r="B848"/>
      <c r="C848"/>
      <c r="D848"/>
      <c r="E848"/>
      <c r="F848"/>
      <c r="G848"/>
      <c r="H848"/>
      <c r="I848"/>
      <c r="J848"/>
      <c r="K848"/>
      <c r="L848"/>
      <c r="M848"/>
      <c r="N848"/>
      <c r="O848"/>
      <c r="P848"/>
      <c r="Q848"/>
      <c r="R848"/>
      <c r="S848"/>
      <c r="T848"/>
      <c r="U848"/>
      <c r="V848"/>
      <c r="W848"/>
      <c r="X848"/>
      <c r="Y848"/>
      <c r="Z848"/>
      <c r="AA848"/>
    </row>
    <row r="849" spans="1:27" x14ac:dyDescent="0.4">
      <c r="A849"/>
      <c r="B849"/>
      <c r="C849"/>
      <c r="D849"/>
      <c r="E849"/>
      <c r="F849"/>
      <c r="G849"/>
      <c r="H849"/>
      <c r="I849"/>
      <c r="J849"/>
      <c r="K849"/>
      <c r="L849"/>
      <c r="M849"/>
      <c r="N849"/>
      <c r="O849"/>
      <c r="P849"/>
      <c r="Q849"/>
      <c r="R849"/>
      <c r="S849"/>
      <c r="T849"/>
      <c r="U849"/>
      <c r="V849"/>
      <c r="W849"/>
      <c r="X849"/>
      <c r="Y849"/>
      <c r="Z849"/>
      <c r="AA849"/>
    </row>
    <row r="850" spans="1:27" x14ac:dyDescent="0.4">
      <c r="A850"/>
      <c r="B850"/>
      <c r="C850"/>
      <c r="D850"/>
      <c r="E850"/>
      <c r="F850"/>
      <c r="G850"/>
      <c r="H850"/>
      <c r="I850"/>
      <c r="J850"/>
      <c r="K850"/>
      <c r="L850"/>
      <c r="M850"/>
      <c r="N850"/>
      <c r="O850"/>
      <c r="P850"/>
      <c r="Q850"/>
      <c r="R850"/>
      <c r="S850"/>
      <c r="T850"/>
      <c r="U850"/>
      <c r="V850"/>
      <c r="W850"/>
      <c r="X850"/>
      <c r="Y850"/>
      <c r="Z850"/>
      <c r="AA850"/>
    </row>
    <row r="851" spans="1:27" x14ac:dyDescent="0.4">
      <c r="A851"/>
      <c r="B851"/>
      <c r="C851"/>
      <c r="D851"/>
      <c r="E851"/>
      <c r="F851"/>
      <c r="G851"/>
      <c r="H851"/>
      <c r="I851"/>
      <c r="J851"/>
      <c r="K851"/>
      <c r="L851"/>
      <c r="M851"/>
      <c r="N851"/>
      <c r="O851"/>
      <c r="P851"/>
      <c r="Q851"/>
      <c r="R851"/>
      <c r="S851"/>
      <c r="T851"/>
      <c r="U851"/>
      <c r="V851"/>
      <c r="W851"/>
      <c r="X851"/>
      <c r="Y851"/>
      <c r="Z851"/>
      <c r="AA851"/>
    </row>
    <row r="852" spans="1:27" x14ac:dyDescent="0.4">
      <c r="A852"/>
      <c r="B852"/>
      <c r="C852"/>
      <c r="D852"/>
      <c r="E852"/>
      <c r="F852"/>
      <c r="G852"/>
      <c r="H852"/>
      <c r="I852"/>
      <c r="J852"/>
      <c r="K852"/>
      <c r="L852"/>
      <c r="M852"/>
      <c r="N852"/>
      <c r="O852"/>
      <c r="P852"/>
      <c r="Q852"/>
      <c r="R852"/>
      <c r="S852"/>
      <c r="T852"/>
      <c r="U852"/>
      <c r="V852"/>
      <c r="W852"/>
      <c r="X852"/>
      <c r="Y852"/>
      <c r="Z852"/>
      <c r="AA852"/>
    </row>
    <row r="853" spans="1:27" x14ac:dyDescent="0.4">
      <c r="A853"/>
      <c r="B853"/>
      <c r="C853"/>
      <c r="D853"/>
      <c r="E853"/>
      <c r="F853"/>
      <c r="G853"/>
      <c r="H853"/>
      <c r="I853"/>
      <c r="J853"/>
      <c r="K853"/>
      <c r="L853"/>
      <c r="M853"/>
      <c r="N853"/>
      <c r="O853"/>
      <c r="P853"/>
      <c r="Q853"/>
      <c r="R853"/>
      <c r="S853"/>
      <c r="T853"/>
      <c r="U853"/>
      <c r="V853"/>
      <c r="W853"/>
      <c r="X853"/>
      <c r="Y853"/>
      <c r="Z853"/>
      <c r="AA853"/>
    </row>
    <row r="854" spans="1:27" x14ac:dyDescent="0.4">
      <c r="A854"/>
      <c r="B854"/>
      <c r="C854"/>
      <c r="D854"/>
      <c r="E854"/>
      <c r="F854"/>
      <c r="G854"/>
      <c r="H854"/>
      <c r="I854"/>
      <c r="J854"/>
      <c r="K854"/>
      <c r="L854"/>
      <c r="M854"/>
      <c r="N854"/>
      <c r="O854"/>
      <c r="P854"/>
      <c r="Q854"/>
      <c r="R854"/>
      <c r="S854"/>
      <c r="T854"/>
      <c r="U854"/>
      <c r="V854"/>
      <c r="W854"/>
      <c r="X854"/>
      <c r="Y854"/>
      <c r="Z854"/>
      <c r="AA854"/>
    </row>
    <row r="855" spans="1:27" x14ac:dyDescent="0.4">
      <c r="A855"/>
      <c r="B855"/>
      <c r="C855"/>
      <c r="D855"/>
      <c r="E855"/>
      <c r="F855"/>
      <c r="G855"/>
      <c r="H855"/>
      <c r="I855"/>
      <c r="J855"/>
      <c r="K855"/>
      <c r="L855"/>
      <c r="M855"/>
      <c r="N855"/>
      <c r="O855"/>
      <c r="P855"/>
      <c r="Q855"/>
      <c r="R855"/>
      <c r="S855"/>
      <c r="T855"/>
      <c r="U855"/>
      <c r="V855"/>
      <c r="W855"/>
      <c r="X855"/>
      <c r="Y855"/>
      <c r="Z855"/>
      <c r="AA855"/>
    </row>
    <row r="856" spans="1:27" x14ac:dyDescent="0.4">
      <c r="A856"/>
      <c r="B856"/>
      <c r="C856"/>
      <c r="D856"/>
      <c r="E856"/>
      <c r="F856"/>
      <c r="G856"/>
      <c r="H856"/>
      <c r="I856"/>
      <c r="J856"/>
      <c r="K856"/>
      <c r="L856"/>
      <c r="M856"/>
      <c r="N856"/>
      <c r="O856"/>
      <c r="P856"/>
      <c r="Q856"/>
      <c r="R856"/>
      <c r="S856"/>
      <c r="T856"/>
      <c r="U856"/>
      <c r="V856"/>
      <c r="W856"/>
      <c r="X856"/>
      <c r="Y856"/>
      <c r="Z856"/>
      <c r="AA856"/>
    </row>
    <row r="857" spans="1:27" x14ac:dyDescent="0.4">
      <c r="A857"/>
      <c r="B857"/>
      <c r="C857"/>
      <c r="D857"/>
      <c r="E857"/>
      <c r="F857"/>
      <c r="G857"/>
      <c r="H857"/>
      <c r="I857"/>
      <c r="J857"/>
      <c r="K857"/>
      <c r="L857"/>
      <c r="M857"/>
      <c r="N857"/>
      <c r="O857"/>
      <c r="P857"/>
      <c r="Q857"/>
      <c r="R857"/>
      <c r="S857"/>
      <c r="T857"/>
      <c r="U857"/>
      <c r="V857"/>
      <c r="W857"/>
      <c r="X857"/>
      <c r="Y857"/>
      <c r="Z857"/>
      <c r="AA857"/>
    </row>
    <row r="858" spans="1:27" x14ac:dyDescent="0.4">
      <c r="A858"/>
      <c r="B858"/>
      <c r="C858"/>
      <c r="D858"/>
      <c r="E858"/>
      <c r="F858"/>
      <c r="G858"/>
      <c r="H858"/>
      <c r="I858"/>
      <c r="J858"/>
      <c r="K858"/>
      <c r="L858"/>
      <c r="M858"/>
      <c r="N858"/>
      <c r="O858"/>
      <c r="P858"/>
      <c r="Q858"/>
      <c r="R858"/>
      <c r="S858"/>
      <c r="T858"/>
      <c r="U858"/>
      <c r="V858"/>
      <c r="W858"/>
      <c r="X858"/>
      <c r="Y858"/>
      <c r="Z858"/>
      <c r="AA858"/>
    </row>
    <row r="859" spans="1:27" x14ac:dyDescent="0.4">
      <c r="A859"/>
      <c r="B859"/>
      <c r="C859"/>
      <c r="D859"/>
      <c r="E859"/>
      <c r="F859"/>
      <c r="G859"/>
      <c r="H859"/>
      <c r="I859"/>
      <c r="J859"/>
      <c r="K859"/>
      <c r="L859"/>
      <c r="M859"/>
      <c r="N859"/>
      <c r="O859"/>
      <c r="P859"/>
      <c r="Q859"/>
      <c r="R859"/>
      <c r="S859"/>
      <c r="T859"/>
      <c r="U859"/>
      <c r="V859"/>
      <c r="W859"/>
      <c r="X859"/>
      <c r="Y859"/>
      <c r="Z859"/>
      <c r="AA859"/>
    </row>
    <row r="860" spans="1:27" x14ac:dyDescent="0.4">
      <c r="A860"/>
      <c r="B860"/>
      <c r="C860"/>
      <c r="D860"/>
      <c r="E860"/>
      <c r="F860"/>
      <c r="G860"/>
      <c r="H860"/>
      <c r="I860"/>
      <c r="J860"/>
      <c r="K860"/>
      <c r="L860"/>
      <c r="M860"/>
      <c r="N860"/>
      <c r="O860"/>
      <c r="P860"/>
      <c r="Q860"/>
      <c r="R860"/>
      <c r="S860"/>
      <c r="T860"/>
      <c r="U860"/>
      <c r="V860"/>
      <c r="W860"/>
      <c r="X860"/>
      <c r="Y860"/>
      <c r="Z860"/>
      <c r="AA860"/>
    </row>
    <row r="861" spans="1:27" x14ac:dyDescent="0.4">
      <c r="A861"/>
      <c r="B861"/>
      <c r="C861"/>
      <c r="D861"/>
      <c r="E861"/>
      <c r="F861"/>
      <c r="G861"/>
      <c r="H861"/>
      <c r="I861"/>
      <c r="J861"/>
      <c r="K861"/>
      <c r="L861"/>
      <c r="M861"/>
      <c r="N861"/>
      <c r="O861"/>
      <c r="P861"/>
      <c r="Q861"/>
      <c r="R861"/>
      <c r="S861"/>
      <c r="T861"/>
      <c r="U861"/>
      <c r="V861"/>
      <c r="W861"/>
      <c r="X861"/>
      <c r="Y861"/>
      <c r="Z861"/>
      <c r="AA861"/>
    </row>
    <row r="862" spans="1:27" x14ac:dyDescent="0.4">
      <c r="A862"/>
      <c r="B862"/>
      <c r="C862"/>
      <c r="D862"/>
      <c r="E862"/>
      <c r="F862"/>
      <c r="G862"/>
      <c r="H862"/>
      <c r="I862"/>
      <c r="J862"/>
      <c r="K862"/>
      <c r="L862"/>
      <c r="M862"/>
      <c r="N862"/>
      <c r="O862"/>
      <c r="P862"/>
      <c r="Q862"/>
      <c r="R862"/>
      <c r="S862"/>
      <c r="T862"/>
      <c r="U862"/>
      <c r="V862"/>
      <c r="W862"/>
      <c r="X862"/>
      <c r="Y862"/>
      <c r="Z862"/>
      <c r="AA862"/>
    </row>
    <row r="863" spans="1:27" x14ac:dyDescent="0.4">
      <c r="A863"/>
      <c r="B863"/>
      <c r="C863"/>
      <c r="D863"/>
      <c r="E863"/>
      <c r="F863"/>
      <c r="G863"/>
      <c r="H863"/>
      <c r="I863"/>
      <c r="J863"/>
      <c r="K863"/>
      <c r="L863"/>
      <c r="M863"/>
      <c r="N863"/>
      <c r="O863"/>
      <c r="P863"/>
      <c r="Q863"/>
      <c r="R863"/>
      <c r="S863"/>
      <c r="T863"/>
      <c r="U863"/>
      <c r="V863"/>
      <c r="W863"/>
      <c r="X863"/>
      <c r="Y863"/>
      <c r="Z863"/>
      <c r="AA863"/>
    </row>
    <row r="864" spans="1:27" x14ac:dyDescent="0.4">
      <c r="A864"/>
      <c r="B864"/>
      <c r="C864"/>
      <c r="D864"/>
      <c r="E864"/>
      <c r="F864"/>
      <c r="G864"/>
      <c r="H864"/>
      <c r="I864"/>
      <c r="J864"/>
      <c r="K864"/>
      <c r="L864"/>
      <c r="M864"/>
      <c r="N864"/>
      <c r="O864"/>
      <c r="P864"/>
      <c r="Q864"/>
      <c r="R864"/>
      <c r="S864"/>
      <c r="T864"/>
      <c r="U864"/>
      <c r="V864"/>
      <c r="W864"/>
      <c r="X864"/>
      <c r="Y864"/>
      <c r="Z864"/>
      <c r="AA864"/>
    </row>
    <row r="865" spans="1:27" x14ac:dyDescent="0.4">
      <c r="A865"/>
      <c r="B865"/>
      <c r="C865"/>
      <c r="D865"/>
      <c r="E865"/>
      <c r="F865"/>
      <c r="G865"/>
      <c r="H865"/>
      <c r="I865"/>
      <c r="J865"/>
      <c r="K865"/>
      <c r="L865"/>
      <c r="M865"/>
      <c r="N865"/>
      <c r="O865"/>
      <c r="P865"/>
      <c r="Q865"/>
      <c r="R865"/>
      <c r="S865"/>
      <c r="T865"/>
      <c r="U865"/>
      <c r="V865"/>
      <c r="W865"/>
      <c r="X865"/>
      <c r="Y865"/>
      <c r="Z865"/>
      <c r="AA865"/>
    </row>
    <row r="866" spans="1:27" x14ac:dyDescent="0.4">
      <c r="A866"/>
      <c r="B866"/>
      <c r="C866"/>
      <c r="D866"/>
      <c r="E866"/>
      <c r="F866"/>
      <c r="G866"/>
      <c r="H866"/>
      <c r="I866"/>
      <c r="J866"/>
      <c r="K866"/>
      <c r="L866"/>
      <c r="M866"/>
      <c r="N866"/>
      <c r="O866"/>
      <c r="P866"/>
      <c r="Q866"/>
      <c r="R866"/>
      <c r="S866"/>
      <c r="T866"/>
      <c r="U866"/>
      <c r="V866"/>
      <c r="W866"/>
      <c r="X866"/>
      <c r="Y866"/>
      <c r="Z866"/>
      <c r="AA866"/>
    </row>
    <row r="867" spans="1:27" x14ac:dyDescent="0.4">
      <c r="A867"/>
      <c r="B867"/>
      <c r="C867"/>
      <c r="D867"/>
      <c r="E867"/>
      <c r="F867"/>
      <c r="G867"/>
      <c r="H867"/>
      <c r="I867"/>
      <c r="J867"/>
      <c r="K867"/>
      <c r="L867"/>
      <c r="M867"/>
      <c r="N867"/>
      <c r="O867"/>
      <c r="P867"/>
      <c r="Q867"/>
      <c r="R867"/>
      <c r="S867"/>
      <c r="T867"/>
      <c r="U867"/>
      <c r="V867"/>
      <c r="W867"/>
      <c r="X867"/>
      <c r="Y867"/>
      <c r="Z867"/>
      <c r="AA867"/>
    </row>
    <row r="868" spans="1:27" x14ac:dyDescent="0.4">
      <c r="A868"/>
      <c r="B868"/>
      <c r="C868"/>
      <c r="D868"/>
      <c r="E868"/>
      <c r="F868"/>
      <c r="G868"/>
      <c r="H868"/>
      <c r="I868"/>
      <c r="J868"/>
      <c r="K868"/>
      <c r="L868"/>
      <c r="M868"/>
      <c r="N868"/>
      <c r="O868"/>
      <c r="P868"/>
      <c r="Q868"/>
      <c r="R868"/>
      <c r="S868"/>
      <c r="T868"/>
      <c r="U868"/>
      <c r="V868"/>
      <c r="W868"/>
      <c r="X868"/>
      <c r="Y868"/>
      <c r="Z868"/>
      <c r="AA868"/>
    </row>
    <row r="869" spans="1:27" x14ac:dyDescent="0.4">
      <c r="A869"/>
      <c r="B869"/>
      <c r="C869"/>
      <c r="D869"/>
      <c r="E869"/>
      <c r="F869"/>
      <c r="G869"/>
      <c r="H869"/>
      <c r="I869"/>
      <c r="J869"/>
      <c r="K869"/>
      <c r="L869"/>
      <c r="M869"/>
      <c r="N869"/>
      <c r="O869"/>
      <c r="P869"/>
      <c r="Q869"/>
      <c r="R869"/>
      <c r="S869"/>
      <c r="T869"/>
      <c r="U869"/>
      <c r="V869"/>
      <c r="W869"/>
      <c r="X869"/>
      <c r="Y869"/>
      <c r="Z869"/>
      <c r="AA869"/>
    </row>
    <row r="870" spans="1:27" x14ac:dyDescent="0.4">
      <c r="A870"/>
      <c r="B870"/>
      <c r="C870"/>
      <c r="D870"/>
      <c r="E870"/>
      <c r="F870"/>
      <c r="G870"/>
      <c r="H870"/>
      <c r="I870"/>
      <c r="J870"/>
      <c r="K870"/>
      <c r="L870"/>
      <c r="M870"/>
      <c r="N870"/>
      <c r="O870"/>
      <c r="P870"/>
      <c r="Q870"/>
      <c r="R870"/>
      <c r="S870"/>
      <c r="T870"/>
      <c r="U870"/>
      <c r="V870"/>
      <c r="W870"/>
      <c r="X870"/>
      <c r="Y870"/>
      <c r="Z870"/>
      <c r="AA870"/>
    </row>
    <row r="871" spans="1:27" x14ac:dyDescent="0.4">
      <c r="A871"/>
      <c r="B871"/>
      <c r="C871"/>
      <c r="D871"/>
      <c r="E871"/>
      <c r="F871"/>
      <c r="G871"/>
      <c r="H871"/>
      <c r="I871"/>
      <c r="J871"/>
      <c r="K871"/>
      <c r="L871"/>
      <c r="M871"/>
      <c r="N871"/>
      <c r="O871"/>
      <c r="P871"/>
      <c r="Q871"/>
      <c r="R871"/>
      <c r="S871"/>
      <c r="T871"/>
      <c r="U871"/>
      <c r="V871"/>
      <c r="W871"/>
      <c r="X871"/>
      <c r="Y871"/>
      <c r="Z871"/>
      <c r="AA871"/>
    </row>
    <row r="872" spans="1:27" x14ac:dyDescent="0.4">
      <c r="A872"/>
      <c r="B872"/>
      <c r="C872"/>
      <c r="D872"/>
      <c r="E872"/>
      <c r="F872"/>
      <c r="G872"/>
      <c r="H872"/>
      <c r="I872"/>
      <c r="J872"/>
      <c r="K872"/>
      <c r="L872"/>
      <c r="M872"/>
      <c r="N872"/>
      <c r="O872"/>
      <c r="P872"/>
      <c r="Q872"/>
      <c r="R872"/>
      <c r="S872"/>
      <c r="T872"/>
      <c r="U872"/>
      <c r="V872"/>
      <c r="W872"/>
      <c r="X872"/>
      <c r="Y872"/>
      <c r="Z872"/>
      <c r="AA872"/>
    </row>
    <row r="873" spans="1:27" x14ac:dyDescent="0.4">
      <c r="A873"/>
      <c r="B873"/>
      <c r="C873"/>
      <c r="D873"/>
      <c r="E873"/>
      <c r="F873"/>
      <c r="G873"/>
      <c r="H873"/>
      <c r="I873"/>
      <c r="J873"/>
      <c r="K873"/>
      <c r="L873"/>
      <c r="M873"/>
      <c r="N873"/>
      <c r="O873"/>
      <c r="P873"/>
      <c r="Q873"/>
      <c r="R873"/>
      <c r="S873"/>
      <c r="T873"/>
      <c r="U873"/>
      <c r="V873"/>
      <c r="W873"/>
      <c r="X873"/>
      <c r="Y873"/>
      <c r="Z873"/>
      <c r="AA873"/>
    </row>
    <row r="874" spans="1:27" x14ac:dyDescent="0.4">
      <c r="A874"/>
      <c r="B874"/>
      <c r="C874"/>
      <c r="D874"/>
      <c r="E874"/>
      <c r="F874"/>
      <c r="G874"/>
      <c r="H874"/>
      <c r="I874"/>
      <c r="J874"/>
      <c r="K874"/>
      <c r="L874"/>
      <c r="M874"/>
      <c r="N874"/>
      <c r="O874"/>
      <c r="P874"/>
      <c r="Q874"/>
      <c r="R874"/>
      <c r="S874"/>
      <c r="T874"/>
      <c r="U874"/>
      <c r="V874"/>
      <c r="W874"/>
      <c r="X874"/>
      <c r="Y874"/>
      <c r="Z874"/>
      <c r="AA874"/>
    </row>
    <row r="875" spans="1:27" x14ac:dyDescent="0.4">
      <c r="A875"/>
      <c r="B875"/>
      <c r="C875"/>
      <c r="D875"/>
      <c r="E875"/>
      <c r="F875"/>
      <c r="G875"/>
      <c r="H875"/>
      <c r="I875"/>
      <c r="J875"/>
      <c r="K875"/>
      <c r="L875"/>
      <c r="M875"/>
      <c r="N875"/>
      <c r="O875"/>
      <c r="P875"/>
      <c r="Q875"/>
      <c r="R875"/>
      <c r="S875"/>
      <c r="T875"/>
      <c r="U875"/>
      <c r="V875"/>
      <c r="W875"/>
      <c r="X875"/>
      <c r="Y875"/>
      <c r="Z875"/>
      <c r="AA875"/>
    </row>
    <row r="876" spans="1:27" x14ac:dyDescent="0.4">
      <c r="A876"/>
      <c r="B876"/>
      <c r="C876"/>
      <c r="D876"/>
      <c r="E876"/>
      <c r="F876"/>
      <c r="G876"/>
      <c r="H876"/>
      <c r="I876"/>
      <c r="J876"/>
      <c r="K876"/>
      <c r="L876"/>
      <c r="M876"/>
      <c r="N876"/>
      <c r="O876"/>
      <c r="P876"/>
      <c r="Q876"/>
      <c r="R876"/>
      <c r="S876"/>
      <c r="T876"/>
      <c r="U876"/>
      <c r="V876"/>
      <c r="W876"/>
      <c r="X876"/>
      <c r="Y876"/>
      <c r="Z876"/>
      <c r="AA876"/>
    </row>
    <row r="877" spans="1:27" x14ac:dyDescent="0.4">
      <c r="A877"/>
      <c r="B877"/>
      <c r="C877"/>
      <c r="D877"/>
      <c r="E877"/>
      <c r="F877"/>
      <c r="G877"/>
      <c r="H877"/>
      <c r="I877"/>
      <c r="J877"/>
      <c r="K877"/>
      <c r="L877"/>
      <c r="M877"/>
      <c r="N877"/>
      <c r="O877"/>
      <c r="P877"/>
      <c r="Q877"/>
      <c r="R877"/>
      <c r="S877"/>
      <c r="T877"/>
      <c r="U877"/>
      <c r="V877"/>
      <c r="W877"/>
      <c r="X877"/>
      <c r="Y877"/>
      <c r="Z877"/>
      <c r="AA877"/>
    </row>
    <row r="878" spans="1:27" x14ac:dyDescent="0.4">
      <c r="A878"/>
      <c r="B878"/>
      <c r="C878"/>
      <c r="D878"/>
      <c r="E878"/>
      <c r="F878"/>
      <c r="G878"/>
      <c r="H878"/>
      <c r="I878"/>
      <c r="J878"/>
      <c r="K878"/>
      <c r="L878"/>
      <c r="M878"/>
      <c r="N878"/>
      <c r="O878"/>
      <c r="P878"/>
      <c r="Q878"/>
      <c r="R878"/>
      <c r="S878"/>
      <c r="T878"/>
      <c r="U878"/>
      <c r="V878"/>
      <c r="W878"/>
      <c r="X878"/>
      <c r="Y878"/>
      <c r="Z878"/>
      <c r="AA878"/>
    </row>
    <row r="879" spans="1:27" x14ac:dyDescent="0.4">
      <c r="A879"/>
      <c r="B879"/>
      <c r="C879"/>
      <c r="D879"/>
      <c r="E879"/>
      <c r="F879"/>
      <c r="G879"/>
      <c r="H879"/>
      <c r="I879"/>
      <c r="J879"/>
      <c r="K879"/>
      <c r="L879"/>
      <c r="M879"/>
      <c r="N879"/>
      <c r="O879"/>
      <c r="P879"/>
      <c r="Q879"/>
      <c r="R879"/>
      <c r="S879"/>
      <c r="T879"/>
      <c r="U879"/>
      <c r="V879"/>
      <c r="W879"/>
      <c r="X879"/>
      <c r="Y879"/>
      <c r="Z879"/>
      <c r="AA879"/>
    </row>
    <row r="880" spans="1:27" x14ac:dyDescent="0.4">
      <c r="A880"/>
      <c r="B880"/>
      <c r="C880"/>
      <c r="D880"/>
      <c r="E880"/>
      <c r="F880"/>
      <c r="G880"/>
      <c r="H880"/>
      <c r="I880"/>
      <c r="J880"/>
      <c r="K880"/>
      <c r="L880"/>
      <c r="M880"/>
      <c r="N880"/>
      <c r="O880"/>
      <c r="P880"/>
      <c r="Q880"/>
      <c r="R880"/>
      <c r="S880"/>
      <c r="T880"/>
      <c r="U880"/>
      <c r="V880"/>
      <c r="W880"/>
      <c r="X880"/>
      <c r="Y880"/>
      <c r="Z880"/>
      <c r="AA880"/>
    </row>
    <row r="881" spans="1:27" x14ac:dyDescent="0.4">
      <c r="A881"/>
      <c r="B881"/>
      <c r="C881"/>
      <c r="D881"/>
      <c r="E881"/>
      <c r="F881"/>
      <c r="G881"/>
      <c r="H881"/>
      <c r="I881"/>
      <c r="J881"/>
      <c r="K881"/>
      <c r="L881"/>
      <c r="M881"/>
      <c r="N881"/>
      <c r="O881"/>
      <c r="P881"/>
      <c r="Q881"/>
      <c r="R881"/>
      <c r="S881"/>
      <c r="T881"/>
      <c r="U881"/>
      <c r="V881"/>
      <c r="W881"/>
      <c r="X881"/>
      <c r="Y881"/>
      <c r="Z881"/>
      <c r="AA881"/>
    </row>
    <row r="882" spans="1:27" x14ac:dyDescent="0.4">
      <c r="A882"/>
      <c r="B882"/>
      <c r="C882"/>
      <c r="D882"/>
      <c r="E882"/>
      <c r="F882"/>
      <c r="G882"/>
      <c r="H882"/>
      <c r="I882"/>
      <c r="J882"/>
      <c r="K882"/>
      <c r="L882"/>
      <c r="M882"/>
      <c r="N882"/>
      <c r="O882"/>
      <c r="P882"/>
      <c r="Q882"/>
      <c r="R882"/>
      <c r="S882"/>
      <c r="T882"/>
      <c r="U882"/>
      <c r="V882"/>
      <c r="W882"/>
      <c r="X882"/>
      <c r="Y882"/>
      <c r="Z882"/>
      <c r="AA882"/>
    </row>
    <row r="883" spans="1:27" x14ac:dyDescent="0.4">
      <c r="A883"/>
      <c r="B883"/>
      <c r="C883"/>
      <c r="D883"/>
      <c r="E883"/>
      <c r="F883"/>
      <c r="G883"/>
      <c r="H883"/>
      <c r="I883"/>
      <c r="J883"/>
      <c r="K883"/>
      <c r="L883"/>
      <c r="M883"/>
      <c r="N883"/>
      <c r="O883"/>
      <c r="P883"/>
      <c r="Q883"/>
      <c r="R883"/>
      <c r="S883"/>
      <c r="T883"/>
      <c r="U883"/>
      <c r="V883"/>
      <c r="W883"/>
      <c r="X883"/>
      <c r="Y883"/>
      <c r="Z883"/>
      <c r="AA883"/>
    </row>
    <row r="884" spans="1:27" x14ac:dyDescent="0.4">
      <c r="A884"/>
      <c r="B884"/>
      <c r="C884"/>
      <c r="D884"/>
      <c r="E884"/>
      <c r="F884"/>
      <c r="G884"/>
      <c r="H884"/>
      <c r="I884"/>
      <c r="J884"/>
      <c r="K884"/>
      <c r="L884"/>
      <c r="M884"/>
      <c r="N884"/>
      <c r="O884"/>
      <c r="P884"/>
      <c r="Q884"/>
      <c r="R884"/>
      <c r="S884"/>
      <c r="T884"/>
      <c r="U884"/>
      <c r="V884"/>
      <c r="W884"/>
      <c r="X884"/>
      <c r="Y884"/>
      <c r="Z884"/>
      <c r="AA884"/>
    </row>
    <row r="885" spans="1:27" x14ac:dyDescent="0.4">
      <c r="A885"/>
      <c r="B885"/>
      <c r="C885"/>
      <c r="D885"/>
      <c r="E885"/>
      <c r="F885"/>
      <c r="G885"/>
      <c r="H885"/>
      <c r="I885"/>
      <c r="J885"/>
      <c r="K885"/>
      <c r="L885"/>
      <c r="M885"/>
      <c r="N885"/>
      <c r="O885"/>
      <c r="P885"/>
      <c r="Q885"/>
      <c r="R885"/>
      <c r="S885"/>
      <c r="T885"/>
      <c r="U885"/>
      <c r="V885"/>
      <c r="W885"/>
      <c r="X885"/>
      <c r="Y885"/>
      <c r="Z885"/>
      <c r="AA885"/>
    </row>
    <row r="886" spans="1:27" x14ac:dyDescent="0.4">
      <c r="A886"/>
      <c r="B886"/>
      <c r="C886"/>
      <c r="D886"/>
      <c r="E886"/>
      <c r="F886"/>
      <c r="G886"/>
      <c r="H886"/>
      <c r="I886"/>
      <c r="J886"/>
      <c r="K886"/>
      <c r="L886"/>
      <c r="M886"/>
      <c r="N886"/>
      <c r="O886"/>
      <c r="P886"/>
      <c r="Q886"/>
      <c r="R886"/>
      <c r="S886"/>
      <c r="T886"/>
      <c r="U886"/>
      <c r="V886"/>
      <c r="W886"/>
      <c r="X886"/>
      <c r="Y886"/>
      <c r="Z886"/>
      <c r="AA886"/>
    </row>
    <row r="887" spans="1:27" x14ac:dyDescent="0.4">
      <c r="A887"/>
      <c r="B887"/>
      <c r="C887"/>
      <c r="D887"/>
      <c r="E887"/>
      <c r="F887"/>
      <c r="G887"/>
      <c r="H887"/>
      <c r="I887"/>
      <c r="J887"/>
      <c r="K887"/>
      <c r="L887"/>
      <c r="M887"/>
      <c r="N887"/>
      <c r="O887"/>
      <c r="P887"/>
      <c r="Q887"/>
      <c r="R887"/>
      <c r="S887"/>
      <c r="T887"/>
      <c r="U887"/>
      <c r="V887"/>
      <c r="W887"/>
      <c r="X887"/>
      <c r="Y887"/>
      <c r="Z887"/>
      <c r="AA887"/>
    </row>
    <row r="888" spans="1:27" x14ac:dyDescent="0.4">
      <c r="A888"/>
      <c r="B888"/>
      <c r="C888"/>
      <c r="D888"/>
      <c r="E888"/>
      <c r="F888"/>
      <c r="G888"/>
      <c r="H888"/>
      <c r="I888"/>
      <c r="J888"/>
      <c r="K888"/>
      <c r="L888"/>
      <c r="M888"/>
      <c r="N888"/>
      <c r="O888"/>
      <c r="P888"/>
      <c r="Q888"/>
      <c r="R888"/>
      <c r="S888"/>
      <c r="T888"/>
      <c r="U888"/>
      <c r="V888"/>
      <c r="W888"/>
      <c r="X888"/>
      <c r="Y888"/>
      <c r="Z888"/>
      <c r="AA888"/>
    </row>
    <row r="889" spans="1:27" x14ac:dyDescent="0.4">
      <c r="A889"/>
      <c r="B889"/>
      <c r="C889"/>
      <c r="D889"/>
      <c r="E889"/>
      <c r="F889"/>
      <c r="G889"/>
      <c r="H889"/>
      <c r="I889"/>
      <c r="J889"/>
      <c r="K889"/>
      <c r="L889"/>
      <c r="M889"/>
      <c r="N889"/>
      <c r="O889"/>
      <c r="P889"/>
      <c r="Q889"/>
      <c r="R889"/>
      <c r="S889"/>
      <c r="T889"/>
      <c r="U889"/>
      <c r="V889"/>
      <c r="W889"/>
      <c r="X889"/>
      <c r="Y889"/>
      <c r="Z889"/>
      <c r="AA889"/>
    </row>
    <row r="890" spans="1:27" x14ac:dyDescent="0.4">
      <c r="A890"/>
      <c r="B890"/>
      <c r="C890"/>
      <c r="D890"/>
      <c r="E890"/>
      <c r="F890"/>
      <c r="G890"/>
      <c r="H890"/>
      <c r="I890"/>
      <c r="J890"/>
      <c r="K890"/>
      <c r="L890"/>
      <c r="M890"/>
      <c r="N890"/>
      <c r="O890"/>
      <c r="P890"/>
      <c r="Q890"/>
      <c r="R890"/>
      <c r="S890"/>
      <c r="T890"/>
      <c r="U890"/>
      <c r="V890"/>
      <c r="W890"/>
      <c r="X890"/>
      <c r="Y890"/>
      <c r="Z890"/>
      <c r="AA890"/>
    </row>
    <row r="891" spans="1:27" x14ac:dyDescent="0.4">
      <c r="A891"/>
      <c r="B891"/>
      <c r="C891"/>
      <c r="D891"/>
      <c r="E891"/>
      <c r="F891"/>
      <c r="G891"/>
      <c r="H891"/>
      <c r="I891"/>
      <c r="J891"/>
      <c r="K891"/>
      <c r="L891"/>
      <c r="M891"/>
      <c r="N891"/>
      <c r="O891"/>
      <c r="P891"/>
      <c r="Q891"/>
      <c r="R891"/>
      <c r="S891"/>
      <c r="T891"/>
      <c r="U891"/>
      <c r="V891"/>
      <c r="W891"/>
      <c r="X891"/>
      <c r="Y891"/>
      <c r="Z891"/>
      <c r="AA891"/>
    </row>
    <row r="892" spans="1:27" x14ac:dyDescent="0.4">
      <c r="A892"/>
      <c r="B892"/>
      <c r="C892"/>
      <c r="D892"/>
      <c r="E892"/>
      <c r="F892"/>
      <c r="G892"/>
      <c r="H892"/>
      <c r="I892"/>
      <c r="J892"/>
      <c r="K892"/>
      <c r="L892"/>
      <c r="M892"/>
      <c r="N892"/>
      <c r="O892"/>
      <c r="P892"/>
      <c r="Q892"/>
      <c r="R892"/>
      <c r="S892"/>
      <c r="T892"/>
      <c r="U892"/>
      <c r="V892"/>
      <c r="W892"/>
      <c r="X892"/>
      <c r="Y892"/>
      <c r="Z892"/>
      <c r="AA892"/>
    </row>
    <row r="893" spans="1:27" x14ac:dyDescent="0.4">
      <c r="A893"/>
      <c r="B893"/>
      <c r="C893"/>
      <c r="D893"/>
      <c r="E893"/>
      <c r="F893"/>
      <c r="G893"/>
      <c r="H893"/>
      <c r="I893"/>
      <c r="J893"/>
      <c r="K893"/>
      <c r="L893"/>
      <c r="M893"/>
      <c r="N893"/>
      <c r="O893"/>
      <c r="P893"/>
      <c r="Q893"/>
      <c r="R893"/>
      <c r="S893"/>
      <c r="T893"/>
      <c r="U893"/>
      <c r="V893"/>
      <c r="W893"/>
      <c r="X893"/>
      <c r="Y893"/>
      <c r="Z893"/>
      <c r="AA893"/>
    </row>
    <row r="894" spans="1:27" x14ac:dyDescent="0.4">
      <c r="A894"/>
      <c r="B894"/>
      <c r="C894"/>
      <c r="D894"/>
      <c r="E894"/>
      <c r="F894"/>
      <c r="G894"/>
      <c r="H894"/>
      <c r="I894"/>
      <c r="J894"/>
      <c r="K894"/>
      <c r="L894"/>
      <c r="M894"/>
      <c r="N894"/>
      <c r="O894"/>
      <c r="P894"/>
      <c r="Q894"/>
      <c r="R894"/>
      <c r="S894"/>
      <c r="T894"/>
      <c r="U894"/>
      <c r="V894"/>
      <c r="W894"/>
      <c r="X894"/>
      <c r="Y894"/>
      <c r="Z894"/>
      <c r="AA894"/>
    </row>
    <row r="895" spans="1:27" x14ac:dyDescent="0.4">
      <c r="A895"/>
      <c r="B895"/>
      <c r="C895"/>
      <c r="D895"/>
      <c r="E895"/>
      <c r="F895"/>
      <c r="G895"/>
      <c r="H895"/>
      <c r="I895"/>
      <c r="J895"/>
      <c r="K895"/>
      <c r="L895"/>
      <c r="M895"/>
      <c r="N895"/>
      <c r="O895"/>
      <c r="P895"/>
      <c r="Q895"/>
      <c r="R895"/>
      <c r="S895"/>
      <c r="T895"/>
      <c r="U895"/>
      <c r="V895"/>
      <c r="W895"/>
      <c r="X895"/>
      <c r="Y895"/>
      <c r="Z895"/>
      <c r="AA895"/>
    </row>
    <row r="896" spans="1:27" x14ac:dyDescent="0.4">
      <c r="A896"/>
      <c r="B896"/>
      <c r="C896"/>
      <c r="D896"/>
      <c r="E896"/>
      <c r="F896"/>
      <c r="G896"/>
      <c r="H896"/>
      <c r="I896"/>
      <c r="J896"/>
      <c r="K896"/>
      <c r="L896"/>
      <c r="M896"/>
      <c r="N896"/>
      <c r="O896"/>
      <c r="P896"/>
      <c r="Q896"/>
      <c r="R896"/>
      <c r="S896"/>
      <c r="T896"/>
      <c r="U896"/>
      <c r="V896"/>
      <c r="W896"/>
      <c r="X896"/>
      <c r="Y896"/>
      <c r="Z896"/>
      <c r="AA896"/>
    </row>
    <row r="897" spans="1:27" x14ac:dyDescent="0.4">
      <c r="A897"/>
      <c r="B897"/>
      <c r="C897"/>
      <c r="D897"/>
      <c r="E897"/>
      <c r="F897"/>
      <c r="G897"/>
      <c r="H897"/>
      <c r="I897"/>
      <c r="J897"/>
      <c r="K897"/>
      <c r="L897"/>
      <c r="M897"/>
      <c r="N897"/>
      <c r="O897"/>
      <c r="P897"/>
      <c r="Q897"/>
      <c r="R897"/>
      <c r="S897"/>
      <c r="T897"/>
      <c r="U897"/>
      <c r="V897"/>
      <c r="W897"/>
      <c r="X897"/>
      <c r="Y897"/>
      <c r="Z897"/>
      <c r="AA897"/>
    </row>
    <row r="898" spans="1:27" x14ac:dyDescent="0.4">
      <c r="A898"/>
      <c r="B898"/>
      <c r="C898"/>
      <c r="D898"/>
      <c r="E898"/>
      <c r="F898"/>
      <c r="G898"/>
      <c r="H898"/>
      <c r="I898"/>
      <c r="J898"/>
      <c r="K898"/>
      <c r="L898"/>
      <c r="M898"/>
      <c r="N898"/>
      <c r="O898"/>
      <c r="P898"/>
      <c r="Q898"/>
      <c r="R898"/>
      <c r="S898"/>
      <c r="T898"/>
      <c r="U898"/>
      <c r="V898"/>
      <c r="W898"/>
      <c r="X898"/>
      <c r="Y898"/>
      <c r="Z898"/>
      <c r="AA898"/>
    </row>
    <row r="899" spans="1:27" x14ac:dyDescent="0.4">
      <c r="A899"/>
      <c r="B899"/>
      <c r="C899"/>
      <c r="D899"/>
      <c r="E899"/>
      <c r="F899"/>
      <c r="G899"/>
      <c r="H899"/>
      <c r="I899"/>
      <c r="J899"/>
      <c r="K899"/>
      <c r="L899"/>
      <c r="M899"/>
      <c r="N899"/>
      <c r="O899"/>
      <c r="P899"/>
      <c r="Q899"/>
      <c r="R899"/>
      <c r="S899"/>
      <c r="T899"/>
      <c r="U899"/>
      <c r="V899"/>
      <c r="W899"/>
      <c r="X899"/>
      <c r="Y899"/>
      <c r="Z899"/>
      <c r="AA899"/>
    </row>
    <row r="900" spans="1:27" x14ac:dyDescent="0.4">
      <c r="A900"/>
      <c r="B900"/>
      <c r="C900"/>
      <c r="D900"/>
      <c r="E900"/>
      <c r="F900"/>
      <c r="G900"/>
      <c r="H900"/>
      <c r="I900"/>
      <c r="J900"/>
      <c r="K900"/>
      <c r="L900"/>
      <c r="M900"/>
      <c r="N900"/>
      <c r="O900"/>
      <c r="P900"/>
      <c r="Q900"/>
      <c r="R900"/>
      <c r="S900"/>
      <c r="T900"/>
      <c r="U900"/>
      <c r="V900"/>
      <c r="W900"/>
      <c r="X900"/>
      <c r="Y900"/>
      <c r="Z900"/>
      <c r="AA900"/>
    </row>
    <row r="901" spans="1:27" x14ac:dyDescent="0.4">
      <c r="A901"/>
      <c r="B901"/>
      <c r="C901"/>
      <c r="D901"/>
      <c r="E901"/>
      <c r="F901"/>
      <c r="G901"/>
      <c r="H901"/>
      <c r="I901"/>
      <c r="J901"/>
      <c r="K901"/>
      <c r="L901"/>
      <c r="M901"/>
      <c r="N901"/>
      <c r="O901"/>
      <c r="P901"/>
      <c r="Q901"/>
      <c r="R901"/>
      <c r="S901"/>
      <c r="T901"/>
      <c r="U901"/>
      <c r="V901"/>
      <c r="W901"/>
      <c r="X901"/>
      <c r="Y901"/>
      <c r="Z901"/>
      <c r="AA901"/>
    </row>
    <row r="902" spans="1:27" x14ac:dyDescent="0.4">
      <c r="A902"/>
      <c r="B902"/>
      <c r="C902"/>
      <c r="D902"/>
      <c r="E902"/>
      <c r="F902"/>
      <c r="G902"/>
      <c r="H902"/>
      <c r="I902"/>
      <c r="J902"/>
      <c r="K902"/>
      <c r="L902"/>
      <c r="M902"/>
      <c r="N902"/>
      <c r="O902"/>
      <c r="P902"/>
      <c r="Q902"/>
      <c r="R902"/>
      <c r="S902"/>
      <c r="T902"/>
      <c r="U902"/>
      <c r="V902"/>
      <c r="W902"/>
      <c r="X902"/>
      <c r="Y902"/>
      <c r="Z902"/>
      <c r="AA902"/>
    </row>
    <row r="903" spans="1:27" x14ac:dyDescent="0.4">
      <c r="A903"/>
      <c r="B903"/>
      <c r="C903"/>
      <c r="D903"/>
      <c r="E903"/>
      <c r="F903"/>
      <c r="G903"/>
      <c r="H903"/>
      <c r="I903"/>
      <c r="J903"/>
      <c r="K903"/>
      <c r="L903"/>
      <c r="M903"/>
      <c r="N903"/>
      <c r="O903"/>
      <c r="P903"/>
      <c r="Q903"/>
      <c r="R903"/>
      <c r="S903"/>
      <c r="T903"/>
      <c r="U903"/>
      <c r="V903"/>
      <c r="W903"/>
      <c r="X903"/>
      <c r="Y903"/>
      <c r="Z903"/>
      <c r="AA903"/>
    </row>
    <row r="904" spans="1:27" x14ac:dyDescent="0.4">
      <c r="A904"/>
      <c r="B904"/>
      <c r="C904"/>
      <c r="D904"/>
      <c r="E904"/>
      <c r="F904"/>
      <c r="G904"/>
      <c r="H904"/>
      <c r="I904"/>
      <c r="J904"/>
      <c r="K904"/>
      <c r="L904"/>
      <c r="M904"/>
      <c r="N904"/>
      <c r="O904"/>
      <c r="P904"/>
      <c r="Q904"/>
      <c r="R904"/>
      <c r="S904"/>
      <c r="T904"/>
      <c r="U904"/>
      <c r="V904"/>
      <c r="W904"/>
      <c r="X904"/>
      <c r="Y904"/>
      <c r="Z904"/>
      <c r="AA904"/>
    </row>
    <row r="905" spans="1:27" x14ac:dyDescent="0.4">
      <c r="A905"/>
      <c r="B905"/>
      <c r="C905"/>
      <c r="D905"/>
      <c r="E905"/>
      <c r="F905"/>
      <c r="G905"/>
      <c r="H905"/>
      <c r="I905"/>
      <c r="J905"/>
      <c r="K905"/>
      <c r="L905"/>
      <c r="M905"/>
      <c r="N905"/>
      <c r="O905"/>
      <c r="P905"/>
      <c r="Q905"/>
      <c r="R905"/>
      <c r="S905"/>
      <c r="T905"/>
      <c r="U905"/>
      <c r="V905"/>
      <c r="W905"/>
      <c r="X905"/>
      <c r="Y905"/>
      <c r="Z905"/>
      <c r="AA905"/>
    </row>
    <row r="906" spans="1:27" x14ac:dyDescent="0.4">
      <c r="A906"/>
      <c r="B906"/>
      <c r="C906"/>
      <c r="D906"/>
      <c r="E906"/>
      <c r="F906"/>
      <c r="G906"/>
      <c r="H906"/>
      <c r="I906"/>
      <c r="J906"/>
      <c r="K906"/>
      <c r="L906"/>
      <c r="M906"/>
      <c r="N906"/>
      <c r="O906"/>
      <c r="P906"/>
      <c r="Q906"/>
      <c r="R906"/>
      <c r="S906"/>
      <c r="T906"/>
      <c r="U906"/>
      <c r="V906"/>
      <c r="W906"/>
      <c r="X906"/>
      <c r="Y906"/>
      <c r="Z906"/>
      <c r="AA906"/>
    </row>
    <row r="907" spans="1:27" x14ac:dyDescent="0.4">
      <c r="A907"/>
      <c r="B907"/>
      <c r="C907"/>
      <c r="D907"/>
      <c r="E907"/>
      <c r="F907"/>
      <c r="G907"/>
      <c r="H907"/>
      <c r="I907"/>
      <c r="J907"/>
      <c r="K907"/>
      <c r="L907"/>
      <c r="M907"/>
      <c r="N907"/>
      <c r="O907"/>
      <c r="P907"/>
      <c r="Q907"/>
      <c r="R907"/>
      <c r="S907"/>
      <c r="T907"/>
      <c r="U907"/>
      <c r="V907"/>
      <c r="W907"/>
      <c r="X907"/>
      <c r="Y907"/>
      <c r="Z907"/>
      <c r="AA907"/>
    </row>
    <row r="908" spans="1:27" x14ac:dyDescent="0.4">
      <c r="A908"/>
      <c r="B908"/>
      <c r="C908"/>
      <c r="D908"/>
      <c r="E908"/>
      <c r="F908"/>
      <c r="G908"/>
      <c r="H908"/>
      <c r="I908"/>
      <c r="J908"/>
      <c r="K908"/>
      <c r="L908"/>
      <c r="M908"/>
      <c r="N908"/>
      <c r="O908"/>
      <c r="P908"/>
      <c r="Q908"/>
      <c r="R908"/>
      <c r="S908"/>
      <c r="T908"/>
      <c r="U908"/>
      <c r="V908"/>
      <c r="W908"/>
      <c r="X908"/>
      <c r="Y908"/>
      <c r="Z908"/>
      <c r="AA908"/>
    </row>
    <row r="909" spans="1:27" x14ac:dyDescent="0.4">
      <c r="A909"/>
      <c r="B909"/>
      <c r="C909"/>
      <c r="D909"/>
      <c r="E909"/>
      <c r="F909"/>
      <c r="G909"/>
      <c r="H909"/>
      <c r="I909"/>
      <c r="J909"/>
      <c r="K909"/>
      <c r="L909"/>
      <c r="M909"/>
      <c r="N909"/>
      <c r="O909"/>
      <c r="P909"/>
      <c r="Q909"/>
      <c r="R909"/>
      <c r="S909"/>
      <c r="T909"/>
      <c r="U909"/>
      <c r="V909"/>
      <c r="W909"/>
      <c r="X909"/>
      <c r="Y909"/>
      <c r="Z909"/>
      <c r="AA909"/>
    </row>
    <row r="910" spans="1:27" x14ac:dyDescent="0.4">
      <c r="A910"/>
      <c r="B910"/>
      <c r="C910"/>
      <c r="D910"/>
      <c r="E910"/>
      <c r="F910"/>
      <c r="G910"/>
      <c r="H910"/>
      <c r="I910"/>
      <c r="J910"/>
      <c r="K910"/>
      <c r="L910"/>
      <c r="M910"/>
      <c r="N910"/>
      <c r="O910"/>
      <c r="P910"/>
      <c r="Q910"/>
      <c r="R910"/>
      <c r="S910"/>
      <c r="T910"/>
      <c r="U910"/>
      <c r="V910"/>
      <c r="W910"/>
      <c r="X910"/>
      <c r="Y910"/>
      <c r="Z910"/>
      <c r="AA910"/>
    </row>
    <row r="911" spans="1:27" x14ac:dyDescent="0.4">
      <c r="A911"/>
      <c r="B911"/>
      <c r="C911"/>
      <c r="D911"/>
      <c r="E911"/>
      <c r="F911"/>
      <c r="G911"/>
      <c r="H911"/>
      <c r="I911"/>
      <c r="J911"/>
      <c r="K911"/>
      <c r="L911"/>
      <c r="M911"/>
      <c r="N911"/>
      <c r="O911"/>
      <c r="P911"/>
      <c r="Q911"/>
      <c r="R911"/>
      <c r="S911"/>
      <c r="T911"/>
      <c r="U911"/>
      <c r="V911"/>
      <c r="W911"/>
      <c r="X911"/>
      <c r="Y911"/>
      <c r="Z911"/>
      <c r="AA911"/>
    </row>
    <row r="912" spans="1:27" x14ac:dyDescent="0.4">
      <c r="A912"/>
      <c r="B912"/>
      <c r="C912"/>
      <c r="D912"/>
      <c r="E912"/>
      <c r="F912"/>
      <c r="G912"/>
      <c r="H912"/>
      <c r="I912"/>
      <c r="J912"/>
      <c r="K912"/>
      <c r="L912"/>
      <c r="M912"/>
      <c r="N912"/>
      <c r="O912"/>
      <c r="P912"/>
      <c r="Q912"/>
      <c r="R912"/>
      <c r="S912"/>
      <c r="T912"/>
      <c r="U912"/>
      <c r="V912"/>
      <c r="W912"/>
      <c r="X912"/>
      <c r="Y912"/>
      <c r="Z912"/>
      <c r="AA912"/>
    </row>
    <row r="913" spans="1:27" x14ac:dyDescent="0.4">
      <c r="A913"/>
      <c r="B913"/>
      <c r="C913"/>
      <c r="D913"/>
      <c r="E913"/>
      <c r="F913"/>
      <c r="G913"/>
      <c r="H913"/>
      <c r="I913"/>
      <c r="J913"/>
      <c r="K913"/>
      <c r="L913"/>
      <c r="M913"/>
      <c r="N913"/>
      <c r="O913"/>
      <c r="P913"/>
      <c r="Q913"/>
      <c r="R913"/>
      <c r="S913"/>
      <c r="T913"/>
      <c r="U913"/>
      <c r="V913"/>
      <c r="W913"/>
      <c r="X913"/>
      <c r="Y913"/>
      <c r="Z913"/>
      <c r="AA913"/>
    </row>
    <row r="914" spans="1:27" x14ac:dyDescent="0.4">
      <c r="A914"/>
      <c r="B914"/>
      <c r="C914"/>
      <c r="D914"/>
      <c r="E914"/>
      <c r="F914"/>
      <c r="G914"/>
      <c r="H914"/>
      <c r="I914"/>
      <c r="J914"/>
      <c r="K914"/>
      <c r="L914"/>
      <c r="M914"/>
      <c r="N914"/>
      <c r="O914"/>
      <c r="P914"/>
      <c r="Q914"/>
      <c r="R914"/>
      <c r="S914"/>
      <c r="T914"/>
      <c r="U914"/>
      <c r="V914"/>
      <c r="W914"/>
      <c r="X914"/>
      <c r="Y914"/>
      <c r="Z914"/>
      <c r="AA914"/>
    </row>
    <row r="915" spans="1:27" x14ac:dyDescent="0.4">
      <c r="A915"/>
      <c r="B915"/>
      <c r="C915"/>
      <c r="D915"/>
      <c r="E915"/>
      <c r="F915"/>
      <c r="G915"/>
      <c r="H915"/>
      <c r="I915"/>
      <c r="J915"/>
      <c r="K915"/>
      <c r="L915"/>
      <c r="M915"/>
      <c r="N915"/>
      <c r="O915"/>
      <c r="P915"/>
      <c r="Q915"/>
      <c r="R915"/>
      <c r="S915"/>
      <c r="T915"/>
      <c r="U915"/>
      <c r="V915"/>
      <c r="W915"/>
      <c r="X915"/>
      <c r="Y915"/>
      <c r="Z915"/>
      <c r="AA915"/>
    </row>
    <row r="916" spans="1:27" x14ac:dyDescent="0.4">
      <c r="A916"/>
      <c r="B916"/>
      <c r="C916"/>
      <c r="D916"/>
      <c r="E916"/>
      <c r="F916"/>
      <c r="G916"/>
      <c r="H916"/>
      <c r="I916"/>
      <c r="J916"/>
      <c r="K916"/>
      <c r="L916"/>
      <c r="M916"/>
      <c r="N916"/>
      <c r="O916"/>
      <c r="P916"/>
      <c r="Q916"/>
      <c r="R916"/>
      <c r="S916"/>
      <c r="T916"/>
      <c r="U916"/>
      <c r="V916"/>
      <c r="W916"/>
      <c r="X916"/>
      <c r="Y916"/>
      <c r="Z916"/>
      <c r="AA916"/>
    </row>
    <row r="917" spans="1:27" x14ac:dyDescent="0.4">
      <c r="A917"/>
      <c r="B917"/>
      <c r="C917"/>
      <c r="D917"/>
      <c r="E917"/>
      <c r="F917"/>
      <c r="G917"/>
      <c r="H917"/>
      <c r="I917"/>
      <c r="J917"/>
      <c r="K917"/>
      <c r="L917"/>
      <c r="M917"/>
      <c r="N917"/>
      <c r="O917"/>
      <c r="P917"/>
      <c r="Q917"/>
      <c r="R917"/>
      <c r="S917"/>
      <c r="T917"/>
      <c r="U917"/>
      <c r="V917"/>
      <c r="W917"/>
      <c r="X917"/>
      <c r="Y917"/>
      <c r="Z917"/>
      <c r="AA917"/>
    </row>
    <row r="918" spans="1:27" x14ac:dyDescent="0.4">
      <c r="A918"/>
      <c r="B918"/>
      <c r="C918"/>
      <c r="D918"/>
      <c r="E918"/>
      <c r="F918"/>
      <c r="G918"/>
      <c r="H918"/>
      <c r="I918"/>
      <c r="J918"/>
      <c r="K918"/>
      <c r="L918"/>
      <c r="M918"/>
      <c r="N918"/>
      <c r="O918"/>
      <c r="P918"/>
      <c r="Q918"/>
      <c r="R918"/>
      <c r="S918"/>
      <c r="T918"/>
      <c r="U918"/>
      <c r="V918"/>
      <c r="W918"/>
      <c r="X918"/>
      <c r="Y918"/>
      <c r="Z918"/>
      <c r="AA918"/>
    </row>
    <row r="919" spans="1:27" x14ac:dyDescent="0.4">
      <c r="A919"/>
      <c r="B919"/>
      <c r="C919"/>
      <c r="D919"/>
      <c r="E919"/>
      <c r="F919"/>
      <c r="G919"/>
      <c r="H919"/>
      <c r="I919"/>
      <c r="J919"/>
      <c r="K919"/>
      <c r="L919"/>
      <c r="M919"/>
      <c r="N919"/>
      <c r="O919"/>
      <c r="P919"/>
      <c r="Q919"/>
      <c r="R919"/>
      <c r="S919"/>
      <c r="T919"/>
      <c r="U919"/>
      <c r="V919"/>
      <c r="W919"/>
      <c r="X919"/>
      <c r="Y919"/>
      <c r="Z919"/>
      <c r="AA919"/>
    </row>
    <row r="920" spans="1:27" x14ac:dyDescent="0.4">
      <c r="A920"/>
      <c r="B920"/>
      <c r="C920"/>
      <c r="D920"/>
      <c r="E920"/>
      <c r="F920"/>
      <c r="G920"/>
      <c r="H920"/>
      <c r="I920"/>
      <c r="J920"/>
      <c r="K920"/>
      <c r="L920"/>
      <c r="M920"/>
      <c r="N920"/>
      <c r="O920"/>
      <c r="P920"/>
      <c r="Q920"/>
      <c r="R920"/>
      <c r="S920"/>
      <c r="T920"/>
      <c r="U920"/>
      <c r="V920"/>
      <c r="W920"/>
      <c r="X920"/>
      <c r="Y920"/>
      <c r="Z920"/>
      <c r="AA920"/>
    </row>
    <row r="921" spans="1:27" x14ac:dyDescent="0.4">
      <c r="A921"/>
      <c r="B921"/>
      <c r="C921"/>
      <c r="D921"/>
      <c r="E921"/>
      <c r="F921"/>
      <c r="G921"/>
      <c r="H921"/>
      <c r="I921"/>
      <c r="J921"/>
      <c r="K921"/>
      <c r="L921"/>
      <c r="M921"/>
      <c r="N921"/>
      <c r="O921"/>
      <c r="P921"/>
      <c r="Q921"/>
      <c r="R921"/>
      <c r="S921"/>
      <c r="T921"/>
      <c r="U921"/>
      <c r="V921"/>
      <c r="W921"/>
      <c r="X921"/>
      <c r="Y921"/>
      <c r="Z921"/>
      <c r="AA921"/>
    </row>
    <row r="922" spans="1:27" x14ac:dyDescent="0.4">
      <c r="A922"/>
      <c r="B922"/>
      <c r="C922"/>
      <c r="D922"/>
      <c r="E922"/>
      <c r="F922"/>
      <c r="G922"/>
      <c r="H922"/>
      <c r="I922"/>
      <c r="J922"/>
      <c r="K922"/>
      <c r="L922"/>
      <c r="M922"/>
      <c r="N922"/>
      <c r="O922"/>
      <c r="P922"/>
      <c r="Q922"/>
      <c r="R922"/>
      <c r="S922"/>
      <c r="T922"/>
      <c r="U922"/>
      <c r="V922"/>
      <c r="W922"/>
      <c r="X922"/>
      <c r="Y922"/>
      <c r="Z922"/>
      <c r="AA922"/>
    </row>
    <row r="923" spans="1:27" x14ac:dyDescent="0.4">
      <c r="A923"/>
      <c r="B923"/>
      <c r="C923"/>
      <c r="D923"/>
      <c r="E923"/>
      <c r="F923"/>
      <c r="G923"/>
      <c r="H923"/>
      <c r="I923"/>
      <c r="J923"/>
      <c r="K923"/>
      <c r="L923"/>
      <c r="M923"/>
      <c r="N923"/>
      <c r="O923"/>
      <c r="P923"/>
      <c r="Q923"/>
      <c r="R923"/>
      <c r="S923"/>
      <c r="T923"/>
      <c r="U923"/>
      <c r="V923"/>
      <c r="W923"/>
      <c r="X923"/>
      <c r="Y923"/>
      <c r="Z923"/>
      <c r="AA923"/>
    </row>
    <row r="924" spans="1:27" x14ac:dyDescent="0.4">
      <c r="A924"/>
      <c r="B924"/>
      <c r="C924"/>
      <c r="D924"/>
      <c r="E924"/>
      <c r="F924"/>
      <c r="G924"/>
      <c r="H924"/>
      <c r="I924"/>
      <c r="J924"/>
      <c r="K924"/>
      <c r="L924"/>
      <c r="M924"/>
      <c r="N924"/>
      <c r="O924"/>
      <c r="P924"/>
      <c r="Q924"/>
      <c r="R924"/>
      <c r="S924"/>
      <c r="T924"/>
      <c r="U924"/>
      <c r="V924"/>
      <c r="W924"/>
      <c r="X924"/>
      <c r="Y924"/>
      <c r="Z924"/>
      <c r="AA924"/>
    </row>
    <row r="925" spans="1:27" x14ac:dyDescent="0.4">
      <c r="A925"/>
      <c r="B925"/>
      <c r="C925"/>
      <c r="D925"/>
      <c r="E925"/>
      <c r="F925"/>
      <c r="G925"/>
      <c r="H925"/>
      <c r="I925"/>
      <c r="J925"/>
      <c r="K925"/>
      <c r="L925"/>
      <c r="M925"/>
      <c r="N925"/>
      <c r="O925"/>
      <c r="P925"/>
      <c r="Q925"/>
      <c r="R925"/>
      <c r="S925"/>
      <c r="T925"/>
      <c r="U925"/>
      <c r="V925"/>
      <c r="W925"/>
      <c r="X925"/>
      <c r="Y925"/>
      <c r="Z925"/>
      <c r="AA925"/>
    </row>
    <row r="926" spans="1:27" x14ac:dyDescent="0.4">
      <c r="A926"/>
      <c r="B926"/>
      <c r="C926"/>
      <c r="D926"/>
      <c r="E926"/>
      <c r="F926"/>
      <c r="G926"/>
      <c r="H926"/>
      <c r="I926"/>
      <c r="J926"/>
      <c r="K926"/>
      <c r="L926"/>
      <c r="M926"/>
      <c r="N926"/>
      <c r="O926"/>
      <c r="P926"/>
      <c r="Q926"/>
      <c r="R926"/>
      <c r="S926"/>
      <c r="T926"/>
      <c r="U926"/>
      <c r="V926"/>
      <c r="W926"/>
      <c r="X926"/>
      <c r="Y926"/>
      <c r="Z926"/>
      <c r="AA926"/>
    </row>
    <row r="927" spans="1:27" x14ac:dyDescent="0.4">
      <c r="A927"/>
      <c r="B927"/>
      <c r="C927"/>
      <c r="D927"/>
      <c r="E927"/>
      <c r="F927"/>
      <c r="G927"/>
      <c r="H927"/>
      <c r="I927"/>
      <c r="J927"/>
      <c r="K927"/>
      <c r="L927"/>
      <c r="M927"/>
      <c r="N927"/>
      <c r="O927"/>
      <c r="P927"/>
      <c r="Q927"/>
      <c r="R927"/>
      <c r="S927"/>
      <c r="T927"/>
      <c r="U927"/>
      <c r="V927"/>
      <c r="W927"/>
      <c r="X927"/>
      <c r="Y927"/>
      <c r="Z927"/>
      <c r="AA927"/>
    </row>
    <row r="928" spans="1:27" x14ac:dyDescent="0.4">
      <c r="A928"/>
      <c r="B928"/>
      <c r="C928"/>
      <c r="D928"/>
      <c r="E928"/>
      <c r="F928"/>
      <c r="G928"/>
      <c r="H928"/>
      <c r="I928"/>
      <c r="J928"/>
      <c r="K928"/>
      <c r="L928"/>
      <c r="M928"/>
      <c r="N928"/>
      <c r="O928"/>
      <c r="P928"/>
      <c r="Q928"/>
      <c r="R928"/>
      <c r="S928"/>
      <c r="T928"/>
      <c r="U928"/>
      <c r="V928"/>
      <c r="W928"/>
      <c r="X928"/>
      <c r="Y928"/>
      <c r="Z928"/>
      <c r="AA928"/>
    </row>
    <row r="929" spans="1:27" x14ac:dyDescent="0.4">
      <c r="A929"/>
      <c r="B929"/>
      <c r="C929"/>
      <c r="D929"/>
      <c r="E929"/>
      <c r="F929"/>
      <c r="G929"/>
      <c r="H929"/>
      <c r="I929"/>
      <c r="J929"/>
      <c r="K929"/>
      <c r="L929"/>
      <c r="M929"/>
      <c r="N929"/>
      <c r="O929"/>
      <c r="P929"/>
      <c r="Q929"/>
      <c r="R929"/>
      <c r="S929"/>
      <c r="T929"/>
      <c r="U929"/>
      <c r="V929"/>
      <c r="W929"/>
      <c r="X929"/>
      <c r="Y929"/>
      <c r="Z929"/>
      <c r="AA929"/>
    </row>
    <row r="930" spans="1:27" x14ac:dyDescent="0.4">
      <c r="A930"/>
      <c r="B930"/>
      <c r="C930"/>
      <c r="D930"/>
      <c r="E930"/>
      <c r="F930"/>
      <c r="G930"/>
      <c r="H930"/>
      <c r="I930"/>
      <c r="J930"/>
      <c r="K930"/>
      <c r="L930"/>
      <c r="M930"/>
      <c r="N930"/>
      <c r="O930"/>
      <c r="P930"/>
      <c r="Q930"/>
      <c r="R930"/>
      <c r="S930"/>
      <c r="T930"/>
      <c r="U930"/>
      <c r="V930"/>
      <c r="W930"/>
      <c r="X930"/>
      <c r="Y930"/>
      <c r="Z930"/>
      <c r="AA930"/>
    </row>
    <row r="931" spans="1:27" x14ac:dyDescent="0.4">
      <c r="A931"/>
      <c r="B931"/>
      <c r="C931"/>
      <c r="D931"/>
      <c r="E931"/>
      <c r="F931"/>
      <c r="G931"/>
      <c r="H931"/>
      <c r="I931"/>
      <c r="J931"/>
      <c r="K931"/>
      <c r="L931"/>
      <c r="M931"/>
      <c r="N931"/>
      <c r="O931"/>
      <c r="P931"/>
      <c r="Q931"/>
      <c r="R931"/>
      <c r="S931"/>
      <c r="T931"/>
      <c r="U931"/>
      <c r="V931"/>
      <c r="W931"/>
      <c r="X931"/>
      <c r="Y931"/>
      <c r="Z931"/>
      <c r="AA931"/>
    </row>
    <row r="932" spans="1:27" x14ac:dyDescent="0.4">
      <c r="A932"/>
      <c r="B932"/>
      <c r="C932"/>
      <c r="D932"/>
      <c r="E932"/>
      <c r="F932"/>
      <c r="G932"/>
      <c r="H932"/>
      <c r="I932"/>
      <c r="J932"/>
      <c r="K932"/>
      <c r="L932"/>
      <c r="M932"/>
      <c r="N932"/>
      <c r="O932"/>
      <c r="P932"/>
      <c r="Q932"/>
      <c r="R932"/>
      <c r="S932"/>
      <c r="T932"/>
      <c r="U932"/>
      <c r="V932"/>
      <c r="W932"/>
      <c r="X932"/>
      <c r="Y932"/>
      <c r="Z932"/>
      <c r="AA932"/>
    </row>
    <row r="933" spans="1:27" x14ac:dyDescent="0.4">
      <c r="A933"/>
      <c r="B933"/>
      <c r="C933"/>
      <c r="D933"/>
      <c r="E933"/>
      <c r="F933"/>
      <c r="G933"/>
      <c r="H933"/>
      <c r="I933"/>
      <c r="J933"/>
      <c r="K933"/>
      <c r="L933"/>
      <c r="M933"/>
      <c r="N933"/>
      <c r="O933"/>
      <c r="P933"/>
      <c r="Q933"/>
      <c r="R933"/>
      <c r="S933"/>
      <c r="T933"/>
      <c r="U933"/>
      <c r="V933"/>
      <c r="W933"/>
      <c r="X933"/>
      <c r="Y933"/>
      <c r="Z933"/>
      <c r="AA933"/>
    </row>
    <row r="934" spans="1:27" x14ac:dyDescent="0.4">
      <c r="A934"/>
      <c r="B934"/>
      <c r="C934"/>
      <c r="D934"/>
      <c r="E934"/>
      <c r="F934"/>
      <c r="G934"/>
      <c r="H934"/>
      <c r="I934"/>
      <c r="J934"/>
      <c r="K934"/>
      <c r="L934"/>
      <c r="M934"/>
      <c r="N934"/>
      <c r="O934"/>
      <c r="P934"/>
      <c r="Q934"/>
      <c r="R934"/>
      <c r="S934"/>
      <c r="T934"/>
      <c r="U934"/>
      <c r="V934"/>
      <c r="W934"/>
      <c r="X934"/>
      <c r="Y934"/>
      <c r="Z934"/>
      <c r="AA934"/>
    </row>
    <row r="935" spans="1:27" x14ac:dyDescent="0.4">
      <c r="A935"/>
      <c r="B935"/>
      <c r="C935"/>
      <c r="D935"/>
      <c r="E935"/>
      <c r="F935"/>
      <c r="G935"/>
      <c r="H935"/>
      <c r="I935"/>
      <c r="J935"/>
      <c r="K935"/>
      <c r="L935"/>
      <c r="M935"/>
      <c r="N935"/>
      <c r="O935"/>
      <c r="P935"/>
      <c r="Q935"/>
      <c r="R935"/>
      <c r="S935"/>
      <c r="T935"/>
      <c r="U935"/>
      <c r="V935"/>
      <c r="W935"/>
      <c r="X935"/>
      <c r="Y935"/>
      <c r="Z935"/>
      <c r="AA935"/>
    </row>
    <row r="936" spans="1:27" x14ac:dyDescent="0.4">
      <c r="A936"/>
      <c r="B936"/>
      <c r="C936"/>
      <c r="D936"/>
      <c r="E936"/>
      <c r="F936"/>
      <c r="G936"/>
      <c r="H936"/>
      <c r="I936"/>
      <c r="J936"/>
      <c r="K936"/>
      <c r="L936"/>
      <c r="M936"/>
      <c r="N936"/>
      <c r="O936"/>
      <c r="P936"/>
      <c r="Q936"/>
      <c r="R936"/>
      <c r="S936"/>
      <c r="T936"/>
      <c r="U936"/>
      <c r="V936"/>
      <c r="W936"/>
      <c r="X936"/>
      <c r="Y936"/>
      <c r="Z936"/>
      <c r="AA936"/>
    </row>
    <row r="937" spans="1:27" x14ac:dyDescent="0.4">
      <c r="A937"/>
      <c r="B937"/>
      <c r="C937"/>
      <c r="D937"/>
      <c r="E937"/>
      <c r="F937"/>
      <c r="G937"/>
      <c r="H937"/>
      <c r="I937"/>
      <c r="J937"/>
      <c r="K937"/>
      <c r="L937"/>
      <c r="M937"/>
      <c r="N937"/>
      <c r="O937"/>
      <c r="P937"/>
      <c r="Q937"/>
      <c r="R937"/>
      <c r="S937"/>
      <c r="T937"/>
      <c r="U937"/>
      <c r="V937"/>
      <c r="W937"/>
      <c r="X937"/>
      <c r="Y937"/>
      <c r="Z937"/>
      <c r="AA937"/>
    </row>
    <row r="938" spans="1:27" x14ac:dyDescent="0.4">
      <c r="A938"/>
      <c r="B938"/>
      <c r="C938"/>
      <c r="D938"/>
      <c r="E938"/>
      <c r="F938"/>
      <c r="G938"/>
      <c r="H938"/>
      <c r="I938"/>
      <c r="J938"/>
      <c r="K938"/>
      <c r="L938"/>
      <c r="M938"/>
      <c r="N938"/>
      <c r="O938"/>
      <c r="P938"/>
      <c r="Q938"/>
      <c r="R938"/>
      <c r="S938"/>
      <c r="T938"/>
      <c r="U938"/>
      <c r="V938"/>
      <c r="W938"/>
      <c r="X938"/>
      <c r="Y938"/>
      <c r="Z938"/>
      <c r="AA938"/>
    </row>
    <row r="939" spans="1:27" x14ac:dyDescent="0.4">
      <c r="A939"/>
      <c r="B939"/>
      <c r="C939"/>
      <c r="D939"/>
      <c r="E939"/>
      <c r="F939"/>
      <c r="G939"/>
      <c r="H939"/>
      <c r="I939"/>
      <c r="J939"/>
      <c r="K939"/>
      <c r="L939"/>
      <c r="M939"/>
      <c r="N939"/>
      <c r="O939"/>
      <c r="P939"/>
      <c r="Q939"/>
      <c r="R939"/>
      <c r="S939"/>
      <c r="T939"/>
      <c r="U939"/>
      <c r="V939"/>
      <c r="W939"/>
      <c r="X939"/>
      <c r="Y939"/>
      <c r="Z939"/>
      <c r="AA939"/>
    </row>
    <row r="940" spans="1:27" x14ac:dyDescent="0.4">
      <c r="A940"/>
      <c r="B940"/>
      <c r="C940"/>
      <c r="D940"/>
      <c r="E940"/>
      <c r="F940"/>
      <c r="G940"/>
      <c r="H940"/>
      <c r="I940"/>
      <c r="J940"/>
      <c r="K940"/>
      <c r="L940"/>
      <c r="M940"/>
      <c r="N940"/>
      <c r="O940"/>
      <c r="P940"/>
      <c r="Q940"/>
      <c r="R940"/>
      <c r="S940"/>
      <c r="T940"/>
      <c r="U940"/>
      <c r="V940"/>
      <c r="W940"/>
      <c r="X940"/>
      <c r="Y940"/>
      <c r="Z940"/>
      <c r="AA940"/>
    </row>
    <row r="941" spans="1:27" x14ac:dyDescent="0.4">
      <c r="A941"/>
      <c r="B941"/>
      <c r="C941"/>
      <c r="D941"/>
      <c r="E941"/>
      <c r="F941"/>
      <c r="G941"/>
      <c r="H941"/>
      <c r="I941"/>
      <c r="J941"/>
      <c r="K941"/>
      <c r="L941"/>
      <c r="M941"/>
      <c r="N941"/>
      <c r="O941"/>
      <c r="P941"/>
      <c r="Q941"/>
      <c r="R941"/>
      <c r="S941"/>
      <c r="T941"/>
      <c r="U941"/>
      <c r="V941"/>
      <c r="W941"/>
      <c r="X941"/>
      <c r="Y941"/>
      <c r="Z941"/>
      <c r="AA941"/>
    </row>
    <row r="942" spans="1:27" x14ac:dyDescent="0.4">
      <c r="A942"/>
      <c r="B942"/>
      <c r="C942"/>
      <c r="D942"/>
      <c r="E942"/>
      <c r="F942"/>
      <c r="G942"/>
      <c r="H942"/>
      <c r="I942"/>
      <c r="J942"/>
      <c r="K942"/>
      <c r="L942"/>
      <c r="M942"/>
      <c r="N942"/>
      <c r="O942"/>
      <c r="P942"/>
      <c r="Q942"/>
      <c r="R942"/>
      <c r="S942"/>
      <c r="T942"/>
      <c r="U942"/>
      <c r="V942"/>
      <c r="W942"/>
      <c r="X942"/>
      <c r="Y942"/>
      <c r="Z942"/>
      <c r="AA942"/>
    </row>
    <row r="943" spans="1:27" x14ac:dyDescent="0.4">
      <c r="A943"/>
      <c r="B943"/>
      <c r="C943"/>
      <c r="D943"/>
      <c r="E943"/>
      <c r="F943"/>
      <c r="G943"/>
      <c r="H943"/>
      <c r="I943"/>
      <c r="J943"/>
      <c r="K943"/>
      <c r="L943"/>
      <c r="M943"/>
      <c r="N943"/>
      <c r="O943"/>
      <c r="P943"/>
      <c r="Q943"/>
      <c r="R943"/>
      <c r="S943"/>
      <c r="T943"/>
      <c r="U943"/>
      <c r="V943"/>
      <c r="W943"/>
      <c r="X943"/>
      <c r="Y943"/>
      <c r="Z943"/>
      <c r="AA943"/>
    </row>
    <row r="944" spans="1:27" x14ac:dyDescent="0.4">
      <c r="A944"/>
      <c r="B944"/>
      <c r="C944"/>
      <c r="D944"/>
      <c r="E944"/>
      <c r="F944"/>
      <c r="G944"/>
      <c r="H944"/>
      <c r="I944"/>
      <c r="J944"/>
      <c r="K944"/>
      <c r="L944"/>
      <c r="M944"/>
      <c r="N944"/>
      <c r="O944"/>
      <c r="P944"/>
      <c r="Q944"/>
      <c r="R944"/>
      <c r="S944"/>
      <c r="T944"/>
      <c r="U944"/>
      <c r="V944"/>
      <c r="W944"/>
      <c r="X944"/>
      <c r="Y944"/>
      <c r="Z944"/>
      <c r="AA944"/>
    </row>
    <row r="945" spans="1:27" x14ac:dyDescent="0.4">
      <c r="A945"/>
      <c r="B945"/>
      <c r="C945"/>
      <c r="D945"/>
      <c r="E945"/>
      <c r="F945"/>
      <c r="G945"/>
      <c r="H945"/>
      <c r="I945"/>
      <c r="J945"/>
      <c r="K945"/>
      <c r="L945"/>
      <c r="M945"/>
      <c r="N945"/>
      <c r="O945"/>
      <c r="P945"/>
      <c r="Q945"/>
      <c r="R945"/>
      <c r="S945"/>
      <c r="T945"/>
      <c r="U945"/>
      <c r="V945"/>
      <c r="W945"/>
      <c r="X945"/>
      <c r="Y945"/>
      <c r="Z945"/>
      <c r="AA945"/>
    </row>
    <row r="946" spans="1:27" x14ac:dyDescent="0.4">
      <c r="A946"/>
      <c r="B946"/>
      <c r="C946"/>
      <c r="D946"/>
      <c r="E946"/>
      <c r="F946"/>
      <c r="G946"/>
      <c r="H946"/>
      <c r="I946"/>
      <c r="J946"/>
      <c r="K946"/>
      <c r="L946"/>
      <c r="M946"/>
      <c r="N946"/>
      <c r="O946"/>
      <c r="P946"/>
      <c r="Q946"/>
      <c r="R946"/>
      <c r="S946"/>
      <c r="T946"/>
      <c r="U946"/>
      <c r="V946"/>
      <c r="W946"/>
      <c r="X946"/>
      <c r="Y946"/>
      <c r="Z946"/>
      <c r="AA946"/>
    </row>
    <row r="947" spans="1:27" x14ac:dyDescent="0.4">
      <c r="A947"/>
      <c r="B947"/>
      <c r="C947"/>
      <c r="D947"/>
      <c r="E947"/>
      <c r="F947"/>
      <c r="G947"/>
      <c r="H947"/>
      <c r="I947"/>
      <c r="J947"/>
      <c r="K947"/>
      <c r="L947"/>
      <c r="M947"/>
      <c r="N947"/>
      <c r="O947"/>
      <c r="P947"/>
      <c r="Q947"/>
      <c r="R947"/>
      <c r="S947"/>
      <c r="T947"/>
      <c r="U947"/>
      <c r="V947"/>
      <c r="W947"/>
      <c r="X947"/>
      <c r="Y947"/>
      <c r="Z947"/>
      <c r="AA947"/>
    </row>
    <row r="948" spans="1:27" x14ac:dyDescent="0.4">
      <c r="A948"/>
      <c r="B948"/>
      <c r="C948"/>
      <c r="D948"/>
      <c r="E948"/>
      <c r="F948"/>
      <c r="G948"/>
      <c r="H948"/>
      <c r="I948"/>
      <c r="J948"/>
      <c r="K948"/>
      <c r="L948"/>
      <c r="M948"/>
      <c r="N948"/>
      <c r="O948"/>
      <c r="P948"/>
      <c r="Q948"/>
      <c r="R948"/>
      <c r="S948"/>
      <c r="T948"/>
      <c r="U948"/>
      <c r="V948"/>
      <c r="W948"/>
      <c r="X948"/>
      <c r="Y948"/>
      <c r="Z948"/>
      <c r="AA948"/>
    </row>
    <row r="949" spans="1:27" x14ac:dyDescent="0.4">
      <c r="A949"/>
      <c r="B949"/>
      <c r="C949"/>
      <c r="D949"/>
      <c r="E949"/>
      <c r="F949"/>
      <c r="G949"/>
      <c r="H949"/>
      <c r="I949"/>
      <c r="J949"/>
      <c r="K949"/>
      <c r="L949"/>
      <c r="M949"/>
      <c r="N949"/>
      <c r="O949"/>
      <c r="P949"/>
      <c r="Q949"/>
      <c r="R949"/>
      <c r="S949"/>
      <c r="T949"/>
      <c r="U949"/>
      <c r="V949"/>
      <c r="W949"/>
      <c r="X949"/>
      <c r="Y949"/>
      <c r="Z949"/>
      <c r="AA949"/>
    </row>
    <row r="950" spans="1:27" x14ac:dyDescent="0.4">
      <c r="A950"/>
      <c r="B950"/>
      <c r="C950"/>
      <c r="D950"/>
      <c r="E950"/>
      <c r="F950"/>
      <c r="G950"/>
      <c r="H950"/>
      <c r="I950"/>
      <c r="J950"/>
      <c r="K950"/>
      <c r="L950"/>
      <c r="M950"/>
      <c r="N950"/>
      <c r="O950"/>
      <c r="P950"/>
      <c r="Q950"/>
      <c r="R950"/>
      <c r="S950"/>
      <c r="T950"/>
      <c r="U950"/>
      <c r="V950"/>
      <c r="W950"/>
      <c r="X950"/>
      <c r="Y950"/>
      <c r="Z950"/>
      <c r="AA950"/>
    </row>
    <row r="951" spans="1:27" x14ac:dyDescent="0.4">
      <c r="A951"/>
      <c r="B951"/>
      <c r="C951"/>
      <c r="D951"/>
      <c r="E951"/>
      <c r="F951"/>
      <c r="G951"/>
      <c r="H951"/>
      <c r="I951"/>
      <c r="J951"/>
      <c r="K951"/>
      <c r="L951"/>
      <c r="M951"/>
      <c r="N951"/>
      <c r="O951"/>
      <c r="P951"/>
      <c r="Q951"/>
      <c r="R951"/>
      <c r="S951"/>
      <c r="T951"/>
      <c r="U951"/>
      <c r="V951"/>
      <c r="W951"/>
      <c r="X951"/>
      <c r="Y951"/>
      <c r="Z951"/>
      <c r="AA951"/>
    </row>
    <row r="952" spans="1:27" x14ac:dyDescent="0.4">
      <c r="A952"/>
      <c r="B952"/>
      <c r="C952"/>
      <c r="D952"/>
      <c r="E952"/>
      <c r="F952"/>
      <c r="G952"/>
      <c r="H952"/>
      <c r="I952"/>
      <c r="J952"/>
      <c r="K952"/>
      <c r="L952"/>
      <c r="M952"/>
      <c r="N952"/>
      <c r="O952"/>
      <c r="P952"/>
      <c r="Q952"/>
      <c r="R952"/>
      <c r="S952"/>
      <c r="T952"/>
      <c r="U952"/>
      <c r="V952"/>
      <c r="W952"/>
      <c r="X952"/>
      <c r="Y952"/>
      <c r="Z952"/>
      <c r="AA952"/>
    </row>
    <row r="953" spans="1:27" x14ac:dyDescent="0.4">
      <c r="A953"/>
      <c r="B953"/>
      <c r="C953"/>
      <c r="D953"/>
      <c r="E953"/>
      <c r="F953"/>
      <c r="G953"/>
      <c r="H953"/>
      <c r="I953"/>
      <c r="J953"/>
      <c r="K953"/>
      <c r="L953"/>
      <c r="M953"/>
      <c r="N953"/>
      <c r="O953"/>
      <c r="P953"/>
      <c r="Q953"/>
      <c r="R953"/>
      <c r="S953"/>
      <c r="T953"/>
      <c r="U953"/>
      <c r="V953"/>
      <c r="W953"/>
      <c r="X953"/>
      <c r="Y953"/>
      <c r="Z953"/>
      <c r="AA953"/>
    </row>
    <row r="954" spans="1:27" x14ac:dyDescent="0.4">
      <c r="A954"/>
      <c r="B954"/>
      <c r="C954"/>
      <c r="D954"/>
      <c r="E954"/>
      <c r="F954"/>
      <c r="G954"/>
      <c r="H954"/>
      <c r="I954"/>
      <c r="J954"/>
      <c r="K954"/>
      <c r="L954"/>
      <c r="M954"/>
      <c r="N954"/>
      <c r="O954"/>
      <c r="P954"/>
      <c r="Q954"/>
      <c r="R954"/>
      <c r="S954"/>
      <c r="T954"/>
      <c r="U954"/>
      <c r="V954"/>
      <c r="W954"/>
      <c r="X954"/>
      <c r="Y954"/>
      <c r="Z954"/>
      <c r="AA954"/>
    </row>
    <row r="955" spans="1:27" x14ac:dyDescent="0.4">
      <c r="A955"/>
      <c r="B955"/>
      <c r="C955"/>
      <c r="D955"/>
      <c r="E955"/>
      <c r="F955"/>
      <c r="G955"/>
      <c r="H955"/>
      <c r="I955"/>
      <c r="J955"/>
      <c r="K955"/>
      <c r="L955"/>
      <c r="M955"/>
      <c r="N955"/>
      <c r="O955"/>
      <c r="P955"/>
      <c r="Q955"/>
      <c r="R955"/>
      <c r="S955"/>
      <c r="T955"/>
      <c r="U955"/>
      <c r="V955"/>
      <c r="W955"/>
      <c r="X955"/>
      <c r="Y955"/>
      <c r="Z955"/>
      <c r="AA955"/>
    </row>
    <row r="956" spans="1:27" x14ac:dyDescent="0.4">
      <c r="A956"/>
      <c r="B956"/>
      <c r="C956"/>
      <c r="D956"/>
      <c r="E956"/>
      <c r="F956"/>
      <c r="G956"/>
      <c r="H956"/>
      <c r="I956"/>
      <c r="J956"/>
      <c r="K956"/>
      <c r="L956"/>
      <c r="M956"/>
      <c r="N956"/>
      <c r="O956"/>
      <c r="P956"/>
      <c r="Q956"/>
      <c r="R956"/>
      <c r="S956"/>
      <c r="T956"/>
      <c r="U956"/>
      <c r="V956"/>
      <c r="W956"/>
      <c r="X956"/>
      <c r="Y956"/>
      <c r="Z956"/>
      <c r="AA956"/>
    </row>
    <row r="957" spans="1:27" x14ac:dyDescent="0.4">
      <c r="A957"/>
      <c r="B957"/>
      <c r="C957"/>
      <c r="D957"/>
      <c r="E957"/>
      <c r="F957"/>
      <c r="G957"/>
      <c r="H957"/>
      <c r="I957"/>
      <c r="J957"/>
      <c r="K957"/>
      <c r="L957"/>
      <c r="M957"/>
      <c r="N957"/>
      <c r="O957"/>
      <c r="P957"/>
      <c r="Q957"/>
      <c r="R957"/>
      <c r="S957"/>
      <c r="T957"/>
      <c r="U957"/>
      <c r="V957"/>
      <c r="W957"/>
      <c r="X957"/>
      <c r="Y957"/>
      <c r="Z957"/>
      <c r="AA957"/>
    </row>
    <row r="958" spans="1:27" x14ac:dyDescent="0.4">
      <c r="A958"/>
      <c r="B958"/>
      <c r="C958"/>
      <c r="D958"/>
      <c r="E958"/>
      <c r="F958"/>
      <c r="G958"/>
      <c r="H958"/>
      <c r="I958"/>
      <c r="J958"/>
      <c r="K958"/>
      <c r="L958"/>
      <c r="M958"/>
      <c r="N958"/>
      <c r="O958"/>
      <c r="P958"/>
      <c r="Q958"/>
      <c r="R958"/>
      <c r="S958"/>
      <c r="T958"/>
      <c r="U958"/>
      <c r="V958"/>
      <c r="W958"/>
      <c r="X958"/>
      <c r="Y958"/>
      <c r="Z958"/>
      <c r="AA958"/>
    </row>
    <row r="959" spans="1:27" x14ac:dyDescent="0.4">
      <c r="A959"/>
      <c r="B959"/>
      <c r="C959"/>
      <c r="D959"/>
      <c r="E959"/>
      <c r="F959"/>
      <c r="G959"/>
      <c r="H959"/>
      <c r="I959"/>
      <c r="J959"/>
      <c r="K959"/>
      <c r="L959"/>
      <c r="M959"/>
      <c r="N959"/>
      <c r="O959"/>
      <c r="P959"/>
      <c r="Q959"/>
      <c r="R959"/>
      <c r="S959"/>
      <c r="T959"/>
      <c r="U959"/>
      <c r="V959"/>
      <c r="W959"/>
      <c r="X959"/>
      <c r="Y959"/>
      <c r="Z959"/>
      <c r="AA959"/>
    </row>
    <row r="960" spans="1:27" x14ac:dyDescent="0.4">
      <c r="A960"/>
      <c r="B960"/>
      <c r="C960"/>
      <c r="D960"/>
      <c r="E960"/>
      <c r="F960"/>
      <c r="G960"/>
      <c r="H960"/>
      <c r="I960"/>
      <c r="J960"/>
      <c r="K960"/>
      <c r="L960"/>
      <c r="M960"/>
      <c r="N960"/>
      <c r="O960"/>
      <c r="P960"/>
      <c r="Q960"/>
      <c r="R960"/>
      <c r="S960"/>
      <c r="T960"/>
      <c r="U960"/>
      <c r="V960"/>
      <c r="W960"/>
      <c r="X960"/>
      <c r="Y960"/>
      <c r="Z960"/>
      <c r="AA960"/>
    </row>
    <row r="961" spans="1:27" x14ac:dyDescent="0.4">
      <c r="A961"/>
      <c r="B961"/>
      <c r="C961"/>
      <c r="D961"/>
      <c r="E961"/>
      <c r="F961"/>
      <c r="G961"/>
      <c r="H961"/>
      <c r="I961"/>
      <c r="J961"/>
      <c r="K961"/>
      <c r="L961"/>
      <c r="M961"/>
      <c r="N961"/>
      <c r="O961"/>
      <c r="P961"/>
      <c r="Q961"/>
      <c r="R961"/>
      <c r="S961"/>
      <c r="T961"/>
      <c r="U961"/>
      <c r="V961"/>
      <c r="W961"/>
      <c r="X961"/>
      <c r="Y961"/>
      <c r="Z961"/>
      <c r="AA961"/>
    </row>
    <row r="962" spans="1:27" x14ac:dyDescent="0.4">
      <c r="A962"/>
      <c r="B962"/>
      <c r="C962"/>
      <c r="D962"/>
      <c r="E962"/>
      <c r="F962"/>
      <c r="G962"/>
      <c r="H962"/>
      <c r="I962"/>
      <c r="J962"/>
      <c r="K962"/>
      <c r="L962"/>
      <c r="M962"/>
      <c r="N962"/>
      <c r="O962"/>
      <c r="P962"/>
      <c r="Q962"/>
      <c r="R962"/>
      <c r="S962"/>
      <c r="T962"/>
      <c r="U962"/>
      <c r="V962"/>
      <c r="W962"/>
      <c r="X962"/>
      <c r="Y962"/>
      <c r="Z962"/>
      <c r="AA962"/>
    </row>
    <row r="963" spans="1:27" x14ac:dyDescent="0.4">
      <c r="A963"/>
      <c r="B963"/>
      <c r="C963"/>
      <c r="D963"/>
      <c r="E963"/>
      <c r="F963"/>
      <c r="G963"/>
      <c r="H963"/>
      <c r="I963"/>
      <c r="J963"/>
      <c r="K963"/>
      <c r="L963"/>
      <c r="M963"/>
      <c r="N963"/>
      <c r="O963"/>
      <c r="P963"/>
      <c r="Q963"/>
      <c r="R963"/>
      <c r="S963"/>
      <c r="T963"/>
      <c r="U963"/>
      <c r="V963"/>
      <c r="W963"/>
      <c r="X963"/>
      <c r="Y963"/>
      <c r="Z963"/>
      <c r="AA963"/>
    </row>
    <row r="964" spans="1:27" x14ac:dyDescent="0.4">
      <c r="A964"/>
      <c r="B964"/>
      <c r="C964"/>
      <c r="D964"/>
      <c r="E964"/>
      <c r="F964"/>
      <c r="G964"/>
      <c r="H964"/>
      <c r="I964"/>
      <c r="J964"/>
      <c r="K964"/>
      <c r="L964"/>
      <c r="M964"/>
      <c r="N964"/>
      <c r="O964"/>
      <c r="P964"/>
      <c r="Q964"/>
      <c r="R964"/>
      <c r="S964"/>
      <c r="T964"/>
      <c r="U964"/>
      <c r="V964"/>
      <c r="W964"/>
      <c r="X964"/>
      <c r="Y964"/>
      <c r="Z964"/>
      <c r="AA964"/>
    </row>
    <row r="965" spans="1:27" x14ac:dyDescent="0.4">
      <c r="A965"/>
      <c r="B965"/>
      <c r="C965"/>
      <c r="D965"/>
      <c r="E965"/>
      <c r="F965"/>
      <c r="G965"/>
      <c r="H965"/>
      <c r="I965"/>
      <c r="J965"/>
      <c r="K965"/>
      <c r="L965"/>
      <c r="M965"/>
      <c r="N965"/>
      <c r="O965"/>
      <c r="P965"/>
      <c r="Q965"/>
      <c r="R965"/>
      <c r="S965"/>
      <c r="T965"/>
      <c r="U965"/>
      <c r="V965"/>
      <c r="W965"/>
      <c r="X965"/>
      <c r="Y965"/>
      <c r="Z965"/>
      <c r="AA965"/>
    </row>
    <row r="966" spans="1:27" x14ac:dyDescent="0.4">
      <c r="A966"/>
      <c r="B966"/>
      <c r="C966"/>
      <c r="D966"/>
      <c r="E966"/>
      <c r="F966"/>
      <c r="G966"/>
      <c r="H966"/>
      <c r="I966"/>
      <c r="J966"/>
      <c r="K966"/>
      <c r="L966"/>
      <c r="M966"/>
      <c r="N966"/>
      <c r="O966"/>
      <c r="P966"/>
      <c r="Q966"/>
      <c r="R966"/>
      <c r="S966"/>
      <c r="T966"/>
      <c r="U966"/>
      <c r="V966"/>
      <c r="W966"/>
      <c r="X966"/>
      <c r="Y966"/>
      <c r="Z966"/>
      <c r="AA966"/>
    </row>
    <row r="967" spans="1:27" x14ac:dyDescent="0.4">
      <c r="A967"/>
      <c r="B967"/>
      <c r="C967"/>
      <c r="D967"/>
      <c r="E967"/>
      <c r="F967"/>
      <c r="G967"/>
      <c r="H967"/>
      <c r="I967"/>
      <c r="J967"/>
      <c r="K967"/>
      <c r="L967"/>
      <c r="M967"/>
      <c r="N967"/>
      <c r="O967"/>
      <c r="P967"/>
      <c r="Q967"/>
      <c r="R967"/>
      <c r="S967"/>
      <c r="T967"/>
      <c r="U967"/>
      <c r="V967"/>
      <c r="W967"/>
      <c r="X967"/>
      <c r="Y967"/>
      <c r="Z967"/>
      <c r="AA967"/>
    </row>
    <row r="968" spans="1:27" x14ac:dyDescent="0.4">
      <c r="A968"/>
      <c r="B968"/>
      <c r="C968"/>
      <c r="D968"/>
      <c r="E968"/>
      <c r="F968"/>
      <c r="G968"/>
      <c r="H968"/>
      <c r="I968"/>
      <c r="J968"/>
      <c r="K968"/>
      <c r="L968"/>
      <c r="M968"/>
      <c r="N968"/>
      <c r="O968"/>
      <c r="P968"/>
      <c r="Q968"/>
      <c r="R968"/>
      <c r="S968"/>
      <c r="T968"/>
      <c r="U968"/>
      <c r="V968"/>
      <c r="W968"/>
      <c r="X968"/>
      <c r="Y968"/>
      <c r="Z968"/>
      <c r="AA968"/>
    </row>
    <row r="969" spans="1:27" x14ac:dyDescent="0.4">
      <c r="A969"/>
      <c r="B969"/>
      <c r="C969"/>
      <c r="D969"/>
      <c r="E969"/>
      <c r="F969"/>
      <c r="G969"/>
      <c r="H969"/>
      <c r="I969"/>
      <c r="J969"/>
      <c r="K969"/>
      <c r="L969"/>
      <c r="M969"/>
      <c r="N969"/>
      <c r="O969"/>
      <c r="P969"/>
      <c r="Q969"/>
      <c r="R969"/>
      <c r="S969"/>
      <c r="T969"/>
      <c r="U969"/>
      <c r="V969"/>
      <c r="W969"/>
      <c r="X969"/>
      <c r="Y969"/>
      <c r="Z969"/>
      <c r="AA969"/>
    </row>
    <row r="970" spans="1:27" x14ac:dyDescent="0.4">
      <c r="A970"/>
      <c r="B970"/>
      <c r="C970"/>
      <c r="D970"/>
      <c r="E970"/>
      <c r="F970"/>
      <c r="G970"/>
      <c r="H970"/>
      <c r="I970"/>
      <c r="J970"/>
      <c r="K970"/>
      <c r="L970"/>
      <c r="M970"/>
      <c r="N970"/>
      <c r="O970"/>
      <c r="P970"/>
      <c r="Q970"/>
      <c r="R970"/>
      <c r="S970"/>
      <c r="T970"/>
      <c r="U970"/>
      <c r="V970"/>
      <c r="W970"/>
      <c r="X970"/>
      <c r="Y970"/>
      <c r="Z970"/>
      <c r="AA970"/>
    </row>
    <row r="971" spans="1:27" x14ac:dyDescent="0.4">
      <c r="A971"/>
      <c r="B971"/>
      <c r="C971"/>
      <c r="D971"/>
      <c r="E971"/>
      <c r="F971"/>
      <c r="G971"/>
      <c r="H971"/>
      <c r="I971"/>
      <c r="J971"/>
      <c r="K971"/>
      <c r="L971"/>
      <c r="M971"/>
      <c r="N971"/>
      <c r="O971"/>
      <c r="P971"/>
      <c r="Q971"/>
      <c r="R971"/>
      <c r="S971"/>
      <c r="T971"/>
      <c r="U971"/>
      <c r="V971"/>
      <c r="W971"/>
      <c r="X971"/>
      <c r="Y971"/>
      <c r="Z971"/>
      <c r="AA971"/>
    </row>
    <row r="972" spans="1:27" x14ac:dyDescent="0.4">
      <c r="A972"/>
      <c r="B972"/>
      <c r="C972"/>
      <c r="D972"/>
      <c r="E972"/>
      <c r="F972"/>
      <c r="G972"/>
      <c r="H972"/>
      <c r="I972"/>
      <c r="J972"/>
      <c r="K972"/>
      <c r="L972"/>
      <c r="M972"/>
      <c r="N972"/>
      <c r="O972"/>
      <c r="P972"/>
      <c r="Q972"/>
      <c r="R972"/>
      <c r="S972"/>
      <c r="T972"/>
      <c r="U972"/>
      <c r="V972"/>
      <c r="W972"/>
      <c r="X972"/>
      <c r="Y972"/>
      <c r="Z972"/>
      <c r="AA972"/>
    </row>
    <row r="973" spans="1:27" x14ac:dyDescent="0.4">
      <c r="A973"/>
      <c r="B973"/>
      <c r="C973"/>
      <c r="D973"/>
      <c r="E973"/>
      <c r="F973"/>
      <c r="G973"/>
      <c r="H973"/>
      <c r="I973"/>
      <c r="J973"/>
      <c r="K973"/>
      <c r="L973"/>
      <c r="M973"/>
      <c r="N973"/>
      <c r="O973"/>
      <c r="P973"/>
      <c r="Q973"/>
      <c r="R973"/>
      <c r="S973"/>
      <c r="T973"/>
      <c r="U973"/>
      <c r="V973"/>
      <c r="W973"/>
      <c r="X973"/>
      <c r="Y973"/>
      <c r="Z973"/>
      <c r="AA973"/>
    </row>
    <row r="974" spans="1:27" x14ac:dyDescent="0.4">
      <c r="A974"/>
      <c r="B974"/>
      <c r="C974"/>
      <c r="D974"/>
      <c r="E974"/>
      <c r="F974"/>
      <c r="G974"/>
      <c r="H974"/>
      <c r="I974"/>
      <c r="J974"/>
      <c r="K974"/>
      <c r="L974"/>
      <c r="M974"/>
      <c r="N974"/>
      <c r="O974"/>
      <c r="P974"/>
      <c r="Q974"/>
      <c r="R974"/>
      <c r="S974"/>
      <c r="T974"/>
      <c r="U974"/>
      <c r="V974"/>
      <c r="W974"/>
      <c r="X974"/>
      <c r="Y974"/>
      <c r="Z974"/>
      <c r="AA974"/>
    </row>
    <row r="975" spans="1:27" x14ac:dyDescent="0.4">
      <c r="A975"/>
      <c r="B975"/>
      <c r="C975"/>
      <c r="D975"/>
      <c r="E975"/>
      <c r="F975"/>
      <c r="G975"/>
      <c r="H975"/>
      <c r="I975"/>
      <c r="J975"/>
      <c r="K975"/>
      <c r="L975"/>
      <c r="M975"/>
      <c r="N975"/>
      <c r="O975"/>
      <c r="P975"/>
      <c r="Q975"/>
      <c r="R975"/>
      <c r="S975"/>
      <c r="T975"/>
      <c r="U975"/>
      <c r="V975"/>
      <c r="W975"/>
      <c r="X975"/>
      <c r="Y975"/>
      <c r="Z975"/>
      <c r="AA975"/>
    </row>
    <row r="976" spans="1:27" x14ac:dyDescent="0.4">
      <c r="A976"/>
      <c r="B976"/>
      <c r="C976"/>
      <c r="D976"/>
      <c r="E976"/>
      <c r="F976"/>
      <c r="G976"/>
      <c r="H976"/>
      <c r="I976"/>
      <c r="J976"/>
      <c r="K976"/>
      <c r="L976"/>
      <c r="M976"/>
      <c r="N976"/>
      <c r="O976"/>
      <c r="P976"/>
      <c r="Q976"/>
      <c r="R976"/>
      <c r="S976"/>
      <c r="T976"/>
      <c r="U976"/>
      <c r="V976"/>
      <c r="W976"/>
      <c r="X976"/>
      <c r="Y976"/>
      <c r="Z976"/>
      <c r="AA976"/>
    </row>
    <row r="977" spans="1:27" x14ac:dyDescent="0.4">
      <c r="A977"/>
      <c r="B977"/>
      <c r="C977"/>
      <c r="D977"/>
      <c r="E977"/>
      <c r="F977"/>
      <c r="G977"/>
      <c r="H977"/>
      <c r="I977"/>
      <c r="J977"/>
      <c r="K977"/>
      <c r="L977"/>
      <c r="M977"/>
      <c r="N977"/>
      <c r="O977"/>
      <c r="P977"/>
      <c r="Q977"/>
      <c r="R977"/>
      <c r="S977"/>
      <c r="T977"/>
      <c r="U977"/>
      <c r="V977"/>
      <c r="W977"/>
      <c r="X977"/>
      <c r="Y977"/>
      <c r="Z977"/>
      <c r="AA977"/>
    </row>
    <row r="978" spans="1:27" x14ac:dyDescent="0.4">
      <c r="A978"/>
      <c r="B978"/>
      <c r="C978"/>
      <c r="D978"/>
      <c r="E978"/>
      <c r="F978"/>
      <c r="G978"/>
      <c r="H978"/>
      <c r="I978"/>
      <c r="J978"/>
      <c r="K978"/>
      <c r="L978"/>
      <c r="M978"/>
      <c r="N978"/>
      <c r="O978"/>
      <c r="P978"/>
      <c r="Q978"/>
      <c r="R978"/>
      <c r="S978"/>
      <c r="T978"/>
      <c r="U978"/>
      <c r="V978"/>
      <c r="W978"/>
      <c r="X978"/>
      <c r="Y978"/>
      <c r="Z978"/>
      <c r="AA978"/>
    </row>
    <row r="979" spans="1:27" x14ac:dyDescent="0.4">
      <c r="A979"/>
      <c r="B979"/>
      <c r="C979"/>
      <c r="D979"/>
      <c r="E979"/>
      <c r="F979"/>
      <c r="G979"/>
      <c r="H979"/>
      <c r="I979"/>
      <c r="J979"/>
      <c r="K979"/>
      <c r="L979"/>
      <c r="M979"/>
      <c r="N979"/>
      <c r="O979"/>
      <c r="P979"/>
      <c r="Q979"/>
      <c r="R979"/>
      <c r="S979"/>
      <c r="T979"/>
      <c r="U979"/>
      <c r="V979"/>
      <c r="W979"/>
      <c r="X979"/>
      <c r="Y979"/>
      <c r="Z979"/>
      <c r="AA979"/>
    </row>
    <row r="980" spans="1:27" x14ac:dyDescent="0.4">
      <c r="A980"/>
      <c r="B980"/>
      <c r="C980"/>
      <c r="D980"/>
      <c r="E980"/>
      <c r="F980"/>
      <c r="G980"/>
      <c r="H980"/>
      <c r="I980"/>
      <c r="J980"/>
      <c r="K980"/>
      <c r="L980"/>
      <c r="M980"/>
      <c r="N980"/>
      <c r="O980"/>
      <c r="P980"/>
      <c r="Q980"/>
      <c r="R980"/>
      <c r="S980"/>
      <c r="T980"/>
      <c r="U980"/>
      <c r="V980"/>
      <c r="W980"/>
      <c r="X980"/>
      <c r="Y980"/>
      <c r="Z980"/>
      <c r="AA980"/>
    </row>
    <row r="981" spans="1:27" x14ac:dyDescent="0.4">
      <c r="A981"/>
      <c r="B981"/>
      <c r="C981"/>
      <c r="D981"/>
      <c r="E981"/>
      <c r="F981"/>
      <c r="G981"/>
      <c r="H981"/>
      <c r="I981"/>
      <c r="J981"/>
      <c r="K981"/>
      <c r="L981"/>
      <c r="M981"/>
      <c r="N981"/>
      <c r="O981"/>
      <c r="P981"/>
      <c r="Q981"/>
      <c r="R981"/>
      <c r="S981"/>
      <c r="T981"/>
      <c r="U981"/>
      <c r="V981"/>
      <c r="W981"/>
      <c r="X981"/>
      <c r="Y981"/>
      <c r="Z981"/>
      <c r="AA981"/>
    </row>
    <row r="982" spans="1:27" x14ac:dyDescent="0.4">
      <c r="A982"/>
      <c r="B982"/>
      <c r="C982"/>
      <c r="D982"/>
      <c r="E982"/>
      <c r="F982"/>
      <c r="G982"/>
      <c r="H982"/>
      <c r="I982"/>
      <c r="J982"/>
      <c r="K982"/>
      <c r="L982"/>
      <c r="M982"/>
      <c r="N982"/>
      <c r="O982"/>
      <c r="P982"/>
      <c r="Q982"/>
      <c r="R982"/>
      <c r="S982"/>
      <c r="T982"/>
      <c r="U982"/>
      <c r="V982"/>
      <c r="W982"/>
      <c r="X982"/>
      <c r="Y982"/>
      <c r="Z982"/>
      <c r="AA982"/>
    </row>
    <row r="983" spans="1:27" x14ac:dyDescent="0.4">
      <c r="A983"/>
      <c r="B983"/>
      <c r="C983"/>
      <c r="D983"/>
      <c r="E983"/>
      <c r="F983"/>
      <c r="G983"/>
      <c r="H983"/>
      <c r="I983"/>
      <c r="J983"/>
      <c r="K983"/>
      <c r="L983"/>
      <c r="M983"/>
      <c r="N983"/>
      <c r="O983"/>
      <c r="P983"/>
      <c r="Q983"/>
      <c r="R983"/>
      <c r="S983"/>
      <c r="T983"/>
      <c r="U983"/>
      <c r="V983"/>
      <c r="W983"/>
      <c r="X983"/>
      <c r="Y983"/>
      <c r="Z983"/>
      <c r="AA983"/>
    </row>
    <row r="984" spans="1:27" x14ac:dyDescent="0.4">
      <c r="A984"/>
      <c r="B984"/>
      <c r="C984"/>
      <c r="D984"/>
      <c r="E984"/>
      <c r="F984"/>
      <c r="G984"/>
      <c r="H984"/>
      <c r="I984"/>
      <c r="J984"/>
      <c r="K984"/>
      <c r="L984"/>
      <c r="M984"/>
      <c r="N984"/>
      <c r="O984"/>
      <c r="P984"/>
      <c r="Q984"/>
      <c r="R984"/>
      <c r="S984"/>
      <c r="T984"/>
      <c r="U984"/>
      <c r="V984"/>
      <c r="W984"/>
      <c r="X984"/>
      <c r="Y984"/>
      <c r="Z984"/>
      <c r="AA984"/>
    </row>
    <row r="985" spans="1:27" x14ac:dyDescent="0.4">
      <c r="A985"/>
      <c r="B985"/>
      <c r="C985"/>
      <c r="D985"/>
      <c r="E985"/>
      <c r="F985"/>
      <c r="G985"/>
      <c r="H985"/>
      <c r="I985"/>
      <c r="J985"/>
      <c r="K985"/>
      <c r="L985"/>
      <c r="M985"/>
      <c r="N985"/>
      <c r="O985"/>
      <c r="P985"/>
      <c r="Q985"/>
      <c r="R985"/>
      <c r="S985"/>
      <c r="T985"/>
      <c r="U985"/>
      <c r="V985"/>
      <c r="W985"/>
      <c r="X985"/>
      <c r="Y985"/>
      <c r="Z985"/>
      <c r="AA985"/>
    </row>
    <row r="986" spans="1:27" x14ac:dyDescent="0.4">
      <c r="A986"/>
      <c r="B986"/>
      <c r="C986"/>
      <c r="D986"/>
      <c r="E986"/>
      <c r="F986"/>
      <c r="G986"/>
      <c r="H986"/>
      <c r="I986"/>
      <c r="J986"/>
      <c r="K986"/>
      <c r="L986"/>
      <c r="M986"/>
      <c r="N986"/>
      <c r="O986"/>
      <c r="P986"/>
      <c r="Q986"/>
      <c r="R986"/>
      <c r="S986"/>
      <c r="T986"/>
      <c r="U986"/>
      <c r="V986"/>
      <c r="W986"/>
      <c r="X986"/>
      <c r="Y986"/>
      <c r="Z986"/>
      <c r="AA986"/>
    </row>
    <row r="987" spans="1:27" x14ac:dyDescent="0.4">
      <c r="A987"/>
      <c r="B987"/>
      <c r="C987"/>
      <c r="D987"/>
      <c r="E987"/>
      <c r="F987"/>
      <c r="G987"/>
      <c r="H987"/>
      <c r="I987"/>
      <c r="J987"/>
      <c r="K987"/>
      <c r="L987"/>
      <c r="M987"/>
      <c r="N987"/>
      <c r="O987"/>
      <c r="P987"/>
      <c r="Q987"/>
      <c r="R987"/>
      <c r="S987"/>
      <c r="T987"/>
      <c r="U987"/>
      <c r="V987"/>
      <c r="W987"/>
      <c r="X987"/>
      <c r="Y987"/>
      <c r="Z987"/>
      <c r="AA987"/>
    </row>
    <row r="988" spans="1:27" x14ac:dyDescent="0.4">
      <c r="A988"/>
      <c r="B988"/>
      <c r="C988"/>
      <c r="D988"/>
      <c r="E988"/>
      <c r="F988"/>
      <c r="G988"/>
      <c r="H988"/>
      <c r="I988"/>
      <c r="J988"/>
      <c r="K988"/>
      <c r="L988"/>
      <c r="M988"/>
      <c r="N988"/>
      <c r="O988"/>
      <c r="P988"/>
      <c r="Q988"/>
      <c r="R988"/>
      <c r="S988"/>
      <c r="T988"/>
      <c r="U988"/>
      <c r="V988"/>
      <c r="W988"/>
      <c r="X988"/>
      <c r="Y988"/>
      <c r="Z988"/>
      <c r="AA988"/>
    </row>
    <row r="989" spans="1:27" x14ac:dyDescent="0.4">
      <c r="A989"/>
      <c r="B989"/>
      <c r="C989"/>
      <c r="D989"/>
      <c r="E989"/>
      <c r="F989"/>
      <c r="G989"/>
      <c r="H989"/>
      <c r="I989"/>
      <c r="J989"/>
      <c r="K989"/>
      <c r="L989"/>
      <c r="M989"/>
      <c r="N989"/>
      <c r="O989"/>
      <c r="P989"/>
      <c r="Q989"/>
      <c r="R989"/>
      <c r="S989"/>
      <c r="T989"/>
      <c r="U989"/>
      <c r="V989"/>
      <c r="W989"/>
      <c r="X989"/>
      <c r="Y989"/>
      <c r="Z989"/>
      <c r="AA989"/>
    </row>
    <row r="990" spans="1:27" x14ac:dyDescent="0.4">
      <c r="A990"/>
      <c r="B990"/>
      <c r="C990"/>
      <c r="D990"/>
      <c r="E990"/>
      <c r="F990"/>
      <c r="G990"/>
      <c r="H990"/>
      <c r="I990"/>
      <c r="J990"/>
      <c r="K990"/>
      <c r="L990"/>
      <c r="M990"/>
      <c r="N990"/>
      <c r="O990"/>
      <c r="P990"/>
      <c r="Q990"/>
      <c r="R990"/>
      <c r="S990"/>
      <c r="T990"/>
      <c r="U990"/>
      <c r="V990"/>
      <c r="W990"/>
      <c r="X990"/>
      <c r="Y990"/>
      <c r="Z990"/>
      <c r="AA990"/>
    </row>
    <row r="991" spans="1:27" x14ac:dyDescent="0.4">
      <c r="A991"/>
      <c r="B991"/>
      <c r="C991"/>
      <c r="D991"/>
      <c r="E991"/>
      <c r="F991"/>
      <c r="G991"/>
      <c r="H991"/>
      <c r="I991"/>
      <c r="J991"/>
      <c r="K991"/>
      <c r="L991"/>
      <c r="M991"/>
      <c r="N991"/>
      <c r="O991"/>
      <c r="P991"/>
      <c r="Q991"/>
      <c r="R991"/>
      <c r="S991"/>
      <c r="T991"/>
      <c r="U991"/>
      <c r="V991"/>
      <c r="W991"/>
      <c r="X991"/>
      <c r="Y991"/>
      <c r="Z991"/>
      <c r="AA991"/>
    </row>
    <row r="992" spans="1:27" x14ac:dyDescent="0.4">
      <c r="A992"/>
      <c r="B992"/>
      <c r="C992"/>
      <c r="D992"/>
      <c r="E992"/>
      <c r="F992"/>
      <c r="G992"/>
      <c r="H992"/>
      <c r="I992"/>
      <c r="J992"/>
      <c r="K992"/>
      <c r="L992"/>
      <c r="M992"/>
      <c r="N992"/>
      <c r="O992"/>
      <c r="P992"/>
      <c r="Q992"/>
      <c r="R992"/>
      <c r="S992"/>
      <c r="T992"/>
      <c r="U992"/>
      <c r="V992"/>
      <c r="W992"/>
      <c r="X992"/>
      <c r="Y992"/>
      <c r="Z992"/>
      <c r="AA992"/>
    </row>
    <row r="993" spans="1:27" x14ac:dyDescent="0.4">
      <c r="A993"/>
      <c r="B993"/>
      <c r="C993"/>
      <c r="D993"/>
      <c r="E993"/>
      <c r="F993"/>
      <c r="G993"/>
      <c r="H993"/>
      <c r="I993"/>
      <c r="J993"/>
      <c r="K993"/>
      <c r="L993"/>
      <c r="M993"/>
      <c r="N993"/>
      <c r="O993"/>
      <c r="P993"/>
      <c r="Q993"/>
      <c r="R993"/>
      <c r="S993"/>
      <c r="T993"/>
      <c r="U993"/>
      <c r="V993"/>
      <c r="W993"/>
      <c r="X993"/>
      <c r="Y993"/>
      <c r="Z993"/>
      <c r="AA993"/>
    </row>
    <row r="994" spans="1:27" x14ac:dyDescent="0.4">
      <c r="A994"/>
      <c r="B994"/>
      <c r="C994"/>
      <c r="D994"/>
      <c r="E994"/>
      <c r="F994"/>
      <c r="G994"/>
      <c r="H994"/>
      <c r="I994"/>
      <c r="J994"/>
      <c r="K994"/>
      <c r="L994"/>
      <c r="M994"/>
      <c r="N994"/>
      <c r="O994"/>
      <c r="P994"/>
      <c r="Q994"/>
      <c r="R994"/>
      <c r="S994"/>
      <c r="T994"/>
      <c r="U994"/>
      <c r="V994"/>
      <c r="W994"/>
      <c r="X994"/>
      <c r="Y994"/>
      <c r="Z994"/>
      <c r="AA994"/>
    </row>
    <row r="995" spans="1:27" x14ac:dyDescent="0.4">
      <c r="A995"/>
      <c r="B995"/>
      <c r="C995"/>
      <c r="D995"/>
      <c r="E995"/>
      <c r="F995"/>
      <c r="G995"/>
      <c r="H995"/>
      <c r="I995"/>
      <c r="J995"/>
      <c r="K995"/>
      <c r="L995"/>
      <c r="M995"/>
      <c r="N995"/>
      <c r="O995"/>
      <c r="P995"/>
      <c r="Q995"/>
      <c r="R995"/>
      <c r="S995"/>
      <c r="T995"/>
      <c r="U995"/>
      <c r="V995"/>
      <c r="W995"/>
      <c r="X995"/>
      <c r="Y995"/>
      <c r="Z995"/>
      <c r="AA995"/>
    </row>
    <row r="996" spans="1:27" x14ac:dyDescent="0.4">
      <c r="A996"/>
      <c r="B996"/>
      <c r="C996"/>
      <c r="D996"/>
      <c r="E996"/>
      <c r="F996"/>
      <c r="G996"/>
      <c r="H996"/>
      <c r="I996"/>
      <c r="J996"/>
      <c r="K996"/>
      <c r="L996"/>
      <c r="M996"/>
      <c r="N996"/>
      <c r="O996"/>
      <c r="P996"/>
      <c r="Q996"/>
      <c r="R996"/>
      <c r="S996"/>
      <c r="T996"/>
      <c r="U996"/>
      <c r="V996"/>
      <c r="W996"/>
      <c r="X996"/>
      <c r="Y996"/>
      <c r="Z996"/>
      <c r="AA996"/>
    </row>
    <row r="997" spans="1:27" x14ac:dyDescent="0.4">
      <c r="A997"/>
      <c r="B997"/>
      <c r="C997"/>
      <c r="D997"/>
      <c r="E997"/>
      <c r="F997"/>
      <c r="G997"/>
      <c r="H997"/>
      <c r="I997"/>
      <c r="J997"/>
      <c r="K997"/>
      <c r="L997"/>
      <c r="M997"/>
      <c r="N997"/>
      <c r="O997"/>
      <c r="P997"/>
      <c r="Q997"/>
      <c r="R997"/>
      <c r="S997"/>
      <c r="T997"/>
      <c r="U997"/>
      <c r="V997"/>
      <c r="W997"/>
      <c r="X997"/>
      <c r="Y997"/>
      <c r="Z997"/>
      <c r="AA997"/>
    </row>
    <row r="998" spans="1:27" x14ac:dyDescent="0.4">
      <c r="A998"/>
      <c r="B998"/>
      <c r="C998"/>
      <c r="D998"/>
      <c r="E998"/>
      <c r="F998"/>
      <c r="G998"/>
      <c r="H998"/>
      <c r="I998"/>
      <c r="J998"/>
      <c r="K998"/>
      <c r="L998"/>
      <c r="M998"/>
      <c r="N998"/>
      <c r="O998"/>
      <c r="P998"/>
      <c r="Q998"/>
      <c r="R998"/>
      <c r="S998"/>
      <c r="T998"/>
      <c r="U998"/>
      <c r="V998"/>
      <c r="W998"/>
      <c r="X998"/>
      <c r="Y998"/>
      <c r="Z998"/>
      <c r="AA998"/>
    </row>
    <row r="999" spans="1:27" x14ac:dyDescent="0.4">
      <c r="A999"/>
      <c r="B999"/>
      <c r="C999"/>
      <c r="D999"/>
      <c r="E999"/>
      <c r="F999"/>
      <c r="G999"/>
      <c r="H999"/>
      <c r="I999"/>
      <c r="J999"/>
      <c r="K999"/>
      <c r="L999"/>
      <c r="M999"/>
      <c r="N999"/>
      <c r="O999"/>
      <c r="P999"/>
      <c r="Q999"/>
      <c r="R999"/>
      <c r="S999"/>
      <c r="T999"/>
      <c r="U999"/>
      <c r="V999"/>
      <c r="W999"/>
      <c r="X999"/>
      <c r="Y999"/>
      <c r="Z999"/>
      <c r="AA999"/>
    </row>
    <row r="1000" spans="1:27" x14ac:dyDescent="0.4">
      <c r="A1000"/>
      <c r="B1000"/>
      <c r="C1000"/>
      <c r="D1000"/>
      <c r="E1000"/>
      <c r="F1000"/>
      <c r="G1000"/>
      <c r="H1000"/>
      <c r="I1000"/>
      <c r="J1000"/>
      <c r="K1000"/>
      <c r="L1000"/>
      <c r="M1000"/>
      <c r="N1000"/>
      <c r="O1000"/>
      <c r="P1000"/>
      <c r="Q1000"/>
      <c r="R1000"/>
      <c r="S1000"/>
      <c r="T1000"/>
      <c r="U1000"/>
      <c r="V1000"/>
      <c r="W1000"/>
      <c r="X1000"/>
      <c r="Y1000"/>
      <c r="Z1000"/>
      <c r="AA1000"/>
    </row>
  </sheetData>
  <sheetProtection sheet="1" objects="1" scenarios="1"/>
  <mergeCells count="29">
    <mergeCell ref="E7:E8"/>
    <mergeCell ref="F7:F8"/>
    <mergeCell ref="G7:G8"/>
    <mergeCell ref="H7:H8"/>
    <mergeCell ref="O7:R7"/>
    <mergeCell ref="J6:J8"/>
    <mergeCell ref="K7:N7"/>
    <mergeCell ref="K6:R6"/>
    <mergeCell ref="I6:I8"/>
    <mergeCell ref="AA7:AA8"/>
    <mergeCell ref="A4:C4"/>
    <mergeCell ref="G4:H4"/>
    <mergeCell ref="A6:C6"/>
    <mergeCell ref="G6:H6"/>
    <mergeCell ref="D6:F6"/>
    <mergeCell ref="A7:A8"/>
    <mergeCell ref="B7:B8"/>
    <mergeCell ref="C7:C8"/>
    <mergeCell ref="D7:D8"/>
    <mergeCell ref="S6:X6"/>
    <mergeCell ref="Y6:AA6"/>
    <mergeCell ref="Y7:Y8"/>
    <mergeCell ref="V7:V8"/>
    <mergeCell ref="S7:S8"/>
    <mergeCell ref="T7:T8"/>
    <mergeCell ref="U7:U8"/>
    <mergeCell ref="W7:W8"/>
    <mergeCell ref="X7:X8"/>
    <mergeCell ref="Z7:Z8"/>
  </mergeCells>
  <phoneticPr fontId="2" type="noConversion"/>
  <dataValidations count="1">
    <dataValidation type="list" allowBlank="1" showInputMessage="1" showErrorMessage="1" sqref="J9:J83">
      <formula1>"ALB,MBD"</formula1>
    </dataValidation>
  </dataValidations>
  <pageMargins left="0.2" right="0.19" top="0.52" bottom="0.53" header="0.5" footer="0.5"/>
  <pageSetup paperSize="9" scale="38"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R1000"/>
  <sheetViews>
    <sheetView tabSelected="1" zoomScaleNormal="100" workbookViewId="0">
      <pane xSplit="3" ySplit="8" topLeftCell="D9" activePane="bottomRight" state="frozen"/>
      <selection pane="topRight" activeCell="D1" sqref="D1"/>
      <selection pane="bottomLeft" activeCell="A9" sqref="A9"/>
      <selection pane="bottomRight" activeCell="H9" sqref="H9"/>
    </sheetView>
  </sheetViews>
  <sheetFormatPr defaultColWidth="9.1640625" defaultRowHeight="12.3" x14ac:dyDescent="0.4"/>
  <cols>
    <col min="1" max="1" width="18.27734375" style="1" customWidth="1"/>
    <col min="2" max="3" width="23.44140625" style="1" customWidth="1"/>
    <col min="4" max="6" width="11.71875" style="1" customWidth="1"/>
    <col min="7" max="7" width="11" style="1" customWidth="1"/>
    <col min="8" max="8" width="9.83203125" style="1" customWidth="1"/>
    <col min="9" max="9" width="11.71875" style="1" customWidth="1"/>
    <col min="10" max="10" width="13.5546875" style="1" customWidth="1"/>
    <col min="11" max="12" width="11.71875" style="1" customWidth="1"/>
    <col min="13" max="17" width="12.71875" style="1" customWidth="1"/>
    <col min="18" max="18" width="15.83203125" style="1" customWidth="1"/>
    <col min="19" max="16384" width="9.1640625" style="1"/>
  </cols>
  <sheetData>
    <row r="1" spans="1:18" ht="22.5" x14ac:dyDescent="0.75">
      <c r="A1" s="4" t="s">
        <v>9</v>
      </c>
      <c r="B1" s="5"/>
      <c r="C1" s="5"/>
      <c r="D1" s="5"/>
      <c r="E1" s="5"/>
      <c r="F1" s="5"/>
      <c r="G1" s="5"/>
      <c r="H1" s="5"/>
      <c r="I1" s="5"/>
      <c r="J1" s="5"/>
      <c r="K1" s="5"/>
      <c r="L1" s="5"/>
      <c r="M1" s="5"/>
      <c r="N1" s="5"/>
      <c r="O1" s="5"/>
      <c r="P1" s="5"/>
      <c r="Q1" s="5"/>
      <c r="R1" s="5"/>
    </row>
    <row r="2" spans="1:18" x14ac:dyDescent="0.4">
      <c r="A2" s="130" t="s">
        <v>64</v>
      </c>
      <c r="B2" s="5"/>
      <c r="C2" s="5"/>
      <c r="D2" s="5"/>
      <c r="E2" s="5"/>
      <c r="F2" s="5"/>
      <c r="G2" s="5"/>
      <c r="H2" s="5"/>
      <c r="I2" s="5"/>
      <c r="J2" s="5"/>
      <c r="K2" s="5"/>
      <c r="L2" s="5"/>
      <c r="M2" s="5"/>
      <c r="N2" s="5"/>
      <c r="O2" s="5"/>
      <c r="P2" s="5"/>
      <c r="Q2" s="5"/>
      <c r="R2" s="5"/>
    </row>
    <row r="3" spans="1:18" x14ac:dyDescent="0.4">
      <c r="A3" s="5"/>
      <c r="B3" s="5"/>
      <c r="C3" s="5"/>
      <c r="D3" s="5"/>
      <c r="E3" s="5"/>
      <c r="F3" s="5"/>
      <c r="G3" s="5"/>
      <c r="H3" s="5"/>
      <c r="I3" s="5"/>
      <c r="J3" s="5"/>
      <c r="K3" s="5"/>
      <c r="L3" s="5"/>
      <c r="M3" s="5"/>
      <c r="N3" s="5"/>
      <c r="O3" s="5"/>
      <c r="P3" s="5"/>
      <c r="Q3" s="5"/>
      <c r="R3" s="5"/>
    </row>
    <row r="4" spans="1:18" x14ac:dyDescent="0.4">
      <c r="A4" s="244" t="s">
        <v>7</v>
      </c>
      <c r="B4" s="244"/>
      <c r="C4" s="244"/>
      <c r="D4" s="6">
        <f>SUM(D$9:D$1000)</f>
        <v>1480170.12</v>
      </c>
      <c r="E4" s="6">
        <f>SUM(E$9:E$1000)</f>
        <v>0</v>
      </c>
      <c r="F4" s="6">
        <f>SUM(F$9:F$1000)</f>
        <v>1480170.12</v>
      </c>
      <c r="G4" s="6"/>
      <c r="H4" s="6"/>
      <c r="I4" s="6">
        <f t="shared" ref="I4:R4" si="0">SUM(I$9:I$1000)</f>
        <v>1479065.28</v>
      </c>
      <c r="J4" s="6">
        <f t="shared" si="0"/>
        <v>0</v>
      </c>
      <c r="K4" s="49">
        <f t="shared" si="0"/>
        <v>0</v>
      </c>
      <c r="L4" s="49">
        <f t="shared" si="0"/>
        <v>1479065.28</v>
      </c>
      <c r="M4" s="6">
        <f t="shared" si="0"/>
        <v>3697663.1999999988</v>
      </c>
      <c r="N4" s="49">
        <f t="shared" si="0"/>
        <v>0</v>
      </c>
      <c r="O4" s="6">
        <f t="shared" si="0"/>
        <v>3697663.1999999988</v>
      </c>
      <c r="P4" s="6">
        <f t="shared" si="0"/>
        <v>0</v>
      </c>
      <c r="Q4" s="6">
        <f t="shared" si="0"/>
        <v>3697663.1999999988</v>
      </c>
      <c r="R4" s="6">
        <f t="shared" si="0"/>
        <v>3726</v>
      </c>
    </row>
    <row r="5" spans="1:18" ht="2.25" customHeight="1" x14ac:dyDescent="0.4">
      <c r="A5" s="5"/>
      <c r="B5" s="5"/>
      <c r="C5" s="5"/>
      <c r="D5" s="5"/>
      <c r="E5" s="5"/>
      <c r="F5" s="5"/>
      <c r="G5" s="5"/>
      <c r="H5" s="5"/>
      <c r="I5" s="5"/>
      <c r="J5" s="5"/>
      <c r="K5" s="5"/>
      <c r="L5" s="5"/>
      <c r="M5" s="5"/>
      <c r="N5" s="5"/>
      <c r="O5" s="5"/>
      <c r="P5" s="5"/>
      <c r="Q5" s="5"/>
      <c r="R5" s="5"/>
    </row>
    <row r="6" spans="1:18" x14ac:dyDescent="0.4">
      <c r="A6" s="216" t="s">
        <v>51</v>
      </c>
      <c r="B6" s="252"/>
      <c r="C6" s="217"/>
      <c r="D6" s="290" t="s">
        <v>88</v>
      </c>
      <c r="E6" s="290"/>
      <c r="F6" s="290"/>
      <c r="G6" s="285" t="s">
        <v>65</v>
      </c>
      <c r="H6" s="281"/>
      <c r="I6" s="257" t="s">
        <v>66</v>
      </c>
      <c r="J6" s="291"/>
      <c r="K6" s="291"/>
      <c r="L6" s="291"/>
      <c r="M6" s="258" t="s">
        <v>9</v>
      </c>
      <c r="N6" s="259"/>
      <c r="O6" s="259"/>
      <c r="P6" s="259"/>
      <c r="Q6" s="259"/>
      <c r="R6" s="288"/>
    </row>
    <row r="7" spans="1:18" ht="12" customHeight="1" x14ac:dyDescent="0.4">
      <c r="A7" s="275" t="s">
        <v>54</v>
      </c>
      <c r="B7" s="275" t="s">
        <v>55</v>
      </c>
      <c r="C7" s="275" t="s">
        <v>0</v>
      </c>
      <c r="D7" s="277" t="s">
        <v>58</v>
      </c>
      <c r="E7" s="277" t="s">
        <v>56</v>
      </c>
      <c r="F7" s="277" t="s">
        <v>2</v>
      </c>
      <c r="G7" s="277" t="s">
        <v>5</v>
      </c>
      <c r="H7" s="282" t="s">
        <v>79</v>
      </c>
      <c r="I7" s="277" t="s">
        <v>58</v>
      </c>
      <c r="J7" s="289" t="s">
        <v>80</v>
      </c>
      <c r="K7" s="277" t="s">
        <v>56</v>
      </c>
      <c r="L7" s="277" t="s">
        <v>2</v>
      </c>
      <c r="M7" s="277" t="s">
        <v>58</v>
      </c>
      <c r="N7" s="277" t="s">
        <v>56</v>
      </c>
      <c r="O7" s="289" t="s">
        <v>81</v>
      </c>
      <c r="P7" s="247" t="s">
        <v>68</v>
      </c>
      <c r="Q7" s="289" t="s">
        <v>82</v>
      </c>
      <c r="R7" s="266" t="s">
        <v>86</v>
      </c>
    </row>
    <row r="8" spans="1:18" ht="25.5" customHeight="1" x14ac:dyDescent="0.4">
      <c r="A8" s="276"/>
      <c r="B8" s="276"/>
      <c r="C8" s="276"/>
      <c r="D8" s="278"/>
      <c r="E8" s="278"/>
      <c r="F8" s="278"/>
      <c r="G8" s="278"/>
      <c r="H8" s="293"/>
      <c r="I8" s="278"/>
      <c r="J8" s="278"/>
      <c r="K8" s="278"/>
      <c r="L8" s="278"/>
      <c r="M8" s="278"/>
      <c r="N8" s="278"/>
      <c r="O8" s="278"/>
      <c r="P8" s="248"/>
      <c r="Q8" s="292"/>
      <c r="R8" s="267"/>
    </row>
    <row r="9" spans="1:18" x14ac:dyDescent="0.4">
      <c r="A9" s="12" t="str">
        <f>IF(INTRO!$E$43="Non endémique"," ", IF(COUNTRY_INFO!A9=0," ",COUNTRY_INFO!A9))</f>
        <v>Mali</v>
      </c>
      <c r="B9" s="12" t="str">
        <f>IF(INTRO!$E$43="Non endémique"," ", IF(COUNTRY_INFO!B9=0," ",COUNTRY_INFO!B9))</f>
        <v>Kayes</v>
      </c>
      <c r="C9" s="12" t="str">
        <f>IF(INTRO!$E$43="Non endémique"," ", IF(COUNTRY_INFO!C9=0," ",COUNTRY_INFO!C9))</f>
        <v>Bafoulabe</v>
      </c>
      <c r="D9" s="13">
        <f>IF(INTRO!$E$43="Non endémique", 0, IF(COUNTRY_INFO!$K9&gt;0, IF(COUNTRY_INFO!$K9=4, 0, IF(COUNTRY_INFO!$K9=1, COUNTRY_INFO!$F9*0.33, IF(COUNTRY_INFO!$K9=2, COUNTRY_INFO!$F9*0.5, COUNTRY_INFO!$F9))), 0))</f>
        <v>15974.970000000001</v>
      </c>
      <c r="E9" s="13">
        <f>IF(INTRO!$E$43="Non endémique", 0, IF(COUNTRY_INFO!$K9&gt;0, IF(COUNTRY_INFO!$K9=4, 0, IF(COUNTRY_INFO!$K9=1, 0, IF(COUNTRY_INFO!$K9=2, COUNTRY_INFO!$G9*0.2, COUNTRY_INFO!$G9))), 0))</f>
        <v>0</v>
      </c>
      <c r="F9" s="13">
        <f t="shared" ref="F9:F40" si="1">SUM(D9:E9)</f>
        <v>15974.970000000001</v>
      </c>
      <c r="G9" s="14">
        <f>IF(INTRO!$E$43="Non endémique", "Non requis", COUNTRY_INFO!S9)</f>
        <v>1</v>
      </c>
      <c r="H9" s="98"/>
      <c r="I9" s="13">
        <f>IF($D9=0,0,IF(AND($G9&gt;0,$H9&lt;&gt;"Oui"),D9,IF(AND($G9&gt;0,$H9="Oui"),COUNTRY_INFO!$F9,0)))</f>
        <v>15974.970000000001</v>
      </c>
      <c r="J9" s="3"/>
      <c r="K9" s="48">
        <f t="shared" ref="K9:K40" si="2">IF($G9&gt;0,E9, 0)</f>
        <v>0</v>
      </c>
      <c r="L9" s="48">
        <f t="shared" ref="L9:L40" si="3">IF($J9=0,SUM(I9,K9),SUM(J9,K9))</f>
        <v>15974.970000000001</v>
      </c>
      <c r="M9" s="13">
        <f t="shared" ref="M9:M40" si="4">IF($J9=0,$I9*2.5,$J9*2.5)</f>
        <v>39937.425000000003</v>
      </c>
      <c r="N9" s="48">
        <f t="shared" ref="N9:N40" si="5">$K9*3</f>
        <v>0</v>
      </c>
      <c r="O9" s="13">
        <f t="shared" ref="O9:O40" si="6">M9</f>
        <v>39937.425000000003</v>
      </c>
      <c r="P9" s="24"/>
      <c r="Q9" s="15">
        <f t="shared" ref="Q9:Q40" si="7">IF($O9&gt;$P9,O9-P9,0)</f>
        <v>39937.425000000003</v>
      </c>
      <c r="R9" s="15">
        <f t="shared" ref="R9:R40" si="8">ROUNDUP($O9/1000,0)</f>
        <v>40</v>
      </c>
    </row>
    <row r="10" spans="1:18" x14ac:dyDescent="0.4">
      <c r="A10" s="12" t="str">
        <f>IF(INTRO!$E$43="Non endémique"," ", IF(COUNTRY_INFO!A10=0," ",COUNTRY_INFO!A10))</f>
        <v>Mali</v>
      </c>
      <c r="B10" s="12" t="str">
        <f>IF(INTRO!$E$43="Non endémique"," ", IF(COUNTRY_INFO!B10=0," ",COUNTRY_INFO!B10))</f>
        <v>Kayes</v>
      </c>
      <c r="C10" s="12" t="str">
        <f>IF(INTRO!$E$43="Non endémique"," ", IF(COUNTRY_INFO!C10=0," ",COUNTRY_INFO!C10))</f>
        <v>Oussoubidiagna</v>
      </c>
      <c r="D10" s="13">
        <f>IF(INTRO!$E$43="Non endémique", 0, IF(COUNTRY_INFO!$K10&gt;0, IF(COUNTRY_INFO!$K10=4, 0, IF(COUNTRY_INFO!$K10=1, COUNTRY_INFO!$F10*0.33, IF(COUNTRY_INFO!$K10=2, COUNTRY_INFO!$F10*0.5, COUNTRY_INFO!$F10))), 0))</f>
        <v>13070.310000000001</v>
      </c>
      <c r="E10" s="13">
        <f>IF(INTRO!$E$43="Non endémique", 0, IF(COUNTRY_INFO!$K10&gt;0, IF(COUNTRY_INFO!$K10=4, 0, IF(COUNTRY_INFO!$K10=1, 0, IF(COUNTRY_INFO!$K10=2, COUNTRY_INFO!$G10*0.2, COUNTRY_INFO!$G10))), 0))</f>
        <v>0</v>
      </c>
      <c r="F10" s="13">
        <f t="shared" si="1"/>
        <v>13070.310000000001</v>
      </c>
      <c r="G10" s="14">
        <f>IF(INTRO!$E$43="Non endémique", "Non requis", COUNTRY_INFO!S10)</f>
        <v>1</v>
      </c>
      <c r="H10" s="98"/>
      <c r="I10" s="13">
        <f>IF($D10=0,0,IF(AND($G10&gt;0,$H10&lt;&gt;"Oui"),D10,IF(AND($G10&gt;0,$H10="Oui"),COUNTRY_INFO!$F10,0)))</f>
        <v>13070.310000000001</v>
      </c>
      <c r="J10" s="3"/>
      <c r="K10" s="48">
        <f t="shared" si="2"/>
        <v>0</v>
      </c>
      <c r="L10" s="48">
        <f t="shared" si="3"/>
        <v>13070.310000000001</v>
      </c>
      <c r="M10" s="13">
        <f t="shared" si="4"/>
        <v>32675.775000000001</v>
      </c>
      <c r="N10" s="48">
        <f t="shared" si="5"/>
        <v>0</v>
      </c>
      <c r="O10" s="13">
        <f t="shared" si="6"/>
        <v>32675.775000000001</v>
      </c>
      <c r="P10" s="24"/>
      <c r="Q10" s="15">
        <f t="shared" si="7"/>
        <v>32675.775000000001</v>
      </c>
      <c r="R10" s="15">
        <f t="shared" si="8"/>
        <v>33</v>
      </c>
    </row>
    <row r="11" spans="1:18" x14ac:dyDescent="0.4">
      <c r="A11" s="12" t="str">
        <f>IF(INTRO!$E$43="Non endémique"," ", IF(COUNTRY_INFO!A11=0," ",COUNTRY_INFO!A11))</f>
        <v>Mali</v>
      </c>
      <c r="B11" s="12" t="str">
        <f>IF(INTRO!$E$43="Non endémique"," ", IF(COUNTRY_INFO!B11=0," ",COUNTRY_INFO!B11))</f>
        <v>Kayes</v>
      </c>
      <c r="C11" s="12" t="str">
        <f>IF(INTRO!$E$43="Non endémique"," ", IF(COUNTRY_INFO!C11=0," ",COUNTRY_INFO!C11))</f>
        <v>Diema</v>
      </c>
      <c r="D11" s="13">
        <f>IF(INTRO!$E$43="Non endémique", 0, IF(COUNTRY_INFO!$K11&gt;0, IF(COUNTRY_INFO!$K11=4, 0, IF(COUNTRY_INFO!$K11=1, COUNTRY_INFO!$F11*0.33, IF(COUNTRY_INFO!$K11=2, COUNTRY_INFO!$F11*0.5, COUNTRY_INFO!$F11))), 0))</f>
        <v>26330.370000000003</v>
      </c>
      <c r="E11" s="13">
        <f>IF(INTRO!$E$43="Non endémique", 0, IF(COUNTRY_INFO!$K11&gt;0, IF(COUNTRY_INFO!$K11=4, 0, IF(COUNTRY_INFO!$K11=1, 0, IF(COUNTRY_INFO!$K11=2, COUNTRY_INFO!$G11*0.2, COUNTRY_INFO!$G11))), 0))</f>
        <v>0</v>
      </c>
      <c r="F11" s="13">
        <f t="shared" si="1"/>
        <v>26330.370000000003</v>
      </c>
      <c r="G11" s="14">
        <f>IF(INTRO!$E$43="Non endémique", "Non requis", COUNTRY_INFO!S11)</f>
        <v>1</v>
      </c>
      <c r="H11" s="98"/>
      <c r="I11" s="13">
        <f>IF($D11=0,0,IF(AND($G11&gt;0,$H11&lt;&gt;"Oui"),D11,IF(AND($G11&gt;0,$H11="Oui"),COUNTRY_INFO!$F11,0)))</f>
        <v>26330.370000000003</v>
      </c>
      <c r="J11" s="3"/>
      <c r="K11" s="48">
        <f t="shared" si="2"/>
        <v>0</v>
      </c>
      <c r="L11" s="48">
        <f t="shared" si="3"/>
        <v>26330.370000000003</v>
      </c>
      <c r="M11" s="13">
        <f t="shared" si="4"/>
        <v>65825.925000000003</v>
      </c>
      <c r="N11" s="48">
        <f t="shared" si="5"/>
        <v>0</v>
      </c>
      <c r="O11" s="13">
        <f t="shared" si="6"/>
        <v>65825.925000000003</v>
      </c>
      <c r="P11" s="24"/>
      <c r="Q11" s="15">
        <f t="shared" si="7"/>
        <v>65825.925000000003</v>
      </c>
      <c r="R11" s="15">
        <f t="shared" si="8"/>
        <v>66</v>
      </c>
    </row>
    <row r="12" spans="1:18" x14ac:dyDescent="0.4">
      <c r="A12" s="12" t="str">
        <f>IF(INTRO!$E$43="Non endémique"," ", IF(COUNTRY_INFO!A12=0," ",COUNTRY_INFO!A12))</f>
        <v>Mali</v>
      </c>
      <c r="B12" s="12" t="str">
        <f>IF(INTRO!$E$43="Non endémique"," ", IF(COUNTRY_INFO!B12=0," ",COUNTRY_INFO!B12))</f>
        <v>Kayes</v>
      </c>
      <c r="C12" s="12" t="str">
        <f>IF(INTRO!$E$43="Non endémique"," ", IF(COUNTRY_INFO!C12=0," ",COUNTRY_INFO!C12))</f>
        <v>Kayes</v>
      </c>
      <c r="D12" s="13">
        <f>IF(INTRO!$E$43="Non endémique", 0, IF(COUNTRY_INFO!$K12&gt;0, IF(COUNTRY_INFO!$K12=4, 0, IF(COUNTRY_INFO!$K12=1, COUNTRY_INFO!$F12*0.33, IF(COUNTRY_INFO!$K12=2, COUNTRY_INFO!$F12*0.5, COUNTRY_INFO!$F12))), 0))</f>
        <v>63740.82</v>
      </c>
      <c r="E12" s="13">
        <f>IF(INTRO!$E$43="Non endémique", 0, IF(COUNTRY_INFO!$K12&gt;0, IF(COUNTRY_INFO!$K12=4, 0, IF(COUNTRY_INFO!$K12=1, 0, IF(COUNTRY_INFO!$K12=2, COUNTRY_INFO!$G12*0.2, COUNTRY_INFO!$G12))), 0))</f>
        <v>0</v>
      </c>
      <c r="F12" s="13">
        <f t="shared" si="1"/>
        <v>63740.82</v>
      </c>
      <c r="G12" s="14">
        <f>IF(INTRO!$E$43="Non endémique", "Non requis", COUNTRY_INFO!S12)</f>
        <v>1</v>
      </c>
      <c r="H12" s="98"/>
      <c r="I12" s="13">
        <f>IF($D12=0,0,IF(AND($G12&gt;0,$H12&lt;&gt;"Oui"),D12,IF(AND($G12&gt;0,$H12="Oui"),COUNTRY_INFO!$F12,0)))</f>
        <v>63740.82</v>
      </c>
      <c r="J12" s="3"/>
      <c r="K12" s="48">
        <f t="shared" si="2"/>
        <v>0</v>
      </c>
      <c r="L12" s="48">
        <f t="shared" si="3"/>
        <v>63740.82</v>
      </c>
      <c r="M12" s="13">
        <f t="shared" si="4"/>
        <v>159352.04999999999</v>
      </c>
      <c r="N12" s="48">
        <f t="shared" si="5"/>
        <v>0</v>
      </c>
      <c r="O12" s="13">
        <f t="shared" si="6"/>
        <v>159352.04999999999</v>
      </c>
      <c r="P12" s="24"/>
      <c r="Q12" s="15">
        <f t="shared" si="7"/>
        <v>159352.04999999999</v>
      </c>
      <c r="R12" s="15">
        <f t="shared" si="8"/>
        <v>160</v>
      </c>
    </row>
    <row r="13" spans="1:18" x14ac:dyDescent="0.4">
      <c r="A13" s="12" t="str">
        <f>IF(INTRO!$E$43="Non endémique"," ", IF(COUNTRY_INFO!A13=0," ",COUNTRY_INFO!A13))</f>
        <v>Mali</v>
      </c>
      <c r="B13" s="12" t="str">
        <f>IF(INTRO!$E$43="Non endémique"," ", IF(COUNTRY_INFO!B13=0," ",COUNTRY_INFO!B13))</f>
        <v>Kayes</v>
      </c>
      <c r="C13" s="12" t="str">
        <f>IF(INTRO!$E$43="Non endémique"," ", IF(COUNTRY_INFO!C13=0," ",COUNTRY_INFO!C13))</f>
        <v>Kenieba</v>
      </c>
      <c r="D13" s="13">
        <f>IF(INTRO!$E$43="Non endémique", 0, IF(COUNTRY_INFO!$K13&gt;0, IF(COUNTRY_INFO!$K13=4, 0, IF(COUNTRY_INFO!$K13=1, COUNTRY_INFO!$F13*0.33, IF(COUNTRY_INFO!$K13=2, COUNTRY_INFO!$F13*0.5, COUNTRY_INFO!$F13))), 0))</f>
        <v>24106.83</v>
      </c>
      <c r="E13" s="13">
        <f>IF(INTRO!$E$43="Non endémique", 0, IF(COUNTRY_INFO!$K13&gt;0, IF(COUNTRY_INFO!$K13=4, 0, IF(COUNTRY_INFO!$K13=1, 0, IF(COUNTRY_INFO!$K13=2, COUNTRY_INFO!$G13*0.2, COUNTRY_INFO!$G13))), 0))</f>
        <v>0</v>
      </c>
      <c r="F13" s="13">
        <f t="shared" si="1"/>
        <v>24106.83</v>
      </c>
      <c r="G13" s="14">
        <f>IF(INTRO!$E$43="Non endémique", "Non requis", COUNTRY_INFO!S13)</f>
        <v>1</v>
      </c>
      <c r="H13" s="98"/>
      <c r="I13" s="13">
        <f>IF($D13=0,0,IF(AND($G13&gt;0,$H13&lt;&gt;"Oui"),D13,IF(AND($G13&gt;0,$H13="Oui"),COUNTRY_INFO!$F13,0)))</f>
        <v>24106.83</v>
      </c>
      <c r="J13" s="3"/>
      <c r="K13" s="48">
        <f t="shared" si="2"/>
        <v>0</v>
      </c>
      <c r="L13" s="48">
        <f t="shared" si="3"/>
        <v>24106.83</v>
      </c>
      <c r="M13" s="13">
        <f t="shared" si="4"/>
        <v>60267.075000000004</v>
      </c>
      <c r="N13" s="48">
        <f t="shared" si="5"/>
        <v>0</v>
      </c>
      <c r="O13" s="13">
        <f t="shared" si="6"/>
        <v>60267.075000000004</v>
      </c>
      <c r="P13" s="24"/>
      <c r="Q13" s="15">
        <f t="shared" si="7"/>
        <v>60267.075000000004</v>
      </c>
      <c r="R13" s="15">
        <f t="shared" si="8"/>
        <v>61</v>
      </c>
    </row>
    <row r="14" spans="1:18" x14ac:dyDescent="0.4">
      <c r="A14" s="12" t="str">
        <f>IF(INTRO!$E$43="Non endémique"," ", IF(COUNTRY_INFO!A14=0," ",COUNTRY_INFO!A14))</f>
        <v>Mali</v>
      </c>
      <c r="B14" s="12" t="str">
        <f>IF(INTRO!$E$43="Non endémique"," ", IF(COUNTRY_INFO!B14=0," ",COUNTRY_INFO!B14))</f>
        <v>Kayes</v>
      </c>
      <c r="C14" s="12" t="str">
        <f>IF(INTRO!$E$43="Non endémique"," ", IF(COUNTRY_INFO!C14=0," ",COUNTRY_INFO!C14))</f>
        <v>Kita</v>
      </c>
      <c r="D14" s="13">
        <f>IF(INTRO!$E$43="Non endémique", 0, IF(COUNTRY_INFO!$K14&gt;0, IF(COUNTRY_INFO!$K14=4, 0, IF(COUNTRY_INFO!$K14=1, COUNTRY_INFO!$F14*0.33, IF(COUNTRY_INFO!$K14=2, COUNTRY_INFO!$F14*0.5, COUNTRY_INFO!$F14))), 0))</f>
        <v>0</v>
      </c>
      <c r="E14" s="13">
        <f>IF(INTRO!$E$43="Non endémique", 0, IF(COUNTRY_INFO!$K14&gt;0, IF(COUNTRY_INFO!$K14=4, 0, IF(COUNTRY_INFO!$K14=1, 0, IF(COUNTRY_INFO!$K14=2, COUNTRY_INFO!$G14*0.2, COUNTRY_INFO!$G14))), 0))</f>
        <v>0</v>
      </c>
      <c r="F14" s="13">
        <f t="shared" si="1"/>
        <v>0</v>
      </c>
      <c r="G14" s="14">
        <f>IF(INTRO!$E$43="Non endémique", "Non requis", COUNTRY_INFO!S14)</f>
        <v>0</v>
      </c>
      <c r="H14" s="98"/>
      <c r="I14" s="13">
        <f>IF($D14=0,0,IF(AND($G14&gt;0,$H14&lt;&gt;"Oui"),D14,IF(AND($G14&gt;0,$H14="Oui"),COUNTRY_INFO!$F14,0)))</f>
        <v>0</v>
      </c>
      <c r="J14" s="3"/>
      <c r="K14" s="48">
        <f t="shared" si="2"/>
        <v>0</v>
      </c>
      <c r="L14" s="48">
        <f t="shared" si="3"/>
        <v>0</v>
      </c>
      <c r="M14" s="13">
        <f t="shared" si="4"/>
        <v>0</v>
      </c>
      <c r="N14" s="48">
        <f t="shared" si="5"/>
        <v>0</v>
      </c>
      <c r="O14" s="13">
        <f t="shared" si="6"/>
        <v>0</v>
      </c>
      <c r="P14" s="24"/>
      <c r="Q14" s="15">
        <f t="shared" si="7"/>
        <v>0</v>
      </c>
      <c r="R14" s="15">
        <f t="shared" si="8"/>
        <v>0</v>
      </c>
    </row>
    <row r="15" spans="1:18" x14ac:dyDescent="0.4">
      <c r="A15" s="12" t="str">
        <f>IF(INTRO!$E$43="Non endémique"," ", IF(COUNTRY_INFO!A15=0," ",COUNTRY_INFO!A15))</f>
        <v>Mali</v>
      </c>
      <c r="B15" s="12" t="str">
        <f>IF(INTRO!$E$43="Non endémique"," ", IF(COUNTRY_INFO!B15=0," ",COUNTRY_INFO!B15))</f>
        <v>Kayes</v>
      </c>
      <c r="C15" s="12" t="str">
        <f>IF(INTRO!$E$43="Non endémique"," ", IF(COUNTRY_INFO!C15=0," ",COUNTRY_INFO!C15))</f>
        <v>Sefeto</v>
      </c>
      <c r="D15" s="13">
        <f>IF(INTRO!$E$43="Non endémique", 0, IF(COUNTRY_INFO!$K15&gt;0, IF(COUNTRY_INFO!$K15=4, 0, IF(COUNTRY_INFO!$K15=1, COUNTRY_INFO!$F15*0.33, IF(COUNTRY_INFO!$K15=2, COUNTRY_INFO!$F15*0.5, COUNTRY_INFO!$F15))), 0))</f>
        <v>0</v>
      </c>
      <c r="E15" s="13">
        <f>IF(INTRO!$E$43="Non endémique", 0, IF(COUNTRY_INFO!$K15&gt;0, IF(COUNTRY_INFO!$K15=4, 0, IF(COUNTRY_INFO!$K15=1, 0, IF(COUNTRY_INFO!$K15=2, COUNTRY_INFO!$G15*0.2, COUNTRY_INFO!$G15))), 0))</f>
        <v>0</v>
      </c>
      <c r="F15" s="13">
        <f t="shared" si="1"/>
        <v>0</v>
      </c>
      <c r="G15" s="14">
        <f>IF(INTRO!$E$43="Non endémique", "Non requis", COUNTRY_INFO!S15)</f>
        <v>0</v>
      </c>
      <c r="H15" s="98"/>
      <c r="I15" s="13">
        <f>IF($D15=0,0,IF(AND($G15&gt;0,$H15&lt;&gt;"Oui"),D15,IF(AND($G15&gt;0,$H15="Oui"),COUNTRY_INFO!$F15,0)))</f>
        <v>0</v>
      </c>
      <c r="J15" s="3"/>
      <c r="K15" s="48">
        <f t="shared" si="2"/>
        <v>0</v>
      </c>
      <c r="L15" s="48">
        <f t="shared" si="3"/>
        <v>0</v>
      </c>
      <c r="M15" s="13">
        <f t="shared" si="4"/>
        <v>0</v>
      </c>
      <c r="N15" s="48">
        <f t="shared" si="5"/>
        <v>0</v>
      </c>
      <c r="O15" s="13">
        <f t="shared" si="6"/>
        <v>0</v>
      </c>
      <c r="P15" s="24"/>
      <c r="Q15" s="15">
        <f t="shared" si="7"/>
        <v>0</v>
      </c>
      <c r="R15" s="15">
        <f t="shared" si="8"/>
        <v>0</v>
      </c>
    </row>
    <row r="16" spans="1:18" x14ac:dyDescent="0.4">
      <c r="A16" s="12" t="str">
        <f>IF(INTRO!$E$43="Non endémique"," ", IF(COUNTRY_INFO!A16=0," ",COUNTRY_INFO!A16))</f>
        <v>Mali</v>
      </c>
      <c r="B16" s="12" t="str">
        <f>IF(INTRO!$E$43="Non endémique"," ", IF(COUNTRY_INFO!B16=0," ",COUNTRY_INFO!B16))</f>
        <v>Kayes</v>
      </c>
      <c r="C16" s="12" t="str">
        <f>IF(INTRO!$E$43="Non endémique"," ", IF(COUNTRY_INFO!C16=0," ",COUNTRY_INFO!C16))</f>
        <v>Sagabari</v>
      </c>
      <c r="D16" s="13">
        <f>IF(INTRO!$E$43="Non endémique", 0, IF(COUNTRY_INFO!$K16&gt;0, IF(COUNTRY_INFO!$K16=4, 0, IF(COUNTRY_INFO!$K16=1, COUNTRY_INFO!$F16*0.33, IF(COUNTRY_INFO!$K16=2, COUNTRY_INFO!$F16*0.5, COUNTRY_INFO!$F16))), 0))</f>
        <v>0</v>
      </c>
      <c r="E16" s="13">
        <f>IF(INTRO!$E$43="Non endémique", 0, IF(COUNTRY_INFO!$K16&gt;0, IF(COUNTRY_INFO!$K16=4, 0, IF(COUNTRY_INFO!$K16=1, 0, IF(COUNTRY_INFO!$K16=2, COUNTRY_INFO!$G16*0.2, COUNTRY_INFO!$G16))), 0))</f>
        <v>0</v>
      </c>
      <c r="F16" s="13">
        <f t="shared" si="1"/>
        <v>0</v>
      </c>
      <c r="G16" s="14">
        <f>IF(INTRO!$E$43="Non endémique", "Non requis", COUNTRY_INFO!S16)</f>
        <v>0</v>
      </c>
      <c r="H16" s="98"/>
      <c r="I16" s="13">
        <f>IF($D16=0,0,IF(AND($G16&gt;0,$H16&lt;&gt;"Oui"),D16,IF(AND($G16&gt;0,$H16="Oui"),COUNTRY_INFO!$F16,0)))</f>
        <v>0</v>
      </c>
      <c r="J16" s="3"/>
      <c r="K16" s="48">
        <f t="shared" si="2"/>
        <v>0</v>
      </c>
      <c r="L16" s="48">
        <f t="shared" si="3"/>
        <v>0</v>
      </c>
      <c r="M16" s="13">
        <f t="shared" si="4"/>
        <v>0</v>
      </c>
      <c r="N16" s="48">
        <f t="shared" si="5"/>
        <v>0</v>
      </c>
      <c r="O16" s="13">
        <f t="shared" si="6"/>
        <v>0</v>
      </c>
      <c r="P16" s="24"/>
      <c r="Q16" s="15">
        <f t="shared" si="7"/>
        <v>0</v>
      </c>
      <c r="R16" s="15">
        <f t="shared" si="8"/>
        <v>0</v>
      </c>
    </row>
    <row r="17" spans="1:18" x14ac:dyDescent="0.4">
      <c r="A17" s="12" t="str">
        <f>IF(INTRO!$E$43="Non endémique"," ", IF(COUNTRY_INFO!A17=0," ",COUNTRY_INFO!A17))</f>
        <v>Mali</v>
      </c>
      <c r="B17" s="12" t="str">
        <f>IF(INTRO!$E$43="Non endémique"," ", IF(COUNTRY_INFO!B17=0," ",COUNTRY_INFO!B17))</f>
        <v>Kayes</v>
      </c>
      <c r="C17" s="12" t="str">
        <f>IF(INTRO!$E$43="Non endémique"," ", IF(COUNTRY_INFO!C17=0," ",COUNTRY_INFO!C17))</f>
        <v>Nioro</v>
      </c>
      <c r="D17" s="13">
        <f>IF(INTRO!$E$43="Non endémique", 0, IF(COUNTRY_INFO!$K17&gt;0, IF(COUNTRY_INFO!$K17=4, 0, IF(COUNTRY_INFO!$K17=1, COUNTRY_INFO!$F17*0.33, IF(COUNTRY_INFO!$K17=2, COUNTRY_INFO!$F17*0.5, COUNTRY_INFO!$F17))), 0))</f>
        <v>28618.260000000002</v>
      </c>
      <c r="E17" s="13">
        <f>IF(INTRO!$E$43="Non endémique", 0, IF(COUNTRY_INFO!$K17&gt;0, IF(COUNTRY_INFO!$K17=4, 0, IF(COUNTRY_INFO!$K17=1, 0, IF(COUNTRY_INFO!$K17=2, COUNTRY_INFO!$G17*0.2, COUNTRY_INFO!$G17))), 0))</f>
        <v>0</v>
      </c>
      <c r="F17" s="13">
        <f t="shared" si="1"/>
        <v>28618.260000000002</v>
      </c>
      <c r="G17" s="14">
        <f>IF(INTRO!$E$43="Non endémique", "Non requis", COUNTRY_INFO!S17)</f>
        <v>1</v>
      </c>
      <c r="H17" s="98"/>
      <c r="I17" s="13">
        <f>IF($D17=0,0,IF(AND($G17&gt;0,$H17&lt;&gt;"Oui"),D17,IF(AND($G17&gt;0,$H17="Oui"),COUNTRY_INFO!$F17,0)))</f>
        <v>28618.260000000002</v>
      </c>
      <c r="J17" s="3"/>
      <c r="K17" s="48">
        <f t="shared" si="2"/>
        <v>0</v>
      </c>
      <c r="L17" s="48">
        <f t="shared" si="3"/>
        <v>28618.260000000002</v>
      </c>
      <c r="M17" s="13">
        <f t="shared" si="4"/>
        <v>71545.650000000009</v>
      </c>
      <c r="N17" s="48">
        <f t="shared" si="5"/>
        <v>0</v>
      </c>
      <c r="O17" s="13">
        <f t="shared" si="6"/>
        <v>71545.650000000009</v>
      </c>
      <c r="P17" s="24"/>
      <c r="Q17" s="15">
        <f t="shared" si="7"/>
        <v>71545.650000000009</v>
      </c>
      <c r="R17" s="15">
        <f t="shared" si="8"/>
        <v>72</v>
      </c>
    </row>
    <row r="18" spans="1:18" x14ac:dyDescent="0.4">
      <c r="A18" s="12" t="str">
        <f>IF(INTRO!$E$43="Non endémique"," ", IF(COUNTRY_INFO!A18=0," ",COUNTRY_INFO!A18))</f>
        <v>Mali</v>
      </c>
      <c r="B18" s="12" t="str">
        <f>IF(INTRO!$E$43="Non endémique"," ", IF(COUNTRY_INFO!B18=0," ",COUNTRY_INFO!B18))</f>
        <v>Kayes</v>
      </c>
      <c r="C18" s="12" t="str">
        <f>IF(INTRO!$E$43="Non endémique"," ", IF(COUNTRY_INFO!C18=0," ",COUNTRY_INFO!C18))</f>
        <v>Yelimane</v>
      </c>
      <c r="D18" s="13">
        <f>IF(INTRO!$E$43="Non endémique", 0, IF(COUNTRY_INFO!$K18&gt;0, IF(COUNTRY_INFO!$K18=4, 0, IF(COUNTRY_INFO!$K18=1, COUNTRY_INFO!$F18*0.33, IF(COUNTRY_INFO!$K18=2, COUNTRY_INFO!$F18*0.5, COUNTRY_INFO!$F18))), 0))</f>
        <v>0</v>
      </c>
      <c r="E18" s="13">
        <f>IF(INTRO!$E$43="Non endémique", 0, IF(COUNTRY_INFO!$K18&gt;0, IF(COUNTRY_INFO!$K18=4, 0, IF(COUNTRY_INFO!$K18=1, 0, IF(COUNTRY_INFO!$K18=2, COUNTRY_INFO!$G18*0.2, COUNTRY_INFO!$G18))), 0))</f>
        <v>0</v>
      </c>
      <c r="F18" s="13">
        <f t="shared" si="1"/>
        <v>0</v>
      </c>
      <c r="G18" s="14">
        <f>IF(INTRO!$E$43="Non endémique", "Non requis", COUNTRY_INFO!S18)</f>
        <v>0</v>
      </c>
      <c r="H18" s="98"/>
      <c r="I18" s="13">
        <f>IF($D18=0,0,IF(AND($G18&gt;0,$H18&lt;&gt;"Oui"),D18,IF(AND($G18&gt;0,$H18="Oui"),COUNTRY_INFO!$F18,0)))</f>
        <v>0</v>
      </c>
      <c r="J18" s="3"/>
      <c r="K18" s="48">
        <f t="shared" si="2"/>
        <v>0</v>
      </c>
      <c r="L18" s="48">
        <f t="shared" si="3"/>
        <v>0</v>
      </c>
      <c r="M18" s="13">
        <f t="shared" si="4"/>
        <v>0</v>
      </c>
      <c r="N18" s="48">
        <f t="shared" si="5"/>
        <v>0</v>
      </c>
      <c r="O18" s="13">
        <f t="shared" si="6"/>
        <v>0</v>
      </c>
      <c r="P18" s="24"/>
      <c r="Q18" s="15">
        <f t="shared" si="7"/>
        <v>0</v>
      </c>
      <c r="R18" s="15">
        <f t="shared" si="8"/>
        <v>0</v>
      </c>
    </row>
    <row r="19" spans="1:18" x14ac:dyDescent="0.4">
      <c r="A19" s="12" t="str">
        <f>IF(INTRO!$E$43="Non endémique"," ", IF(COUNTRY_INFO!A19=0," ",COUNTRY_INFO!A19))</f>
        <v>Mali</v>
      </c>
      <c r="B19" s="12" t="str">
        <f>IF(INTRO!$E$43="Non endémique"," ", IF(COUNTRY_INFO!B19=0," ",COUNTRY_INFO!B19))</f>
        <v>Koulikoro</v>
      </c>
      <c r="C19" s="12" t="str">
        <f>IF(INTRO!$E$43="Non endémique"," ", IF(COUNTRY_INFO!C19=0," ",COUNTRY_INFO!C19))</f>
        <v xml:space="preserve">Banamba </v>
      </c>
      <c r="D19" s="13">
        <f>IF(INTRO!$E$43="Non endémique", 0, IF(COUNTRY_INFO!$K19&gt;0, IF(COUNTRY_INFO!$K19=4, 0, IF(COUNTRY_INFO!$K19=1, COUNTRY_INFO!$F19*0.33, IF(COUNTRY_INFO!$K19=2, COUNTRY_INFO!$F19*0.5, COUNTRY_INFO!$F19))), 0))</f>
        <v>23697.960000000003</v>
      </c>
      <c r="E19" s="13">
        <f>IF(INTRO!$E$43="Non endémique", 0, IF(COUNTRY_INFO!$K19&gt;0, IF(COUNTRY_INFO!$K19=4, 0, IF(COUNTRY_INFO!$K19=1, 0, IF(COUNTRY_INFO!$K19=2, COUNTRY_INFO!$G19*0.2, COUNTRY_INFO!$G19))), 0))</f>
        <v>0</v>
      </c>
      <c r="F19" s="13">
        <f t="shared" si="1"/>
        <v>23697.960000000003</v>
      </c>
      <c r="G19" s="14">
        <f>IF(INTRO!$E$43="Non endémique", "Non requis", COUNTRY_INFO!S19)</f>
        <v>1</v>
      </c>
      <c r="H19" s="98"/>
      <c r="I19" s="13">
        <f>IF($D19=0,0,IF(AND($G19&gt;0,$H19&lt;&gt;"Oui"),D19,IF(AND($G19&gt;0,$H19="Oui"),COUNTRY_INFO!$F19,0)))</f>
        <v>23697.960000000003</v>
      </c>
      <c r="J19" s="3"/>
      <c r="K19" s="48">
        <f t="shared" si="2"/>
        <v>0</v>
      </c>
      <c r="L19" s="48">
        <f t="shared" si="3"/>
        <v>23697.960000000003</v>
      </c>
      <c r="M19" s="13">
        <f t="shared" si="4"/>
        <v>59244.900000000009</v>
      </c>
      <c r="N19" s="48">
        <f t="shared" si="5"/>
        <v>0</v>
      </c>
      <c r="O19" s="13">
        <f t="shared" si="6"/>
        <v>59244.900000000009</v>
      </c>
      <c r="P19" s="24"/>
      <c r="Q19" s="15">
        <f t="shared" si="7"/>
        <v>59244.900000000009</v>
      </c>
      <c r="R19" s="15">
        <f t="shared" si="8"/>
        <v>60</v>
      </c>
    </row>
    <row r="20" spans="1:18" x14ac:dyDescent="0.4">
      <c r="A20" s="12" t="str">
        <f>IF(INTRO!$E$43="Non endémique"," ", IF(COUNTRY_INFO!A20=0," ",COUNTRY_INFO!A20))</f>
        <v>Mali</v>
      </c>
      <c r="B20" s="12" t="str">
        <f>IF(INTRO!$E$43="Non endémique"," ", IF(COUNTRY_INFO!B20=0," ",COUNTRY_INFO!B20))</f>
        <v>Koulikoro</v>
      </c>
      <c r="C20" s="12" t="str">
        <f>IF(INTRO!$E$43="Non endémique"," ", IF(COUNTRY_INFO!C20=0," ",COUNTRY_INFO!C20))</f>
        <v>Dioila</v>
      </c>
      <c r="D20" s="13">
        <f>IF(INTRO!$E$43="Non endémique", 0, IF(COUNTRY_INFO!$K20&gt;0, IF(COUNTRY_INFO!$K20=4, 0, IF(COUNTRY_INFO!$K20=1, COUNTRY_INFO!$F20*0.33, IF(COUNTRY_INFO!$K20=2, COUNTRY_INFO!$F20*0.5, COUNTRY_INFO!$F20))), 0))</f>
        <v>0</v>
      </c>
      <c r="E20" s="13">
        <f>IF(INTRO!$E$43="Non endémique", 0, IF(COUNTRY_INFO!$K20&gt;0, IF(COUNTRY_INFO!$K20=4, 0, IF(COUNTRY_INFO!$K20=1, 0, IF(COUNTRY_INFO!$K20=2, COUNTRY_INFO!$G20*0.2, COUNTRY_INFO!$G20))), 0))</f>
        <v>0</v>
      </c>
      <c r="F20" s="13">
        <f t="shared" si="1"/>
        <v>0</v>
      </c>
      <c r="G20" s="14">
        <f>IF(INTRO!$E$43="Non endémique", "Non requis", COUNTRY_INFO!S20)</f>
        <v>0</v>
      </c>
      <c r="H20" s="98"/>
      <c r="I20" s="13">
        <f>IF($D20=0,0,IF(AND($G20&gt;0,$H20&lt;&gt;"Oui"),D20,IF(AND($G20&gt;0,$H20="Oui"),COUNTRY_INFO!$F20,0)))</f>
        <v>0</v>
      </c>
      <c r="J20" s="3"/>
      <c r="K20" s="48">
        <f t="shared" si="2"/>
        <v>0</v>
      </c>
      <c r="L20" s="48">
        <f t="shared" si="3"/>
        <v>0</v>
      </c>
      <c r="M20" s="13">
        <f t="shared" si="4"/>
        <v>0</v>
      </c>
      <c r="N20" s="48">
        <f t="shared" si="5"/>
        <v>0</v>
      </c>
      <c r="O20" s="13">
        <f t="shared" si="6"/>
        <v>0</v>
      </c>
      <c r="P20" s="24"/>
      <c r="Q20" s="15">
        <f t="shared" si="7"/>
        <v>0</v>
      </c>
      <c r="R20" s="15">
        <f t="shared" si="8"/>
        <v>0</v>
      </c>
    </row>
    <row r="21" spans="1:18" x14ac:dyDescent="0.4">
      <c r="A21" s="12" t="str">
        <f>IF(INTRO!$E$43="Non endémique"," ", IF(COUNTRY_INFO!A21=0," ",COUNTRY_INFO!A21))</f>
        <v>Mali</v>
      </c>
      <c r="B21" s="12" t="str">
        <f>IF(INTRO!$E$43="Non endémique"," ", IF(COUNTRY_INFO!B21=0," ",COUNTRY_INFO!B21))</f>
        <v>Koulikoro</v>
      </c>
      <c r="C21" s="12" t="str">
        <f>IF(INTRO!$E$43="Non endémique"," ", IF(COUNTRY_INFO!C21=0," ",COUNTRY_INFO!C21))</f>
        <v>Fana</v>
      </c>
      <c r="D21" s="13">
        <f>IF(INTRO!$E$43="Non endémique", 0, IF(COUNTRY_INFO!$K21&gt;0, IF(COUNTRY_INFO!$K21=4, 0, IF(COUNTRY_INFO!$K21=1, COUNTRY_INFO!$F21*0.33, IF(COUNTRY_INFO!$K21=2, COUNTRY_INFO!$F21*0.5, COUNTRY_INFO!$F21))), 0))</f>
        <v>28147.68</v>
      </c>
      <c r="E21" s="13">
        <f>IF(INTRO!$E$43="Non endémique", 0, IF(COUNTRY_INFO!$K21&gt;0, IF(COUNTRY_INFO!$K21=4, 0, IF(COUNTRY_INFO!$K21=1, 0, IF(COUNTRY_INFO!$K21=2, COUNTRY_INFO!$G21*0.2, COUNTRY_INFO!$G21))), 0))</f>
        <v>0</v>
      </c>
      <c r="F21" s="13">
        <f t="shared" si="1"/>
        <v>28147.68</v>
      </c>
      <c r="G21" s="14">
        <f>IF(INTRO!$E$43="Non endémique", "Non requis", COUNTRY_INFO!S21)</f>
        <v>1</v>
      </c>
      <c r="H21" s="98"/>
      <c r="I21" s="13">
        <f>IF($D21=0,0,IF(AND($G21&gt;0,$H21&lt;&gt;"Oui"),D21,IF(AND($G21&gt;0,$H21="Oui"),COUNTRY_INFO!$F21,0)))</f>
        <v>28147.68</v>
      </c>
      <c r="J21" s="3"/>
      <c r="K21" s="48">
        <f t="shared" si="2"/>
        <v>0</v>
      </c>
      <c r="L21" s="48">
        <f t="shared" si="3"/>
        <v>28147.68</v>
      </c>
      <c r="M21" s="13">
        <f t="shared" si="4"/>
        <v>70369.2</v>
      </c>
      <c r="N21" s="48">
        <f t="shared" si="5"/>
        <v>0</v>
      </c>
      <c r="O21" s="13">
        <f t="shared" si="6"/>
        <v>70369.2</v>
      </c>
      <c r="P21" s="24"/>
      <c r="Q21" s="15">
        <f t="shared" si="7"/>
        <v>70369.2</v>
      </c>
      <c r="R21" s="15">
        <f t="shared" si="8"/>
        <v>71</v>
      </c>
    </row>
    <row r="22" spans="1:18" x14ac:dyDescent="0.4">
      <c r="A22" s="12" t="str">
        <f>IF(INTRO!$E$43="Non endémique"," ", IF(COUNTRY_INFO!A22=0," ",COUNTRY_INFO!A22))</f>
        <v>Mali</v>
      </c>
      <c r="B22" s="12" t="str">
        <f>IF(INTRO!$E$43="Non endémique"," ", IF(COUNTRY_INFO!B22=0," ",COUNTRY_INFO!B22))</f>
        <v>Koulikoro</v>
      </c>
      <c r="C22" s="12" t="str">
        <f>IF(INTRO!$E$43="Non endémique"," ", IF(COUNTRY_INFO!C22=0," ",COUNTRY_INFO!C22))</f>
        <v>Kalaban Coro</v>
      </c>
      <c r="D22" s="13">
        <f>IF(INTRO!$E$43="Non endémique", 0, IF(COUNTRY_INFO!$K22&gt;0, IF(COUNTRY_INFO!$K22=4, 0, IF(COUNTRY_INFO!$K22=1, COUNTRY_INFO!$F22*0.33, IF(COUNTRY_INFO!$K22=2, COUNTRY_INFO!$F22*0.5, COUNTRY_INFO!$F22))), 0))</f>
        <v>36267</v>
      </c>
      <c r="E22" s="13">
        <f>IF(INTRO!$E$43="Non endémique", 0, IF(COUNTRY_INFO!$K22&gt;0, IF(COUNTRY_INFO!$K22=4, 0, IF(COUNTRY_INFO!$K22=1, 0, IF(COUNTRY_INFO!$K22=2, COUNTRY_INFO!$G22*0.2, COUNTRY_INFO!$G22))), 0))</f>
        <v>0</v>
      </c>
      <c r="F22" s="13">
        <f t="shared" si="1"/>
        <v>36267</v>
      </c>
      <c r="G22" s="14">
        <f>IF(INTRO!$E$43="Non endémique", "Non requis", COUNTRY_INFO!S22)</f>
        <v>1</v>
      </c>
      <c r="H22" s="98"/>
      <c r="I22" s="13">
        <f>IF($D22=0,0,IF(AND($G22&gt;0,$H22&lt;&gt;"Oui"),D22,IF(AND($G22&gt;0,$H22="Oui"),COUNTRY_INFO!$F22,0)))</f>
        <v>36267</v>
      </c>
      <c r="J22" s="3"/>
      <c r="K22" s="48">
        <f t="shared" si="2"/>
        <v>0</v>
      </c>
      <c r="L22" s="48">
        <f t="shared" si="3"/>
        <v>36267</v>
      </c>
      <c r="M22" s="13">
        <f t="shared" si="4"/>
        <v>90667.5</v>
      </c>
      <c r="N22" s="48">
        <f t="shared" si="5"/>
        <v>0</v>
      </c>
      <c r="O22" s="13">
        <f t="shared" si="6"/>
        <v>90667.5</v>
      </c>
      <c r="P22" s="24"/>
      <c r="Q22" s="15">
        <f t="shared" si="7"/>
        <v>90667.5</v>
      </c>
      <c r="R22" s="15">
        <f t="shared" si="8"/>
        <v>91</v>
      </c>
    </row>
    <row r="23" spans="1:18" x14ac:dyDescent="0.4">
      <c r="A23" s="12" t="str">
        <f>IF(INTRO!$E$43="Non endémique"," ", IF(COUNTRY_INFO!A23=0," ",COUNTRY_INFO!A23))</f>
        <v>Mali</v>
      </c>
      <c r="B23" s="12" t="str">
        <f>IF(INTRO!$E$43="Non endémique"," ", IF(COUNTRY_INFO!B23=0," ",COUNTRY_INFO!B23))</f>
        <v>Koulikoro</v>
      </c>
      <c r="C23" s="12" t="str">
        <f>IF(INTRO!$E$43="Non endémique"," ", IF(COUNTRY_INFO!C23=0," ",COUNTRY_INFO!C23))</f>
        <v>Kangaba</v>
      </c>
      <c r="D23" s="13">
        <f>IF(INTRO!$E$43="Non endémique", 0, IF(COUNTRY_INFO!$K23&gt;0, IF(COUNTRY_INFO!$K23=4, 0, IF(COUNTRY_INFO!$K23=1, COUNTRY_INFO!$F23*0.33, IF(COUNTRY_INFO!$K23=2, COUNTRY_INFO!$F23*0.5, COUNTRY_INFO!$F23))), 0))</f>
        <v>12546.6</v>
      </c>
      <c r="E23" s="13">
        <f>IF(INTRO!$E$43="Non endémique", 0, IF(COUNTRY_INFO!$K23&gt;0, IF(COUNTRY_INFO!$K23=4, 0, IF(COUNTRY_INFO!$K23=1, 0, IF(COUNTRY_INFO!$K23=2, COUNTRY_INFO!$G23*0.2, COUNTRY_INFO!$G23))), 0))</f>
        <v>0</v>
      </c>
      <c r="F23" s="13">
        <f t="shared" si="1"/>
        <v>12546.6</v>
      </c>
      <c r="G23" s="14">
        <f>IF(INTRO!$E$43="Non endémique", "Non requis", COUNTRY_INFO!S23)</f>
        <v>1</v>
      </c>
      <c r="H23" s="98"/>
      <c r="I23" s="13">
        <f>IF($D23=0,0,IF(AND($G23&gt;0,$H23&lt;&gt;"Oui"),D23,IF(AND($G23&gt;0,$H23="Oui"),COUNTRY_INFO!$F23,0)))</f>
        <v>12546.6</v>
      </c>
      <c r="J23" s="3"/>
      <c r="K23" s="48">
        <f t="shared" si="2"/>
        <v>0</v>
      </c>
      <c r="L23" s="48">
        <f t="shared" si="3"/>
        <v>12546.6</v>
      </c>
      <c r="M23" s="13">
        <f t="shared" si="4"/>
        <v>31366.5</v>
      </c>
      <c r="N23" s="48">
        <f t="shared" si="5"/>
        <v>0</v>
      </c>
      <c r="O23" s="13">
        <f t="shared" si="6"/>
        <v>31366.5</v>
      </c>
      <c r="P23" s="24"/>
      <c r="Q23" s="15">
        <f t="shared" si="7"/>
        <v>31366.5</v>
      </c>
      <c r="R23" s="15">
        <f t="shared" si="8"/>
        <v>32</v>
      </c>
    </row>
    <row r="24" spans="1:18" x14ac:dyDescent="0.4">
      <c r="A24" s="12" t="str">
        <f>IF(INTRO!$E$43="Non endémique"," ", IF(COUNTRY_INFO!A24=0," ",COUNTRY_INFO!A24))</f>
        <v>Mali</v>
      </c>
      <c r="B24" s="12" t="str">
        <f>IF(INTRO!$E$43="Non endémique"," ", IF(COUNTRY_INFO!B24=0," ",COUNTRY_INFO!B24))</f>
        <v>Koulikoro</v>
      </c>
      <c r="C24" s="12" t="str">
        <f>IF(INTRO!$E$43="Non endémique"," ", IF(COUNTRY_INFO!C24=0," ",COUNTRY_INFO!C24))</f>
        <v>Kati</v>
      </c>
      <c r="D24" s="13">
        <f>IF(INTRO!$E$43="Non endémique", 0, IF(COUNTRY_INFO!$K24&gt;0, IF(COUNTRY_INFO!$K24=4, 0, IF(COUNTRY_INFO!$K24=1, COUNTRY_INFO!$F24*0.33, IF(COUNTRY_INFO!$K24=2, COUNTRY_INFO!$F24*0.5, COUNTRY_INFO!$F24))), 0))</f>
        <v>57039.51</v>
      </c>
      <c r="E24" s="13">
        <f>IF(INTRO!$E$43="Non endémique", 0, IF(COUNTRY_INFO!$K24&gt;0, IF(COUNTRY_INFO!$K24=4, 0, IF(COUNTRY_INFO!$K24=1, 0, IF(COUNTRY_INFO!$K24=2, COUNTRY_INFO!$G24*0.2, COUNTRY_INFO!$G24))), 0))</f>
        <v>0</v>
      </c>
      <c r="F24" s="13">
        <f t="shared" si="1"/>
        <v>57039.51</v>
      </c>
      <c r="G24" s="14">
        <f>IF(INTRO!$E$43="Non endémique", "Non requis", COUNTRY_INFO!S24)</f>
        <v>1</v>
      </c>
      <c r="H24" s="98"/>
      <c r="I24" s="13">
        <f>IF($D24=0,0,IF(AND($G24&gt;0,$H24&lt;&gt;"Oui"),D24,IF(AND($G24&gt;0,$H24="Oui"),COUNTRY_INFO!$F24,0)))</f>
        <v>57039.51</v>
      </c>
      <c r="J24" s="3"/>
      <c r="K24" s="48">
        <f t="shared" si="2"/>
        <v>0</v>
      </c>
      <c r="L24" s="48">
        <f t="shared" si="3"/>
        <v>57039.51</v>
      </c>
      <c r="M24" s="13">
        <f t="shared" si="4"/>
        <v>142598.77499999999</v>
      </c>
      <c r="N24" s="48">
        <f t="shared" si="5"/>
        <v>0</v>
      </c>
      <c r="O24" s="13">
        <f t="shared" si="6"/>
        <v>142598.77499999999</v>
      </c>
      <c r="P24" s="24"/>
      <c r="Q24" s="15">
        <f t="shared" si="7"/>
        <v>142598.77499999999</v>
      </c>
      <c r="R24" s="15">
        <f t="shared" si="8"/>
        <v>143</v>
      </c>
    </row>
    <row r="25" spans="1:18" x14ac:dyDescent="0.4">
      <c r="A25" s="12" t="str">
        <f>IF(INTRO!$E$43="Non endémique"," ", IF(COUNTRY_INFO!A25=0," ",COUNTRY_INFO!A25))</f>
        <v>Mali</v>
      </c>
      <c r="B25" s="12" t="str">
        <f>IF(INTRO!$E$43="Non endémique"," ", IF(COUNTRY_INFO!B25=0," ",COUNTRY_INFO!B25))</f>
        <v>Koulikoro</v>
      </c>
      <c r="C25" s="12" t="str">
        <f>IF(INTRO!$E$43="Non endémique"," ", IF(COUNTRY_INFO!C25=0," ",COUNTRY_INFO!C25))</f>
        <v>Kolokani</v>
      </c>
      <c r="D25" s="13">
        <f>IF(INTRO!$E$43="Non endémique", 0, IF(COUNTRY_INFO!$K25&gt;0, IF(COUNTRY_INFO!$K25=4, 0, IF(COUNTRY_INFO!$K25=1, COUNTRY_INFO!$F25*0.33, IF(COUNTRY_INFO!$K25=2, COUNTRY_INFO!$F25*0.5, COUNTRY_INFO!$F25))), 0))</f>
        <v>29139.66</v>
      </c>
      <c r="E25" s="13">
        <f>IF(INTRO!$E$43="Non endémique", 0, IF(COUNTRY_INFO!$K25&gt;0, IF(COUNTRY_INFO!$K25=4, 0, IF(COUNTRY_INFO!$K25=1, 0, IF(COUNTRY_INFO!$K25=2, COUNTRY_INFO!$G25*0.2, COUNTRY_INFO!$G25))), 0))</f>
        <v>0</v>
      </c>
      <c r="F25" s="13">
        <f t="shared" si="1"/>
        <v>29139.66</v>
      </c>
      <c r="G25" s="14">
        <f>IF(INTRO!$E$43="Non endémique", "Non requis", COUNTRY_INFO!S25)</f>
        <v>1</v>
      </c>
      <c r="H25" s="98"/>
      <c r="I25" s="13">
        <f>IF($D25=0,0,IF(AND($G25&gt;0,$H25&lt;&gt;"Oui"),D25,IF(AND($G25&gt;0,$H25="Oui"),COUNTRY_INFO!$F25,0)))</f>
        <v>29139.66</v>
      </c>
      <c r="J25" s="3"/>
      <c r="K25" s="48">
        <f t="shared" si="2"/>
        <v>0</v>
      </c>
      <c r="L25" s="48">
        <f t="shared" si="3"/>
        <v>29139.66</v>
      </c>
      <c r="M25" s="13">
        <f t="shared" si="4"/>
        <v>72849.149999999994</v>
      </c>
      <c r="N25" s="48">
        <f t="shared" si="5"/>
        <v>0</v>
      </c>
      <c r="O25" s="13">
        <f t="shared" si="6"/>
        <v>72849.149999999994</v>
      </c>
      <c r="P25" s="24"/>
      <c r="Q25" s="15">
        <f t="shared" si="7"/>
        <v>72849.149999999994</v>
      </c>
      <c r="R25" s="15">
        <f t="shared" si="8"/>
        <v>73</v>
      </c>
    </row>
    <row r="26" spans="1:18" x14ac:dyDescent="0.4">
      <c r="A26" s="12" t="str">
        <f>IF(INTRO!$E$43="Non endémique"," ", IF(COUNTRY_INFO!A26=0," ",COUNTRY_INFO!A26))</f>
        <v>Mali</v>
      </c>
      <c r="B26" s="12" t="str">
        <f>IF(INTRO!$E$43="Non endémique"," ", IF(COUNTRY_INFO!B26=0," ",COUNTRY_INFO!B26))</f>
        <v>Koulikoro</v>
      </c>
      <c r="C26" s="12" t="str">
        <f>IF(INTRO!$E$43="Non endémique"," ", IF(COUNTRY_INFO!C26=0," ",COUNTRY_INFO!C26))</f>
        <v>Koulikoro</v>
      </c>
      <c r="D26" s="13">
        <f>IF(INTRO!$E$43="Non endémique", 0, IF(COUNTRY_INFO!$K26&gt;0, IF(COUNTRY_INFO!$K26=4, 0, IF(COUNTRY_INFO!$K26=1, COUNTRY_INFO!$F26*0.33, IF(COUNTRY_INFO!$K26=2, COUNTRY_INFO!$F26*0.5, COUNTRY_INFO!$F26))), 0))</f>
        <v>26297.370000000003</v>
      </c>
      <c r="E26" s="13">
        <f>IF(INTRO!$E$43="Non endémique", 0, IF(COUNTRY_INFO!$K26&gt;0, IF(COUNTRY_INFO!$K26=4, 0, IF(COUNTRY_INFO!$K26=1, 0, IF(COUNTRY_INFO!$K26=2, COUNTRY_INFO!$G26*0.2, COUNTRY_INFO!$G26))), 0))</f>
        <v>0</v>
      </c>
      <c r="F26" s="13">
        <f t="shared" si="1"/>
        <v>26297.370000000003</v>
      </c>
      <c r="G26" s="14">
        <f>IF(INTRO!$E$43="Non endémique", "Non requis", COUNTRY_INFO!S26)</f>
        <v>1</v>
      </c>
      <c r="H26" s="98"/>
      <c r="I26" s="13">
        <f>IF($D26=0,0,IF(AND($G26&gt;0,$H26&lt;&gt;"Oui"),D26,IF(AND($G26&gt;0,$H26="Oui"),COUNTRY_INFO!$F26,0)))</f>
        <v>26297.370000000003</v>
      </c>
      <c r="J26" s="3"/>
      <c r="K26" s="48">
        <f t="shared" si="2"/>
        <v>0</v>
      </c>
      <c r="L26" s="48">
        <f t="shared" si="3"/>
        <v>26297.370000000003</v>
      </c>
      <c r="M26" s="13">
        <f t="shared" si="4"/>
        <v>65743.425000000003</v>
      </c>
      <c r="N26" s="48">
        <f t="shared" si="5"/>
        <v>0</v>
      </c>
      <c r="O26" s="13">
        <f t="shared" si="6"/>
        <v>65743.425000000003</v>
      </c>
      <c r="P26" s="24"/>
      <c r="Q26" s="15">
        <f t="shared" si="7"/>
        <v>65743.425000000003</v>
      </c>
      <c r="R26" s="15">
        <f t="shared" si="8"/>
        <v>66</v>
      </c>
    </row>
    <row r="27" spans="1:18" x14ac:dyDescent="0.4">
      <c r="A27" s="12" t="str">
        <f>IF(INTRO!$E$43="Non endémique"," ", IF(COUNTRY_INFO!A27=0," ",COUNTRY_INFO!A27))</f>
        <v>Mali</v>
      </c>
      <c r="B27" s="12" t="str">
        <f>IF(INTRO!$E$43="Non endémique"," ", IF(COUNTRY_INFO!B27=0," ",COUNTRY_INFO!B27))</f>
        <v>Koulikoro</v>
      </c>
      <c r="C27" s="12" t="str">
        <f>IF(INTRO!$E$43="Non endémique"," ", IF(COUNTRY_INFO!C27=0," ",COUNTRY_INFO!C27))</f>
        <v>Nara</v>
      </c>
      <c r="D27" s="13">
        <f>IF(INTRO!$E$43="Non endémique", 0, IF(COUNTRY_INFO!$K27&gt;0, IF(COUNTRY_INFO!$K27=4, 0, IF(COUNTRY_INFO!$K27=1, COUNTRY_INFO!$F27*0.33, IF(COUNTRY_INFO!$K27=2, COUNTRY_INFO!$F27*0.5, COUNTRY_INFO!$F27))), 0))</f>
        <v>30269.58</v>
      </c>
      <c r="E27" s="13">
        <f>IF(INTRO!$E$43="Non endémique", 0, IF(COUNTRY_INFO!$K27&gt;0, IF(COUNTRY_INFO!$K27=4, 0, IF(COUNTRY_INFO!$K27=1, 0, IF(COUNTRY_INFO!$K27=2, COUNTRY_INFO!$G27*0.2, COUNTRY_INFO!$G27))), 0))</f>
        <v>0</v>
      </c>
      <c r="F27" s="13">
        <f t="shared" si="1"/>
        <v>30269.58</v>
      </c>
      <c r="G27" s="14">
        <f>IF(INTRO!$E$43="Non endémique", "Non requis", COUNTRY_INFO!S27)</f>
        <v>1</v>
      </c>
      <c r="H27" s="98"/>
      <c r="I27" s="13">
        <f>IF($D27=0,0,IF(AND($G27&gt;0,$H27&lt;&gt;"Oui"),D27,IF(AND($G27&gt;0,$H27="Oui"),COUNTRY_INFO!$F27,0)))</f>
        <v>30269.58</v>
      </c>
      <c r="J27" s="3"/>
      <c r="K27" s="48">
        <f t="shared" si="2"/>
        <v>0</v>
      </c>
      <c r="L27" s="48">
        <f t="shared" si="3"/>
        <v>30269.58</v>
      </c>
      <c r="M27" s="13">
        <f t="shared" si="4"/>
        <v>75673.950000000012</v>
      </c>
      <c r="N27" s="48">
        <f t="shared" si="5"/>
        <v>0</v>
      </c>
      <c r="O27" s="13">
        <f t="shared" si="6"/>
        <v>75673.950000000012</v>
      </c>
      <c r="P27" s="24"/>
      <c r="Q27" s="15">
        <f t="shared" si="7"/>
        <v>75673.950000000012</v>
      </c>
      <c r="R27" s="15">
        <f t="shared" si="8"/>
        <v>76</v>
      </c>
    </row>
    <row r="28" spans="1:18" x14ac:dyDescent="0.4">
      <c r="A28" s="12" t="str">
        <f>IF(INTRO!$E$43="Non endémique"," ", IF(COUNTRY_INFO!A28=0," ",COUNTRY_INFO!A28))</f>
        <v>Mali</v>
      </c>
      <c r="B28" s="12" t="str">
        <f>IF(INTRO!$E$43="Non endémique"," ", IF(COUNTRY_INFO!B28=0," ",COUNTRY_INFO!B28))</f>
        <v>Koulikoro</v>
      </c>
      <c r="C28" s="12" t="str">
        <f>IF(INTRO!$E$43="Non endémique"," ", IF(COUNTRY_INFO!C28=0," ",COUNTRY_INFO!C28))</f>
        <v>Ouelessebougou</v>
      </c>
      <c r="D28" s="13">
        <f>IF(INTRO!$E$43="Non endémique", 0, IF(COUNTRY_INFO!$K28&gt;0, IF(COUNTRY_INFO!$K28=4, 0, IF(COUNTRY_INFO!$K28=1, COUNTRY_INFO!$F28*0.33, IF(COUNTRY_INFO!$K28=2, COUNTRY_INFO!$F28*0.5, COUNTRY_INFO!$F28))), 0))</f>
        <v>24802.800000000003</v>
      </c>
      <c r="E28" s="13">
        <f>IF(INTRO!$E$43="Non endémique", 0, IF(COUNTRY_INFO!$K28&gt;0, IF(COUNTRY_INFO!$K28=4, 0, IF(COUNTRY_INFO!$K28=1, 0, IF(COUNTRY_INFO!$K28=2, COUNTRY_INFO!$G28*0.2, COUNTRY_INFO!$G28))), 0))</f>
        <v>0</v>
      </c>
      <c r="F28" s="13">
        <f t="shared" si="1"/>
        <v>24802.800000000003</v>
      </c>
      <c r="G28" s="14">
        <f>IF(INTRO!$E$43="Non endémique", "Non requis", COUNTRY_INFO!S28)</f>
        <v>1</v>
      </c>
      <c r="H28" s="98"/>
      <c r="I28" s="13">
        <f>IF($D28=0,0,IF(AND($G28&gt;0,$H28&lt;&gt;"Oui"),D28,IF(AND($G28&gt;0,$H28="Oui"),COUNTRY_INFO!$F28,0)))</f>
        <v>24802.800000000003</v>
      </c>
      <c r="J28" s="3"/>
      <c r="K28" s="48">
        <f t="shared" si="2"/>
        <v>0</v>
      </c>
      <c r="L28" s="48">
        <f t="shared" si="3"/>
        <v>24802.800000000003</v>
      </c>
      <c r="M28" s="13">
        <f t="shared" si="4"/>
        <v>62007.000000000007</v>
      </c>
      <c r="N28" s="48">
        <f t="shared" si="5"/>
        <v>0</v>
      </c>
      <c r="O28" s="13">
        <f t="shared" si="6"/>
        <v>62007.000000000007</v>
      </c>
      <c r="P28" s="24"/>
      <c r="Q28" s="15">
        <f t="shared" si="7"/>
        <v>62007.000000000007</v>
      </c>
      <c r="R28" s="15">
        <f t="shared" si="8"/>
        <v>63</v>
      </c>
    </row>
    <row r="29" spans="1:18" x14ac:dyDescent="0.4">
      <c r="A29" s="12" t="str">
        <f>IF(INTRO!$E$43="Non endémique"," ", IF(COUNTRY_INFO!A29=0," ",COUNTRY_INFO!A29))</f>
        <v>Mali</v>
      </c>
      <c r="B29" s="12" t="str">
        <f>IF(INTRO!$E$43="Non endémique"," ", IF(COUNTRY_INFO!B29=0," ",COUNTRY_INFO!B29))</f>
        <v>Sikasso</v>
      </c>
      <c r="C29" s="12" t="str">
        <f>IF(INTRO!$E$43="Non endémique"," ", IF(COUNTRY_INFO!C29=0," ",COUNTRY_INFO!C29))</f>
        <v>Bougouni</v>
      </c>
      <c r="D29" s="13">
        <f>IF(INTRO!$E$43="Non endémique", 0, IF(COUNTRY_INFO!$K29&gt;0, IF(COUNTRY_INFO!$K29=4, 0, IF(COUNTRY_INFO!$K29=1, COUNTRY_INFO!$F29*0.33, IF(COUNTRY_INFO!$K29=2, COUNTRY_INFO!$F29*0.5, COUNTRY_INFO!$F29))), 0))</f>
        <v>57523.29</v>
      </c>
      <c r="E29" s="13">
        <f>IF(INTRO!$E$43="Non endémique", 0, IF(COUNTRY_INFO!$K29&gt;0, IF(COUNTRY_INFO!$K29=4, 0, IF(COUNTRY_INFO!$K29=1, 0, IF(COUNTRY_INFO!$K29=2, COUNTRY_INFO!$G29*0.2, COUNTRY_INFO!$G29))), 0))</f>
        <v>0</v>
      </c>
      <c r="F29" s="13">
        <f t="shared" si="1"/>
        <v>57523.29</v>
      </c>
      <c r="G29" s="14">
        <f>IF(INTRO!$E$43="Non endémique", "Non requis", COUNTRY_INFO!S29)</f>
        <v>1</v>
      </c>
      <c r="H29" s="98"/>
      <c r="I29" s="13">
        <f>IF($D29=0,0,IF(AND($G29&gt;0,$H29&lt;&gt;"Oui"),D29,IF(AND($G29&gt;0,$H29="Oui"),COUNTRY_INFO!$F29,0)))</f>
        <v>57523.29</v>
      </c>
      <c r="J29" s="3"/>
      <c r="K29" s="48">
        <f t="shared" si="2"/>
        <v>0</v>
      </c>
      <c r="L29" s="48">
        <f t="shared" si="3"/>
        <v>57523.29</v>
      </c>
      <c r="M29" s="13">
        <f t="shared" si="4"/>
        <v>143808.22500000001</v>
      </c>
      <c r="N29" s="48">
        <f t="shared" si="5"/>
        <v>0</v>
      </c>
      <c r="O29" s="13">
        <f t="shared" si="6"/>
        <v>143808.22500000001</v>
      </c>
      <c r="P29" s="24"/>
      <c r="Q29" s="15">
        <f t="shared" si="7"/>
        <v>143808.22500000001</v>
      </c>
      <c r="R29" s="15">
        <f t="shared" si="8"/>
        <v>144</v>
      </c>
    </row>
    <row r="30" spans="1:18" x14ac:dyDescent="0.4">
      <c r="A30" s="12" t="str">
        <f>IF(INTRO!$E$43="Non endémique"," ", IF(COUNTRY_INFO!A30=0," ",COUNTRY_INFO!A30))</f>
        <v>Mali</v>
      </c>
      <c r="B30" s="12" t="str">
        <f>IF(INTRO!$E$43="Non endémique"," ", IF(COUNTRY_INFO!B30=0," ",COUNTRY_INFO!B30))</f>
        <v>Sikasso</v>
      </c>
      <c r="C30" s="12" t="str">
        <f>IF(INTRO!$E$43="Non endémique"," ", IF(COUNTRY_INFO!C30=0," ",COUNTRY_INFO!C30))</f>
        <v>Kadiolo</v>
      </c>
      <c r="D30" s="13">
        <f>IF(INTRO!$E$43="Non endémique", 0, IF(COUNTRY_INFO!$K30&gt;0, IF(COUNTRY_INFO!$K30=4, 0, IF(COUNTRY_INFO!$K30=1, COUNTRY_INFO!$F30*0.33, IF(COUNTRY_INFO!$K30=2, COUNTRY_INFO!$F30*0.5, COUNTRY_INFO!$F30))), 0))</f>
        <v>30008.22</v>
      </c>
      <c r="E30" s="13">
        <f>IF(INTRO!$E$43="Non endémique", 0, IF(COUNTRY_INFO!$K30&gt;0, IF(COUNTRY_INFO!$K30=4, 0, IF(COUNTRY_INFO!$K30=1, 0, IF(COUNTRY_INFO!$K30=2, COUNTRY_INFO!$G30*0.2, COUNTRY_INFO!$G30))), 0))</f>
        <v>0</v>
      </c>
      <c r="F30" s="13">
        <f t="shared" si="1"/>
        <v>30008.22</v>
      </c>
      <c r="G30" s="14">
        <f>IF(INTRO!$E$43="Non endémique", "Non requis", COUNTRY_INFO!S30)</f>
        <v>1</v>
      </c>
      <c r="H30" s="98"/>
      <c r="I30" s="13">
        <f>IF($D30=0,0,IF(AND($G30&gt;0,$H30&lt;&gt;"Oui"),D30,IF(AND($G30&gt;0,$H30="Oui"),COUNTRY_INFO!$F30,0)))</f>
        <v>30008.22</v>
      </c>
      <c r="J30" s="3"/>
      <c r="K30" s="48">
        <f t="shared" si="2"/>
        <v>0</v>
      </c>
      <c r="L30" s="48">
        <f t="shared" si="3"/>
        <v>30008.22</v>
      </c>
      <c r="M30" s="13">
        <f t="shared" si="4"/>
        <v>75020.55</v>
      </c>
      <c r="N30" s="48">
        <f t="shared" si="5"/>
        <v>0</v>
      </c>
      <c r="O30" s="13">
        <f t="shared" si="6"/>
        <v>75020.55</v>
      </c>
      <c r="P30" s="24"/>
      <c r="Q30" s="15">
        <f t="shared" si="7"/>
        <v>75020.55</v>
      </c>
      <c r="R30" s="15">
        <f t="shared" si="8"/>
        <v>76</v>
      </c>
    </row>
    <row r="31" spans="1:18" x14ac:dyDescent="0.4">
      <c r="A31" s="12" t="str">
        <f>IF(INTRO!$E$43="Non endémique"," ", IF(COUNTRY_INFO!A31=0," ",COUNTRY_INFO!A31))</f>
        <v>Mali</v>
      </c>
      <c r="B31" s="12" t="str">
        <f>IF(INTRO!$E$43="Non endémique"," ", IF(COUNTRY_INFO!B31=0," ",COUNTRY_INFO!B31))</f>
        <v>Sikasso</v>
      </c>
      <c r="C31" s="12" t="str">
        <f>IF(INTRO!$E$43="Non endémique"," ", IF(COUNTRY_INFO!C31=0," ",COUNTRY_INFO!C31))</f>
        <v>Kignan</v>
      </c>
      <c r="D31" s="13">
        <f>IF(INTRO!$E$43="Non endémique", 0, IF(COUNTRY_INFO!$K31&gt;0, IF(COUNTRY_INFO!$K31=4, 0, IF(COUNTRY_INFO!$K31=1, COUNTRY_INFO!$F31*0.33, IF(COUNTRY_INFO!$K31=2, COUNTRY_INFO!$F31*0.5, COUNTRY_INFO!$F31))), 0))</f>
        <v>0</v>
      </c>
      <c r="E31" s="13">
        <f>IF(INTRO!$E$43="Non endémique", 0, IF(COUNTRY_INFO!$K31&gt;0, IF(COUNTRY_INFO!$K31=4, 0, IF(COUNTRY_INFO!$K31=1, 0, IF(COUNTRY_INFO!$K31=2, COUNTRY_INFO!$G31*0.2, COUNTRY_INFO!$G31))), 0))</f>
        <v>0</v>
      </c>
      <c r="F31" s="13">
        <f t="shared" si="1"/>
        <v>0</v>
      </c>
      <c r="G31" s="14">
        <f>IF(INTRO!$E$43="Non endémique", "Non requis", COUNTRY_INFO!S31)</f>
        <v>0</v>
      </c>
      <c r="H31" s="98"/>
      <c r="I31" s="13">
        <f>IF($D31=0,0,IF(AND($G31&gt;0,$H31&lt;&gt;"Oui"),D31,IF(AND($G31&gt;0,$H31="Oui"),COUNTRY_INFO!$F31,0)))</f>
        <v>0</v>
      </c>
      <c r="J31" s="3"/>
      <c r="K31" s="48">
        <f t="shared" si="2"/>
        <v>0</v>
      </c>
      <c r="L31" s="48">
        <f t="shared" si="3"/>
        <v>0</v>
      </c>
      <c r="M31" s="13">
        <f t="shared" si="4"/>
        <v>0</v>
      </c>
      <c r="N31" s="48">
        <f t="shared" si="5"/>
        <v>0</v>
      </c>
      <c r="O31" s="13">
        <f t="shared" si="6"/>
        <v>0</v>
      </c>
      <c r="P31" s="24"/>
      <c r="Q31" s="15">
        <f t="shared" si="7"/>
        <v>0</v>
      </c>
      <c r="R31" s="15">
        <f t="shared" si="8"/>
        <v>0</v>
      </c>
    </row>
    <row r="32" spans="1:18" x14ac:dyDescent="0.4">
      <c r="A32" s="12" t="str">
        <f>IF(INTRO!$E$43="Non endémique"," ", IF(COUNTRY_INFO!A32=0," ",COUNTRY_INFO!A32))</f>
        <v>Mali</v>
      </c>
      <c r="B32" s="12" t="str">
        <f>IF(INTRO!$E$43="Non endémique"," ", IF(COUNTRY_INFO!B32=0," ",COUNTRY_INFO!B32))</f>
        <v>Sikasso</v>
      </c>
      <c r="C32" s="12" t="str">
        <f>IF(INTRO!$E$43="Non endémique"," ", IF(COUNTRY_INFO!C32=0," ",COUNTRY_INFO!C32))</f>
        <v>Kolondieba</v>
      </c>
      <c r="D32" s="13">
        <f>IF(INTRO!$E$43="Non endémique", 0, IF(COUNTRY_INFO!$K32&gt;0, IF(COUNTRY_INFO!$K32=4, 0, IF(COUNTRY_INFO!$K32=1, COUNTRY_INFO!$F32*0.33, IF(COUNTRY_INFO!$K32=2, COUNTRY_INFO!$F32*0.5, COUNTRY_INFO!$F32))), 0))</f>
        <v>0</v>
      </c>
      <c r="E32" s="13">
        <f>IF(INTRO!$E$43="Non endémique", 0, IF(COUNTRY_INFO!$K32&gt;0, IF(COUNTRY_INFO!$K32=4, 0, IF(COUNTRY_INFO!$K32=1, 0, IF(COUNTRY_INFO!$K32=2, COUNTRY_INFO!$G32*0.2, COUNTRY_INFO!$G32))), 0))</f>
        <v>0</v>
      </c>
      <c r="F32" s="13">
        <f t="shared" si="1"/>
        <v>0</v>
      </c>
      <c r="G32" s="14">
        <f>IF(INTRO!$E$43="Non endémique", "Non requis", COUNTRY_INFO!S32)</f>
        <v>0</v>
      </c>
      <c r="H32" s="98"/>
      <c r="I32" s="13">
        <f>IF($D32=0,0,IF(AND($G32&gt;0,$H32&lt;&gt;"Oui"),D32,IF(AND($G32&gt;0,$H32="Oui"),COUNTRY_INFO!$F32,0)))</f>
        <v>0</v>
      </c>
      <c r="J32" s="3"/>
      <c r="K32" s="48">
        <f t="shared" si="2"/>
        <v>0</v>
      </c>
      <c r="L32" s="48">
        <f t="shared" si="3"/>
        <v>0</v>
      </c>
      <c r="M32" s="13">
        <f t="shared" si="4"/>
        <v>0</v>
      </c>
      <c r="N32" s="48">
        <f t="shared" si="5"/>
        <v>0</v>
      </c>
      <c r="O32" s="13">
        <f t="shared" si="6"/>
        <v>0</v>
      </c>
      <c r="P32" s="24"/>
      <c r="Q32" s="15">
        <f t="shared" si="7"/>
        <v>0</v>
      </c>
      <c r="R32" s="15">
        <f t="shared" si="8"/>
        <v>0</v>
      </c>
    </row>
    <row r="33" spans="1:18" x14ac:dyDescent="0.4">
      <c r="A33" s="12" t="str">
        <f>IF(INTRO!$E$43="Non endémique"," ", IF(COUNTRY_INFO!A33=0," ",COUNTRY_INFO!A33))</f>
        <v>Mali</v>
      </c>
      <c r="B33" s="12" t="str">
        <f>IF(INTRO!$E$43="Non endémique"," ", IF(COUNTRY_INFO!B33=0," ",COUNTRY_INFO!B33))</f>
        <v>Sikasso</v>
      </c>
      <c r="C33" s="12" t="str">
        <f>IF(INTRO!$E$43="Non endémique"," ", IF(COUNTRY_INFO!C33=0," ",COUNTRY_INFO!C33))</f>
        <v>Koutiala</v>
      </c>
      <c r="D33" s="13">
        <f>IF(INTRO!$E$43="Non endémique", 0, IF(COUNTRY_INFO!$K33&gt;0, IF(COUNTRY_INFO!$K33=4, 0, IF(COUNTRY_INFO!$K33=1, COUNTRY_INFO!$F33*0.33, IF(COUNTRY_INFO!$K33=2, COUNTRY_INFO!$F33*0.5, COUNTRY_INFO!$F33))), 0))</f>
        <v>0</v>
      </c>
      <c r="E33" s="13">
        <f>IF(INTRO!$E$43="Non endémique", 0, IF(COUNTRY_INFO!$K33&gt;0, IF(COUNTRY_INFO!$K33=4, 0, IF(COUNTRY_INFO!$K33=1, 0, IF(COUNTRY_INFO!$K33=2, COUNTRY_INFO!$G33*0.2, COUNTRY_INFO!$G33))), 0))</f>
        <v>0</v>
      </c>
      <c r="F33" s="13">
        <f t="shared" si="1"/>
        <v>0</v>
      </c>
      <c r="G33" s="14">
        <f>IF(INTRO!$E$43="Non endémique", "Non requis", COUNTRY_INFO!S33)</f>
        <v>0</v>
      </c>
      <c r="H33" s="98"/>
      <c r="I33" s="13">
        <f>IF($D33=0,0,IF(AND($G33&gt;0,$H33&lt;&gt;"Oui"),D33,IF(AND($G33&gt;0,$H33="Oui"),COUNTRY_INFO!$F33,0)))</f>
        <v>0</v>
      </c>
      <c r="J33" s="3"/>
      <c r="K33" s="48">
        <f t="shared" si="2"/>
        <v>0</v>
      </c>
      <c r="L33" s="48">
        <f t="shared" si="3"/>
        <v>0</v>
      </c>
      <c r="M33" s="13">
        <f t="shared" si="4"/>
        <v>0</v>
      </c>
      <c r="N33" s="48">
        <f t="shared" si="5"/>
        <v>0</v>
      </c>
      <c r="O33" s="13">
        <f t="shared" si="6"/>
        <v>0</v>
      </c>
      <c r="P33" s="24"/>
      <c r="Q33" s="15">
        <f t="shared" si="7"/>
        <v>0</v>
      </c>
      <c r="R33" s="15">
        <f t="shared" si="8"/>
        <v>0</v>
      </c>
    </row>
    <row r="34" spans="1:18" x14ac:dyDescent="0.4">
      <c r="A34" s="12" t="str">
        <f>IF(INTRO!$E$43="Non endémique"," ", IF(COUNTRY_INFO!A34=0," ",COUNTRY_INFO!A34))</f>
        <v>Mali</v>
      </c>
      <c r="B34" s="12" t="str">
        <f>IF(INTRO!$E$43="Non endémique"," ", IF(COUNTRY_INFO!B34=0," ",COUNTRY_INFO!B34))</f>
        <v>Sikasso</v>
      </c>
      <c r="C34" s="12" t="str">
        <f>IF(INTRO!$E$43="Non endémique"," ", IF(COUNTRY_INFO!C34=0," ",COUNTRY_INFO!C34))</f>
        <v>Niena</v>
      </c>
      <c r="D34" s="13">
        <f>IF(INTRO!$E$43="Non endémique", 0, IF(COUNTRY_INFO!$K34&gt;0, IF(COUNTRY_INFO!$K34=4, 0, IF(COUNTRY_INFO!$K34=1, COUNTRY_INFO!$F34*0.33, IF(COUNTRY_INFO!$K34=2, COUNTRY_INFO!$F34*0.5, COUNTRY_INFO!$F34))), 0))</f>
        <v>15257.880000000001</v>
      </c>
      <c r="E34" s="13">
        <f>IF(INTRO!$E$43="Non endémique", 0, IF(COUNTRY_INFO!$K34&gt;0, IF(COUNTRY_INFO!$K34=4, 0, IF(COUNTRY_INFO!$K34=1, 0, IF(COUNTRY_INFO!$K34=2, COUNTRY_INFO!$G34*0.2, COUNTRY_INFO!$G34))), 0))</f>
        <v>0</v>
      </c>
      <c r="F34" s="13">
        <f t="shared" si="1"/>
        <v>15257.880000000001</v>
      </c>
      <c r="G34" s="14">
        <f>IF(INTRO!$E$43="Non endémique", "Non requis", COUNTRY_INFO!S34)</f>
        <v>1</v>
      </c>
      <c r="H34" s="98"/>
      <c r="I34" s="13">
        <f>IF($D34=0,0,IF(AND($G34&gt;0,$H34&lt;&gt;"Oui"),D34,IF(AND($G34&gt;0,$H34="Oui"),COUNTRY_INFO!$F34,0)))</f>
        <v>15257.880000000001</v>
      </c>
      <c r="J34" s="3"/>
      <c r="K34" s="48">
        <f t="shared" si="2"/>
        <v>0</v>
      </c>
      <c r="L34" s="48">
        <f t="shared" si="3"/>
        <v>15257.880000000001</v>
      </c>
      <c r="M34" s="13">
        <f t="shared" si="4"/>
        <v>38144.700000000004</v>
      </c>
      <c r="N34" s="48">
        <f t="shared" si="5"/>
        <v>0</v>
      </c>
      <c r="O34" s="13">
        <f t="shared" si="6"/>
        <v>38144.700000000004</v>
      </c>
      <c r="P34" s="24"/>
      <c r="Q34" s="15">
        <f t="shared" si="7"/>
        <v>38144.700000000004</v>
      </c>
      <c r="R34" s="15">
        <f t="shared" si="8"/>
        <v>39</v>
      </c>
    </row>
    <row r="35" spans="1:18" x14ac:dyDescent="0.4">
      <c r="A35" s="12" t="str">
        <f>IF(INTRO!$E$43="Non endémique"," ", IF(COUNTRY_INFO!A35=0," ",COUNTRY_INFO!A35))</f>
        <v>Mali</v>
      </c>
      <c r="B35" s="12" t="str">
        <f>IF(INTRO!$E$43="Non endémique"," ", IF(COUNTRY_INFO!B35=0," ",COUNTRY_INFO!B35))</f>
        <v>Sikasso</v>
      </c>
      <c r="C35" s="12" t="str">
        <f>IF(INTRO!$E$43="Non endémique"," ", IF(COUNTRY_INFO!C35=0," ",COUNTRY_INFO!C35))</f>
        <v>Sélingué</v>
      </c>
      <c r="D35" s="13">
        <f>IF(INTRO!$E$43="Non endémique", 0, IF(COUNTRY_INFO!$K35&gt;0, IF(COUNTRY_INFO!$K35=4, 0, IF(COUNTRY_INFO!$K35=1, COUNTRY_INFO!$F35*0.33, IF(COUNTRY_INFO!$K35=2, COUNTRY_INFO!$F35*0.5, COUNTRY_INFO!$F35))), 0))</f>
        <v>10341.540000000001</v>
      </c>
      <c r="E35" s="13">
        <f>IF(INTRO!$E$43="Non endémique", 0, IF(COUNTRY_INFO!$K35&gt;0, IF(COUNTRY_INFO!$K35=4, 0, IF(COUNTRY_INFO!$K35=1, 0, IF(COUNTRY_INFO!$K35=2, COUNTRY_INFO!$G35*0.2, COUNTRY_INFO!$G35))), 0))</f>
        <v>0</v>
      </c>
      <c r="F35" s="13">
        <f t="shared" si="1"/>
        <v>10341.540000000001</v>
      </c>
      <c r="G35" s="14">
        <f>IF(INTRO!$E$43="Non endémique", "Non requis", COUNTRY_INFO!S35)</f>
        <v>1</v>
      </c>
      <c r="H35" s="98"/>
      <c r="I35" s="13">
        <f>IF($D35=0,0,IF(AND($G35&gt;0,$H35&lt;&gt;"Oui"),D35,IF(AND($G35&gt;0,$H35="Oui"),COUNTRY_INFO!$F35,0)))</f>
        <v>10341.540000000001</v>
      </c>
      <c r="J35" s="3"/>
      <c r="K35" s="48">
        <f t="shared" si="2"/>
        <v>0</v>
      </c>
      <c r="L35" s="48">
        <f t="shared" si="3"/>
        <v>10341.540000000001</v>
      </c>
      <c r="M35" s="13">
        <f t="shared" si="4"/>
        <v>25853.850000000002</v>
      </c>
      <c r="N35" s="48">
        <f t="shared" si="5"/>
        <v>0</v>
      </c>
      <c r="O35" s="13">
        <f t="shared" si="6"/>
        <v>25853.850000000002</v>
      </c>
      <c r="P35" s="24"/>
      <c r="Q35" s="15">
        <f t="shared" si="7"/>
        <v>25853.850000000002</v>
      </c>
      <c r="R35" s="15">
        <f t="shared" si="8"/>
        <v>26</v>
      </c>
    </row>
    <row r="36" spans="1:18" x14ac:dyDescent="0.4">
      <c r="A36" s="12" t="str">
        <f>IF(INTRO!$E$43="Non endémique"," ", IF(COUNTRY_INFO!A36=0," ",COUNTRY_INFO!A36))</f>
        <v>Mali</v>
      </c>
      <c r="B36" s="12" t="str">
        <f>IF(INTRO!$E$43="Non endémique"," ", IF(COUNTRY_INFO!B36=0," ",COUNTRY_INFO!B36))</f>
        <v>Sikasso</v>
      </c>
      <c r="C36" s="12" t="str">
        <f>IF(INTRO!$E$43="Non endémique"," ", IF(COUNTRY_INFO!C36=0," ",COUNTRY_INFO!C36))</f>
        <v>Sikasso</v>
      </c>
      <c r="D36" s="13">
        <f>IF(INTRO!$E$43="Non endémique", 0, IF(COUNTRY_INFO!$K36&gt;0, IF(COUNTRY_INFO!$K36=4, 0, IF(COUNTRY_INFO!$K36=1, COUNTRY_INFO!$F36*0.33, IF(COUNTRY_INFO!$K36=2, COUNTRY_INFO!$F36*0.5, COUNTRY_INFO!$F36))), 0))</f>
        <v>61031.520000000004</v>
      </c>
      <c r="E36" s="13">
        <f>IF(INTRO!$E$43="Non endémique", 0, IF(COUNTRY_INFO!$K36&gt;0, IF(COUNTRY_INFO!$K36=4, 0, IF(COUNTRY_INFO!$K36=1, 0, IF(COUNTRY_INFO!$K36=2, COUNTRY_INFO!$G36*0.2, COUNTRY_INFO!$G36))), 0))</f>
        <v>0</v>
      </c>
      <c r="F36" s="13">
        <f t="shared" si="1"/>
        <v>61031.520000000004</v>
      </c>
      <c r="G36" s="14">
        <f>IF(INTRO!$E$43="Non endémique", "Non requis", COUNTRY_INFO!S36)</f>
        <v>1</v>
      </c>
      <c r="H36" s="98"/>
      <c r="I36" s="13">
        <f>IF($D36=0,0,IF(AND($G36&gt;0,$H36&lt;&gt;"Oui"),D36,IF(AND($G36&gt;0,$H36="Oui"),COUNTRY_INFO!$F36,0)))</f>
        <v>61031.520000000004</v>
      </c>
      <c r="J36" s="3"/>
      <c r="K36" s="48">
        <f t="shared" si="2"/>
        <v>0</v>
      </c>
      <c r="L36" s="48">
        <f t="shared" si="3"/>
        <v>61031.520000000004</v>
      </c>
      <c r="M36" s="13">
        <f t="shared" si="4"/>
        <v>152578.80000000002</v>
      </c>
      <c r="N36" s="48">
        <f t="shared" si="5"/>
        <v>0</v>
      </c>
      <c r="O36" s="13">
        <f t="shared" si="6"/>
        <v>152578.80000000002</v>
      </c>
      <c r="P36" s="24"/>
      <c r="Q36" s="15">
        <f t="shared" si="7"/>
        <v>152578.80000000002</v>
      </c>
      <c r="R36" s="15">
        <f t="shared" si="8"/>
        <v>153</v>
      </c>
    </row>
    <row r="37" spans="1:18" x14ac:dyDescent="0.4">
      <c r="A37" s="12" t="str">
        <f>IF(INTRO!$E$43="Non endémique"," ", IF(COUNTRY_INFO!A37=0," ",COUNTRY_INFO!A37))</f>
        <v>Mali</v>
      </c>
      <c r="B37" s="12" t="str">
        <f>IF(INTRO!$E$43="Non endémique"," ", IF(COUNTRY_INFO!B37=0," ",COUNTRY_INFO!B37))</f>
        <v>Sikasso</v>
      </c>
      <c r="C37" s="12" t="str">
        <f>IF(INTRO!$E$43="Non endémique"," ", IF(COUNTRY_INFO!C37=0," ",COUNTRY_INFO!C37))</f>
        <v>Yanfolila</v>
      </c>
      <c r="D37" s="13">
        <f>IF(INTRO!$E$43="Non endémique", 0, IF(COUNTRY_INFO!$K37&gt;0, IF(COUNTRY_INFO!$K37=4, 0, IF(COUNTRY_INFO!$K37=1, COUNTRY_INFO!$F37*0.33, IF(COUNTRY_INFO!$K37=2, COUNTRY_INFO!$F37*0.5, COUNTRY_INFO!$F37))), 0))</f>
        <v>0</v>
      </c>
      <c r="E37" s="13">
        <f>IF(INTRO!$E$43="Non endémique", 0, IF(COUNTRY_INFO!$K37&gt;0, IF(COUNTRY_INFO!$K37=4, 0, IF(COUNTRY_INFO!$K37=1, 0, IF(COUNTRY_INFO!$K37=2, COUNTRY_INFO!$G37*0.2, COUNTRY_INFO!$G37))), 0))</f>
        <v>0</v>
      </c>
      <c r="F37" s="13">
        <f t="shared" si="1"/>
        <v>0</v>
      </c>
      <c r="G37" s="14">
        <f>IF(INTRO!$E$43="Non endémique", "Non requis", COUNTRY_INFO!S37)</f>
        <v>0</v>
      </c>
      <c r="H37" s="98"/>
      <c r="I37" s="13">
        <f>IF($D37=0,0,IF(AND($G37&gt;0,$H37&lt;&gt;"Oui"),D37,IF(AND($G37&gt;0,$H37="Oui"),COUNTRY_INFO!$F37,0)))</f>
        <v>0</v>
      </c>
      <c r="J37" s="3"/>
      <c r="K37" s="48">
        <f t="shared" si="2"/>
        <v>0</v>
      </c>
      <c r="L37" s="48">
        <f t="shared" si="3"/>
        <v>0</v>
      </c>
      <c r="M37" s="13">
        <f t="shared" si="4"/>
        <v>0</v>
      </c>
      <c r="N37" s="48">
        <f t="shared" si="5"/>
        <v>0</v>
      </c>
      <c r="O37" s="13">
        <f t="shared" si="6"/>
        <v>0</v>
      </c>
      <c r="P37" s="24"/>
      <c r="Q37" s="15">
        <f t="shared" si="7"/>
        <v>0</v>
      </c>
      <c r="R37" s="15">
        <f t="shared" si="8"/>
        <v>0</v>
      </c>
    </row>
    <row r="38" spans="1:18" x14ac:dyDescent="0.4">
      <c r="A38" s="12" t="str">
        <f>IF(INTRO!$E$43="Non endémique"," ", IF(COUNTRY_INFO!A38=0," ",COUNTRY_INFO!A38))</f>
        <v>Mali</v>
      </c>
      <c r="B38" s="12" t="str">
        <f>IF(INTRO!$E$43="Non endémique"," ", IF(COUNTRY_INFO!B38=0," ",COUNTRY_INFO!B38))</f>
        <v>Sikasso</v>
      </c>
      <c r="C38" s="12" t="str">
        <f>IF(INTRO!$E$43="Non endémique"," ", IF(COUNTRY_INFO!C38=0," ",COUNTRY_INFO!C38))</f>
        <v>Yorosso</v>
      </c>
      <c r="D38" s="13">
        <f>IF(INTRO!$E$43="Non endémique", 0, IF(COUNTRY_INFO!$K38&gt;0, IF(COUNTRY_INFO!$K38=4, 0, IF(COUNTRY_INFO!$K38=1, COUNTRY_INFO!$F38*0.33, IF(COUNTRY_INFO!$K38=2, COUNTRY_INFO!$F38*0.5, COUNTRY_INFO!$F38))), 0))</f>
        <v>0</v>
      </c>
      <c r="E38" s="13">
        <f>IF(INTRO!$E$43="Non endémique", 0, IF(COUNTRY_INFO!$K38&gt;0, IF(COUNTRY_INFO!$K38=4, 0, IF(COUNTRY_INFO!$K38=1, 0, IF(COUNTRY_INFO!$K38=2, COUNTRY_INFO!$G38*0.2, COUNTRY_INFO!$G38))), 0))</f>
        <v>0</v>
      </c>
      <c r="F38" s="13">
        <f t="shared" si="1"/>
        <v>0</v>
      </c>
      <c r="G38" s="14">
        <f>IF(INTRO!$E$43="Non endémique", "Non requis", COUNTRY_INFO!S38)</f>
        <v>0</v>
      </c>
      <c r="H38" s="98"/>
      <c r="I38" s="13">
        <f>IF($D38=0,0,IF(AND($G38&gt;0,$H38&lt;&gt;"Oui"),D38,IF(AND($G38&gt;0,$H38="Oui"),COUNTRY_INFO!$F38,0)))</f>
        <v>0</v>
      </c>
      <c r="J38" s="3"/>
      <c r="K38" s="48">
        <f t="shared" si="2"/>
        <v>0</v>
      </c>
      <c r="L38" s="48">
        <f t="shared" si="3"/>
        <v>0</v>
      </c>
      <c r="M38" s="13">
        <f t="shared" si="4"/>
        <v>0</v>
      </c>
      <c r="N38" s="48">
        <f t="shared" si="5"/>
        <v>0</v>
      </c>
      <c r="O38" s="13">
        <f t="shared" si="6"/>
        <v>0</v>
      </c>
      <c r="P38" s="24"/>
      <c r="Q38" s="15">
        <f t="shared" si="7"/>
        <v>0</v>
      </c>
      <c r="R38" s="15">
        <f t="shared" si="8"/>
        <v>0</v>
      </c>
    </row>
    <row r="39" spans="1:18" x14ac:dyDescent="0.4">
      <c r="A39" s="12" t="str">
        <f>IF(INTRO!$E$43="Non endémique"," ", IF(COUNTRY_INFO!A39=0," ",COUNTRY_INFO!A39))</f>
        <v>Mali</v>
      </c>
      <c r="B39" s="12" t="str">
        <f>IF(INTRO!$E$43="Non endémique"," ", IF(COUNTRY_INFO!B39=0," ",COUNTRY_INFO!B39))</f>
        <v>Segou</v>
      </c>
      <c r="C39" s="12" t="str">
        <f>IF(INTRO!$E$43="Non endémique"," ", IF(COUNTRY_INFO!C39=0," ",COUNTRY_INFO!C39))</f>
        <v>Barouéli</v>
      </c>
      <c r="D39" s="13">
        <f>IF(INTRO!$E$43="Non endémique", 0, IF(COUNTRY_INFO!$K39&gt;0, IF(COUNTRY_INFO!$K39=4, 0, IF(COUNTRY_INFO!$K39=1, COUNTRY_INFO!$F39*0.33, IF(COUNTRY_INFO!$K39=2, COUNTRY_INFO!$F39*0.5, COUNTRY_INFO!$F39))), 0))</f>
        <v>25338.06</v>
      </c>
      <c r="E39" s="13">
        <f>IF(INTRO!$E$43="Non endémique", 0, IF(COUNTRY_INFO!$K39&gt;0, IF(COUNTRY_INFO!$K39=4, 0, IF(COUNTRY_INFO!$K39=1, 0, IF(COUNTRY_INFO!$K39=2, COUNTRY_INFO!$G39*0.2, COUNTRY_INFO!$G39))), 0))</f>
        <v>0</v>
      </c>
      <c r="F39" s="13">
        <f t="shared" si="1"/>
        <v>25338.06</v>
      </c>
      <c r="G39" s="14">
        <f>IF(INTRO!$E$43="Non endémique", "Non requis", COUNTRY_INFO!S39)</f>
        <v>1</v>
      </c>
      <c r="H39" s="98"/>
      <c r="I39" s="13">
        <f>IF($D39=0,0,IF(AND($G39&gt;0,$H39&lt;&gt;"Oui"),D39,IF(AND($G39&gt;0,$H39="Oui"),COUNTRY_INFO!$F39,0)))</f>
        <v>25338.06</v>
      </c>
      <c r="J39" s="3"/>
      <c r="K39" s="48">
        <f t="shared" si="2"/>
        <v>0</v>
      </c>
      <c r="L39" s="48">
        <f t="shared" si="3"/>
        <v>25338.06</v>
      </c>
      <c r="M39" s="13">
        <f t="shared" si="4"/>
        <v>63345.15</v>
      </c>
      <c r="N39" s="48">
        <f t="shared" si="5"/>
        <v>0</v>
      </c>
      <c r="O39" s="13">
        <f t="shared" si="6"/>
        <v>63345.15</v>
      </c>
      <c r="P39" s="24"/>
      <c r="Q39" s="15">
        <f t="shared" si="7"/>
        <v>63345.15</v>
      </c>
      <c r="R39" s="15">
        <f t="shared" si="8"/>
        <v>64</v>
      </c>
    </row>
    <row r="40" spans="1:18" x14ac:dyDescent="0.4">
      <c r="A40" s="12" t="str">
        <f>IF(INTRO!$E$43="Non endémique"," ", IF(COUNTRY_INFO!A40=0," ",COUNTRY_INFO!A40))</f>
        <v>Mali</v>
      </c>
      <c r="B40" s="12" t="str">
        <f>IF(INTRO!$E$43="Non endémique"," ", IF(COUNTRY_INFO!B40=0," ",COUNTRY_INFO!B40))</f>
        <v>Segou</v>
      </c>
      <c r="C40" s="12" t="str">
        <f>IF(INTRO!$E$43="Non endémique"," ", IF(COUNTRY_INFO!C40=0," ",COUNTRY_INFO!C40))</f>
        <v>Bla</v>
      </c>
      <c r="D40" s="13">
        <f>IF(INTRO!$E$43="Non endémique", 0, IF(COUNTRY_INFO!$K40&gt;0, IF(COUNTRY_INFO!$K40=4, 0, IF(COUNTRY_INFO!$K40=1, COUNTRY_INFO!$F40*0.33, IF(COUNTRY_INFO!$K40=2, COUNTRY_INFO!$F40*0.5, COUNTRY_INFO!$F40))), 0))</f>
        <v>35310.33</v>
      </c>
      <c r="E40" s="13">
        <f>IF(INTRO!$E$43="Non endémique", 0, IF(COUNTRY_INFO!$K40&gt;0, IF(COUNTRY_INFO!$K40=4, 0, IF(COUNTRY_INFO!$K40=1, 0, IF(COUNTRY_INFO!$K40=2, COUNTRY_INFO!$G40*0.2, COUNTRY_INFO!$G40))), 0))</f>
        <v>0</v>
      </c>
      <c r="F40" s="13">
        <f t="shared" si="1"/>
        <v>35310.33</v>
      </c>
      <c r="G40" s="14">
        <f>IF(INTRO!$E$43="Non endémique", "Non requis", COUNTRY_INFO!S40)</f>
        <v>1</v>
      </c>
      <c r="H40" s="98"/>
      <c r="I40" s="13">
        <f>IF($D40=0,0,IF(AND($G40&gt;0,$H40&lt;&gt;"Oui"),D40,IF(AND($G40&gt;0,$H40="Oui"),COUNTRY_INFO!$F40,0)))</f>
        <v>35310.33</v>
      </c>
      <c r="J40" s="3"/>
      <c r="K40" s="48">
        <f t="shared" si="2"/>
        <v>0</v>
      </c>
      <c r="L40" s="48">
        <f t="shared" si="3"/>
        <v>35310.33</v>
      </c>
      <c r="M40" s="13">
        <f t="shared" si="4"/>
        <v>88275.825000000012</v>
      </c>
      <c r="N40" s="48">
        <f t="shared" si="5"/>
        <v>0</v>
      </c>
      <c r="O40" s="13">
        <f t="shared" si="6"/>
        <v>88275.825000000012</v>
      </c>
      <c r="P40" s="24"/>
      <c r="Q40" s="15">
        <f t="shared" si="7"/>
        <v>88275.825000000012</v>
      </c>
      <c r="R40" s="15">
        <f t="shared" si="8"/>
        <v>89</v>
      </c>
    </row>
    <row r="41" spans="1:18" x14ac:dyDescent="0.4">
      <c r="A41" s="12" t="str">
        <f>IF(INTRO!$E$43="Non endémique"," ", IF(COUNTRY_INFO!A41=0," ",COUNTRY_INFO!A41))</f>
        <v>Mali</v>
      </c>
      <c r="B41" s="12" t="str">
        <f>IF(INTRO!$E$43="Non endémique"," ", IF(COUNTRY_INFO!B41=0," ",COUNTRY_INFO!B41))</f>
        <v>Segou</v>
      </c>
      <c r="C41" s="12" t="str">
        <f>IF(INTRO!$E$43="Non endémique"," ", IF(COUNTRY_INFO!C41=0," ",COUNTRY_INFO!C41))</f>
        <v>Macina</v>
      </c>
      <c r="D41" s="13">
        <f>IF(INTRO!$E$43="Non endémique", 0, IF(COUNTRY_INFO!$K41&gt;0, IF(COUNTRY_INFO!$K41=4, 0, IF(COUNTRY_INFO!$K41=1, COUNTRY_INFO!$F41*0.33, IF(COUNTRY_INFO!$K41=2, COUNTRY_INFO!$F41*0.5, COUNTRY_INFO!$F41))), 0))</f>
        <v>29561.07</v>
      </c>
      <c r="E41" s="13">
        <f>IF(INTRO!$E$43="Non endémique", 0, IF(COUNTRY_INFO!$K41&gt;0, IF(COUNTRY_INFO!$K41=4, 0, IF(COUNTRY_INFO!$K41=1, 0, IF(COUNTRY_INFO!$K41=2, COUNTRY_INFO!$G41*0.2, COUNTRY_INFO!$G41))), 0))</f>
        <v>0</v>
      </c>
      <c r="F41" s="13">
        <f t="shared" ref="F41:F72" si="9">SUM(D41:E41)</f>
        <v>29561.07</v>
      </c>
      <c r="G41" s="14">
        <f>IF(INTRO!$E$43="Non endémique", "Non requis", COUNTRY_INFO!S41)</f>
        <v>1</v>
      </c>
      <c r="H41" s="98"/>
      <c r="I41" s="13">
        <f>IF($D41=0,0,IF(AND($G41&gt;0,$H41&lt;&gt;"Oui"),D41,IF(AND($G41&gt;0,$H41="Oui"),COUNTRY_INFO!$F41,0)))</f>
        <v>29561.07</v>
      </c>
      <c r="J41" s="3"/>
      <c r="K41" s="48">
        <f t="shared" ref="K41:K72" si="10">IF($G41&gt;0,E41, 0)</f>
        <v>0</v>
      </c>
      <c r="L41" s="48">
        <f t="shared" ref="L41:L72" si="11">IF($J41=0,SUM(I41,K41),SUM(J41,K41))</f>
        <v>29561.07</v>
      </c>
      <c r="M41" s="13">
        <f t="shared" ref="M41:M72" si="12">IF($J41=0,$I41*2.5,$J41*2.5)</f>
        <v>73902.675000000003</v>
      </c>
      <c r="N41" s="48">
        <f t="shared" ref="N41:N72" si="13">$K41*3</f>
        <v>0</v>
      </c>
      <c r="O41" s="13">
        <f t="shared" ref="O41:O72" si="14">M41</f>
        <v>73902.675000000003</v>
      </c>
      <c r="P41" s="24"/>
      <c r="Q41" s="15">
        <f t="shared" ref="Q41:Q72" si="15">IF($O41&gt;$P41,O41-P41,0)</f>
        <v>73902.675000000003</v>
      </c>
      <c r="R41" s="15">
        <f t="shared" ref="R41:R72" si="16">ROUNDUP($O41/1000,0)</f>
        <v>74</v>
      </c>
    </row>
    <row r="42" spans="1:18" x14ac:dyDescent="0.4">
      <c r="A42" s="12" t="str">
        <f>IF(INTRO!$E$43="Non endémique"," ", IF(COUNTRY_INFO!A42=0," ",COUNTRY_INFO!A42))</f>
        <v>Mali</v>
      </c>
      <c r="B42" s="12" t="str">
        <f>IF(INTRO!$E$43="Non endémique"," ", IF(COUNTRY_INFO!B42=0," ",COUNTRY_INFO!B42))</f>
        <v>Segou</v>
      </c>
      <c r="C42" s="12" t="str">
        <f>IF(INTRO!$E$43="Non endémique"," ", IF(COUNTRY_INFO!C42=0," ",COUNTRY_INFO!C42))</f>
        <v>Markala</v>
      </c>
      <c r="D42" s="13">
        <f>IF(INTRO!$E$43="Non endémique", 0, IF(COUNTRY_INFO!$K42&gt;0, IF(COUNTRY_INFO!$K42=4, 0, IF(COUNTRY_INFO!$K42=1, COUNTRY_INFO!$F42*0.33, IF(COUNTRY_INFO!$K42=2, COUNTRY_INFO!$F42*0.5, COUNTRY_INFO!$F42))), 0))</f>
        <v>22375.65</v>
      </c>
      <c r="E42" s="13">
        <f>IF(INTRO!$E$43="Non endémique", 0, IF(COUNTRY_INFO!$K42&gt;0, IF(COUNTRY_INFO!$K42=4, 0, IF(COUNTRY_INFO!$K42=1, 0, IF(COUNTRY_INFO!$K42=2, COUNTRY_INFO!$G42*0.2, COUNTRY_INFO!$G42))), 0))</f>
        <v>0</v>
      </c>
      <c r="F42" s="13">
        <f t="shared" si="9"/>
        <v>22375.65</v>
      </c>
      <c r="G42" s="14">
        <f>IF(INTRO!$E$43="Non endémique", "Non requis", COUNTRY_INFO!S42)</f>
        <v>1</v>
      </c>
      <c r="H42" s="98"/>
      <c r="I42" s="13">
        <f>IF($D42=0,0,IF(AND($G42&gt;0,$H42&lt;&gt;"Oui"),D42,IF(AND($G42&gt;0,$H42="Oui"),COUNTRY_INFO!$F42,0)))</f>
        <v>22375.65</v>
      </c>
      <c r="J42" s="3"/>
      <c r="K42" s="48">
        <f t="shared" si="10"/>
        <v>0</v>
      </c>
      <c r="L42" s="48">
        <f t="shared" si="11"/>
        <v>22375.65</v>
      </c>
      <c r="M42" s="13">
        <f t="shared" si="12"/>
        <v>55939.125</v>
      </c>
      <c r="N42" s="48">
        <f t="shared" si="13"/>
        <v>0</v>
      </c>
      <c r="O42" s="13">
        <f t="shared" si="14"/>
        <v>55939.125</v>
      </c>
      <c r="P42" s="24"/>
      <c r="Q42" s="15">
        <f t="shared" si="15"/>
        <v>55939.125</v>
      </c>
      <c r="R42" s="15">
        <f t="shared" si="16"/>
        <v>56</v>
      </c>
    </row>
    <row r="43" spans="1:18" x14ac:dyDescent="0.4">
      <c r="A43" s="12" t="str">
        <f>IF(INTRO!$E$43="Non endémique"," ", IF(COUNTRY_INFO!A43=0," ",COUNTRY_INFO!A43))</f>
        <v>Mali</v>
      </c>
      <c r="B43" s="12" t="str">
        <f>IF(INTRO!$E$43="Non endémique"," ", IF(COUNTRY_INFO!B43=0," ",COUNTRY_INFO!B43))</f>
        <v>Segou</v>
      </c>
      <c r="C43" s="12" t="str">
        <f>IF(INTRO!$E$43="Non endémique"," ", IF(COUNTRY_INFO!C43=0," ",COUNTRY_INFO!C43))</f>
        <v>Niono</v>
      </c>
      <c r="D43" s="13">
        <f>IF(INTRO!$E$43="Non endémique", 0, IF(COUNTRY_INFO!$K43&gt;0, IF(COUNTRY_INFO!$K43=4, 0, IF(COUNTRY_INFO!$K43=1, COUNTRY_INFO!$F43*0.33, IF(COUNTRY_INFO!$K43=2, COUNTRY_INFO!$F43*0.5, COUNTRY_INFO!$F43))), 0))</f>
        <v>45490.5</v>
      </c>
      <c r="E43" s="13">
        <f>IF(INTRO!$E$43="Non endémique", 0, IF(COUNTRY_INFO!$K43&gt;0, IF(COUNTRY_INFO!$K43=4, 0, IF(COUNTRY_INFO!$K43=1, 0, IF(COUNTRY_INFO!$K43=2, COUNTRY_INFO!$G43*0.2, COUNTRY_INFO!$G43))), 0))</f>
        <v>0</v>
      </c>
      <c r="F43" s="13">
        <f t="shared" si="9"/>
        <v>45490.5</v>
      </c>
      <c r="G43" s="14">
        <f>IF(INTRO!$E$43="Non endémique", "Non requis", COUNTRY_INFO!S43)</f>
        <v>1</v>
      </c>
      <c r="H43" s="98"/>
      <c r="I43" s="13">
        <f>IF($D43=0,0,IF(AND($G43&gt;0,$H43&lt;&gt;"Oui"),D43,IF(AND($G43&gt;0,$H43="Oui"),COUNTRY_INFO!$F43,0)))</f>
        <v>45490.5</v>
      </c>
      <c r="J43" s="3"/>
      <c r="K43" s="48">
        <f t="shared" si="10"/>
        <v>0</v>
      </c>
      <c r="L43" s="48">
        <f t="shared" si="11"/>
        <v>45490.5</v>
      </c>
      <c r="M43" s="13">
        <f t="shared" si="12"/>
        <v>113726.25</v>
      </c>
      <c r="N43" s="48">
        <f t="shared" si="13"/>
        <v>0</v>
      </c>
      <c r="O43" s="13">
        <f t="shared" si="14"/>
        <v>113726.25</v>
      </c>
      <c r="P43" s="24"/>
      <c r="Q43" s="15">
        <f t="shared" si="15"/>
        <v>113726.25</v>
      </c>
      <c r="R43" s="15">
        <f t="shared" si="16"/>
        <v>114</v>
      </c>
    </row>
    <row r="44" spans="1:18" x14ac:dyDescent="0.4">
      <c r="A44" s="12" t="str">
        <f>IF(INTRO!$E$43="Non endémique"," ", IF(COUNTRY_INFO!A44=0," ",COUNTRY_INFO!A44))</f>
        <v>Mali</v>
      </c>
      <c r="B44" s="12" t="str">
        <f>IF(INTRO!$E$43="Non endémique"," ", IF(COUNTRY_INFO!B44=0," ",COUNTRY_INFO!B44))</f>
        <v>Segou</v>
      </c>
      <c r="C44" s="12" t="str">
        <f>IF(INTRO!$E$43="Non endémique"," ", IF(COUNTRY_INFO!C44=0," ",COUNTRY_INFO!C44))</f>
        <v>San</v>
      </c>
      <c r="D44" s="13">
        <f>IF(INTRO!$E$43="Non endémique", 0, IF(COUNTRY_INFO!$K44&gt;0, IF(COUNTRY_INFO!$K44=4, 0, IF(COUNTRY_INFO!$K44=1, COUNTRY_INFO!$F44*0.33, IF(COUNTRY_INFO!$K44=2, COUNTRY_INFO!$F44*0.5, COUNTRY_INFO!$F44))), 0))</f>
        <v>41689.560000000005</v>
      </c>
      <c r="E44" s="13">
        <f>IF(INTRO!$E$43="Non endémique", 0, IF(COUNTRY_INFO!$K44&gt;0, IF(COUNTRY_INFO!$K44=4, 0, IF(COUNTRY_INFO!$K44=1, 0, IF(COUNTRY_INFO!$K44=2, COUNTRY_INFO!$G44*0.2, COUNTRY_INFO!$G44))), 0))</f>
        <v>0</v>
      </c>
      <c r="F44" s="13">
        <f t="shared" si="9"/>
        <v>41689.560000000005</v>
      </c>
      <c r="G44" s="14">
        <f>IF(INTRO!$E$43="Non endémique", "Non requis", COUNTRY_INFO!S44)</f>
        <v>1</v>
      </c>
      <c r="H44" s="98"/>
      <c r="I44" s="13">
        <f>IF($D44=0,0,IF(AND($G44&gt;0,$H44&lt;&gt;"Oui"),D44,IF(AND($G44&gt;0,$H44="Oui"),COUNTRY_INFO!$F44,0)))</f>
        <v>41689.560000000005</v>
      </c>
      <c r="J44" s="3"/>
      <c r="K44" s="48">
        <f t="shared" si="10"/>
        <v>0</v>
      </c>
      <c r="L44" s="48">
        <f t="shared" si="11"/>
        <v>41689.560000000005</v>
      </c>
      <c r="M44" s="13">
        <f t="shared" si="12"/>
        <v>104223.90000000001</v>
      </c>
      <c r="N44" s="48">
        <f t="shared" si="13"/>
        <v>0</v>
      </c>
      <c r="O44" s="13">
        <f t="shared" si="14"/>
        <v>104223.90000000001</v>
      </c>
      <c r="P44" s="24"/>
      <c r="Q44" s="15">
        <f t="shared" si="15"/>
        <v>104223.90000000001</v>
      </c>
      <c r="R44" s="15">
        <f t="shared" si="16"/>
        <v>105</v>
      </c>
    </row>
    <row r="45" spans="1:18" x14ac:dyDescent="0.4">
      <c r="A45" s="12" t="str">
        <f>IF(INTRO!$E$43="Non endémique"," ", IF(COUNTRY_INFO!A45=0," ",COUNTRY_INFO!A45))</f>
        <v>Mali</v>
      </c>
      <c r="B45" s="12" t="str">
        <f>IF(INTRO!$E$43="Non endémique"," ", IF(COUNTRY_INFO!B45=0," ",COUNTRY_INFO!B45))</f>
        <v>Segou</v>
      </c>
      <c r="C45" s="12" t="str">
        <f>IF(INTRO!$E$43="Non endémique"," ", IF(COUNTRY_INFO!C45=0," ",COUNTRY_INFO!C45))</f>
        <v>Ségou</v>
      </c>
      <c r="D45" s="13">
        <f>IF(INTRO!$E$43="Non endémique", 0, IF(COUNTRY_INFO!$K45&gt;0, IF(COUNTRY_INFO!$K45=4, 0, IF(COUNTRY_INFO!$K45=1, COUNTRY_INFO!$F45*0.33, IF(COUNTRY_INFO!$K45=2, COUNTRY_INFO!$F45*0.5, COUNTRY_INFO!$F45))), 0))</f>
        <v>63684.72</v>
      </c>
      <c r="E45" s="13">
        <f>IF(INTRO!$E$43="Non endémique", 0, IF(COUNTRY_INFO!$K45&gt;0, IF(COUNTRY_INFO!$K45=4, 0, IF(COUNTRY_INFO!$K45=1, 0, IF(COUNTRY_INFO!$K45=2, COUNTRY_INFO!$G45*0.2, COUNTRY_INFO!$G45))), 0))</f>
        <v>0</v>
      </c>
      <c r="F45" s="13">
        <f t="shared" si="9"/>
        <v>63684.72</v>
      </c>
      <c r="G45" s="14">
        <f>IF(INTRO!$E$43="Non endémique", "Non requis", COUNTRY_INFO!S45)</f>
        <v>1</v>
      </c>
      <c r="H45" s="98"/>
      <c r="I45" s="13">
        <f>IF($D45=0,0,IF(AND($G45&gt;0,$H45&lt;&gt;"Oui"),D45,IF(AND($G45&gt;0,$H45="Oui"),COUNTRY_INFO!$F45,0)))</f>
        <v>63684.72</v>
      </c>
      <c r="J45" s="3"/>
      <c r="K45" s="48">
        <f t="shared" si="10"/>
        <v>0</v>
      </c>
      <c r="L45" s="48">
        <f t="shared" si="11"/>
        <v>63684.72</v>
      </c>
      <c r="M45" s="13">
        <f t="shared" si="12"/>
        <v>159211.79999999999</v>
      </c>
      <c r="N45" s="48">
        <f t="shared" si="13"/>
        <v>0</v>
      </c>
      <c r="O45" s="13">
        <f t="shared" si="14"/>
        <v>159211.79999999999</v>
      </c>
      <c r="P45" s="24"/>
      <c r="Q45" s="15">
        <f t="shared" si="15"/>
        <v>159211.79999999999</v>
      </c>
      <c r="R45" s="15">
        <f t="shared" si="16"/>
        <v>160</v>
      </c>
    </row>
    <row r="46" spans="1:18" x14ac:dyDescent="0.4">
      <c r="A46" s="12" t="str">
        <f>IF(INTRO!$E$43="Non endémique"," ", IF(COUNTRY_INFO!A46=0," ",COUNTRY_INFO!A46))</f>
        <v>Mali</v>
      </c>
      <c r="B46" s="12" t="str">
        <f>IF(INTRO!$E$43="Non endémique"," ", IF(COUNTRY_INFO!B46=0," ",COUNTRY_INFO!B46))</f>
        <v>Segou</v>
      </c>
      <c r="C46" s="12" t="str">
        <f>IF(INTRO!$E$43="Non endémique"," ", IF(COUNTRY_INFO!C46=0," ",COUNTRY_INFO!C46))</f>
        <v>Tominian</v>
      </c>
      <c r="D46" s="13">
        <f>IF(INTRO!$E$43="Non endémique", 0, IF(COUNTRY_INFO!$K46&gt;0, IF(COUNTRY_INFO!$K46=4, 0, IF(COUNTRY_INFO!$K46=1, COUNTRY_INFO!$F46*0.33, IF(COUNTRY_INFO!$K46=2, COUNTRY_INFO!$F46*0.5, COUNTRY_INFO!$F46))), 0))</f>
        <v>0</v>
      </c>
      <c r="E46" s="13">
        <f>IF(INTRO!$E$43="Non endémique", 0, IF(COUNTRY_INFO!$K46&gt;0, IF(COUNTRY_INFO!$K46=4, 0, IF(COUNTRY_INFO!$K46=1, 0, IF(COUNTRY_INFO!$K46=2, COUNTRY_INFO!$G46*0.2, COUNTRY_INFO!$G46))), 0))</f>
        <v>0</v>
      </c>
      <c r="F46" s="13">
        <f t="shared" si="9"/>
        <v>0</v>
      </c>
      <c r="G46" s="14">
        <f>IF(INTRO!$E$43="Non endémique", "Non requis", COUNTRY_INFO!S46)</f>
        <v>0</v>
      </c>
      <c r="H46" s="98"/>
      <c r="I46" s="13">
        <f>IF($D46=0,0,IF(AND($G46&gt;0,$H46&lt;&gt;"Oui"),D46,IF(AND($G46&gt;0,$H46="Oui"),COUNTRY_INFO!$F46,0)))</f>
        <v>0</v>
      </c>
      <c r="J46" s="3"/>
      <c r="K46" s="48">
        <f t="shared" si="10"/>
        <v>0</v>
      </c>
      <c r="L46" s="48">
        <f t="shared" si="11"/>
        <v>0</v>
      </c>
      <c r="M46" s="13">
        <f t="shared" si="12"/>
        <v>0</v>
      </c>
      <c r="N46" s="48">
        <f t="shared" si="13"/>
        <v>0</v>
      </c>
      <c r="O46" s="13">
        <f t="shared" si="14"/>
        <v>0</v>
      </c>
      <c r="P46" s="24"/>
      <c r="Q46" s="15">
        <f t="shared" si="15"/>
        <v>0</v>
      </c>
      <c r="R46" s="15">
        <f t="shared" si="16"/>
        <v>0</v>
      </c>
    </row>
    <row r="47" spans="1:18" x14ac:dyDescent="0.4">
      <c r="A47" s="12" t="str">
        <f>IF(INTRO!$E$43="Non endémique"," ", IF(COUNTRY_INFO!A47=0," ",COUNTRY_INFO!A47))</f>
        <v>Mali</v>
      </c>
      <c r="B47" s="12" t="str">
        <f>IF(INTRO!$E$43="Non endémique"," ", IF(COUNTRY_INFO!B47=0," ",COUNTRY_INFO!B47))</f>
        <v>Mopti</v>
      </c>
      <c r="C47" s="12" t="str">
        <f>IF(INTRO!$E$43="Non endémique"," ", IF(COUNTRY_INFO!C47=0," ",COUNTRY_INFO!C47))</f>
        <v>Bandiagara</v>
      </c>
      <c r="D47" s="13">
        <f>IF(INTRO!$E$43="Non endémique", 0, IF(COUNTRY_INFO!$K47&gt;0, IF(COUNTRY_INFO!$K47=4, 0, IF(COUNTRY_INFO!$K47=1, COUNTRY_INFO!$F47*0.33, IF(COUNTRY_INFO!$K47=2, COUNTRY_INFO!$F47*0.5, COUNTRY_INFO!$F47))), 0))</f>
        <v>39516.18</v>
      </c>
      <c r="E47" s="13">
        <f>IF(INTRO!$E$43="Non endémique", 0, IF(COUNTRY_INFO!$K47&gt;0, IF(COUNTRY_INFO!$K47=4, 0, IF(COUNTRY_INFO!$K47=1, 0, IF(COUNTRY_INFO!$K47=2, COUNTRY_INFO!$G47*0.2, COUNTRY_INFO!$G47))), 0))</f>
        <v>0</v>
      </c>
      <c r="F47" s="13">
        <f t="shared" si="9"/>
        <v>39516.18</v>
      </c>
      <c r="G47" s="14">
        <f>IF(INTRO!$E$43="Non endémique", "Non requis", COUNTRY_INFO!S47)</f>
        <v>1</v>
      </c>
      <c r="H47" s="98"/>
      <c r="I47" s="13">
        <f>IF($D47=0,0,IF(AND($G47&gt;0,$H47&lt;&gt;"Oui"),D47,IF(AND($G47&gt;0,$H47="Oui"),COUNTRY_INFO!$F47,0)))</f>
        <v>39516.18</v>
      </c>
      <c r="J47" s="3"/>
      <c r="K47" s="48">
        <f t="shared" si="10"/>
        <v>0</v>
      </c>
      <c r="L47" s="48">
        <f t="shared" si="11"/>
        <v>39516.18</v>
      </c>
      <c r="M47" s="13">
        <f t="shared" si="12"/>
        <v>98790.45</v>
      </c>
      <c r="N47" s="48">
        <f t="shared" si="13"/>
        <v>0</v>
      </c>
      <c r="O47" s="13">
        <f t="shared" si="14"/>
        <v>98790.45</v>
      </c>
      <c r="P47" s="24"/>
      <c r="Q47" s="15">
        <f t="shared" si="15"/>
        <v>98790.45</v>
      </c>
      <c r="R47" s="15">
        <f t="shared" si="16"/>
        <v>99</v>
      </c>
    </row>
    <row r="48" spans="1:18" x14ac:dyDescent="0.4">
      <c r="A48" s="12" t="str">
        <f>IF(INTRO!$E$43="Non endémique"," ", IF(COUNTRY_INFO!A48=0," ",COUNTRY_INFO!A48))</f>
        <v>Mali</v>
      </c>
      <c r="B48" s="12" t="str">
        <f>IF(INTRO!$E$43="Non endémique"," ", IF(COUNTRY_INFO!B48=0," ",COUNTRY_INFO!B48))</f>
        <v>Mopti</v>
      </c>
      <c r="C48" s="12" t="str">
        <f>IF(INTRO!$E$43="Non endémique"," ", IF(COUNTRY_INFO!C48=0," ",COUNTRY_INFO!C48))</f>
        <v>Bankass</v>
      </c>
      <c r="D48" s="13">
        <f>IF(INTRO!$E$43="Non endémique", 0, IF(COUNTRY_INFO!$K48&gt;0, IF(COUNTRY_INFO!$K48=4, 0, IF(COUNTRY_INFO!$K48=1, COUNTRY_INFO!$F48*0.33, IF(COUNTRY_INFO!$K48=2, COUNTRY_INFO!$F48*0.5, COUNTRY_INFO!$F48))), 0))</f>
        <v>32740.620000000003</v>
      </c>
      <c r="E48" s="13">
        <f>IF(INTRO!$E$43="Non endémique", 0, IF(COUNTRY_INFO!$K48&gt;0, IF(COUNTRY_INFO!$K48=4, 0, IF(COUNTRY_INFO!$K48=1, 0, IF(COUNTRY_INFO!$K48=2, COUNTRY_INFO!$G48*0.2, COUNTRY_INFO!$G48))), 0))</f>
        <v>0</v>
      </c>
      <c r="F48" s="13">
        <f t="shared" si="9"/>
        <v>32740.620000000003</v>
      </c>
      <c r="G48" s="14">
        <f>IF(INTRO!$E$43="Non endémique", "Non requis", COUNTRY_INFO!S48)</f>
        <v>1</v>
      </c>
      <c r="H48" s="98"/>
      <c r="I48" s="13">
        <f>IF($D48=0,0,IF(AND($G48&gt;0,$H48&lt;&gt;"Oui"),D48,IF(AND($G48&gt;0,$H48="Oui"),COUNTRY_INFO!$F48,0)))</f>
        <v>32740.620000000003</v>
      </c>
      <c r="J48" s="3"/>
      <c r="K48" s="48">
        <f t="shared" si="10"/>
        <v>0</v>
      </c>
      <c r="L48" s="48">
        <f t="shared" si="11"/>
        <v>32740.620000000003</v>
      </c>
      <c r="M48" s="13">
        <f t="shared" si="12"/>
        <v>81851.55</v>
      </c>
      <c r="N48" s="48">
        <f t="shared" si="13"/>
        <v>0</v>
      </c>
      <c r="O48" s="13">
        <f t="shared" si="14"/>
        <v>81851.55</v>
      </c>
      <c r="P48" s="24"/>
      <c r="Q48" s="15">
        <f t="shared" si="15"/>
        <v>81851.55</v>
      </c>
      <c r="R48" s="15">
        <f t="shared" si="16"/>
        <v>82</v>
      </c>
    </row>
    <row r="49" spans="1:18" x14ac:dyDescent="0.4">
      <c r="A49" s="12" t="str">
        <f>IF(INTRO!$E$43="Non endémique"," ", IF(COUNTRY_INFO!A49=0," ",COUNTRY_INFO!A49))</f>
        <v>Mali</v>
      </c>
      <c r="B49" s="12" t="str">
        <f>IF(INTRO!$E$43="Non endémique"," ", IF(COUNTRY_INFO!B49=0," ",COUNTRY_INFO!B49))</f>
        <v>Mopti</v>
      </c>
      <c r="C49" s="12" t="str">
        <f>IF(INTRO!$E$43="Non endémique"," ", IF(COUNTRY_INFO!C49=0," ",COUNTRY_INFO!C49))</f>
        <v>Djenne</v>
      </c>
      <c r="D49" s="13">
        <f>IF(INTRO!$E$43="Non endémique", 0, IF(COUNTRY_INFO!$K49&gt;0, IF(COUNTRY_INFO!$K49=4, 0, IF(COUNTRY_INFO!$K49=1, COUNTRY_INFO!$F49*0.33, IF(COUNTRY_INFO!$K49=2, COUNTRY_INFO!$F49*0.5, COUNTRY_INFO!$F49))), 0))</f>
        <v>25757.82</v>
      </c>
      <c r="E49" s="13">
        <f>IF(INTRO!$E$43="Non endémique", 0, IF(COUNTRY_INFO!$K49&gt;0, IF(COUNTRY_INFO!$K49=4, 0, IF(COUNTRY_INFO!$K49=1, 0, IF(COUNTRY_INFO!$K49=2, COUNTRY_INFO!$G49*0.2, COUNTRY_INFO!$G49))), 0))</f>
        <v>0</v>
      </c>
      <c r="F49" s="13">
        <f t="shared" si="9"/>
        <v>25757.82</v>
      </c>
      <c r="G49" s="14">
        <f>IF(INTRO!$E$43="Non endémique", "Non requis", COUNTRY_INFO!S49)</f>
        <v>1</v>
      </c>
      <c r="H49" s="98"/>
      <c r="I49" s="13">
        <f>IF($D49=0,0,IF(AND($G49&gt;0,$H49&lt;&gt;"Oui"),D49,IF(AND($G49&gt;0,$H49="Oui"),COUNTRY_INFO!$F49,0)))</f>
        <v>25757.82</v>
      </c>
      <c r="J49" s="3"/>
      <c r="K49" s="48">
        <f t="shared" si="10"/>
        <v>0</v>
      </c>
      <c r="L49" s="48">
        <f t="shared" si="11"/>
        <v>25757.82</v>
      </c>
      <c r="M49" s="13">
        <f t="shared" si="12"/>
        <v>64394.55</v>
      </c>
      <c r="N49" s="48">
        <f t="shared" si="13"/>
        <v>0</v>
      </c>
      <c r="O49" s="13">
        <f t="shared" si="14"/>
        <v>64394.55</v>
      </c>
      <c r="P49" s="24"/>
      <c r="Q49" s="15">
        <f t="shared" si="15"/>
        <v>64394.55</v>
      </c>
      <c r="R49" s="15">
        <f t="shared" si="16"/>
        <v>65</v>
      </c>
    </row>
    <row r="50" spans="1:18" x14ac:dyDescent="0.4">
      <c r="A50" s="12" t="str">
        <f>IF(INTRO!$E$43="Non endémique"," ", IF(COUNTRY_INFO!A50=0," ",COUNTRY_INFO!A50))</f>
        <v>Mali</v>
      </c>
      <c r="B50" s="12" t="str">
        <f>IF(INTRO!$E$43="Non endémique"," ", IF(COUNTRY_INFO!B50=0," ",COUNTRY_INFO!B50))</f>
        <v>Mopti</v>
      </c>
      <c r="C50" s="12" t="str">
        <f>IF(INTRO!$E$43="Non endémique"," ", IF(COUNTRY_INFO!C50=0," ",COUNTRY_INFO!C50))</f>
        <v>Douentza</v>
      </c>
      <c r="D50" s="13">
        <f>IF(INTRO!$E$43="Non endémique", 0, IF(COUNTRY_INFO!$K50&gt;0, IF(COUNTRY_INFO!$K50=4, 0, IF(COUNTRY_INFO!$K50=1, COUNTRY_INFO!$F50*0.33, IF(COUNTRY_INFO!$K50=2, COUNTRY_INFO!$F50*0.5, COUNTRY_INFO!$F50))), 0))</f>
        <v>30795.600000000002</v>
      </c>
      <c r="E50" s="13">
        <f>IF(INTRO!$E$43="Non endémique", 0, IF(COUNTRY_INFO!$K50&gt;0, IF(COUNTRY_INFO!$K50=4, 0, IF(COUNTRY_INFO!$K50=1, 0, IF(COUNTRY_INFO!$K50=2, COUNTRY_INFO!$G50*0.2, COUNTRY_INFO!$G50))), 0))</f>
        <v>0</v>
      </c>
      <c r="F50" s="13">
        <f t="shared" si="9"/>
        <v>30795.600000000002</v>
      </c>
      <c r="G50" s="14">
        <f>IF(INTRO!$E$43="Non endémique", "Non requis", COUNTRY_INFO!S50)</f>
        <v>1</v>
      </c>
      <c r="H50" s="98"/>
      <c r="I50" s="13">
        <f>IF($D50=0,0,IF(AND($G50&gt;0,$H50&lt;&gt;"Oui"),D50,IF(AND($G50&gt;0,$H50="Oui"),COUNTRY_INFO!$F50,0)))</f>
        <v>30795.600000000002</v>
      </c>
      <c r="J50" s="3"/>
      <c r="K50" s="48">
        <f t="shared" si="10"/>
        <v>0</v>
      </c>
      <c r="L50" s="48">
        <f t="shared" si="11"/>
        <v>30795.600000000002</v>
      </c>
      <c r="M50" s="13">
        <f t="shared" si="12"/>
        <v>76989</v>
      </c>
      <c r="N50" s="48">
        <f t="shared" si="13"/>
        <v>0</v>
      </c>
      <c r="O50" s="13">
        <f t="shared" si="14"/>
        <v>76989</v>
      </c>
      <c r="P50" s="24"/>
      <c r="Q50" s="15">
        <f t="shared" si="15"/>
        <v>76989</v>
      </c>
      <c r="R50" s="15">
        <f t="shared" si="16"/>
        <v>77</v>
      </c>
    </row>
    <row r="51" spans="1:18" x14ac:dyDescent="0.4">
      <c r="A51" s="12" t="str">
        <f>IF(INTRO!$E$43="Non endémique"," ", IF(COUNTRY_INFO!A51=0," ",COUNTRY_INFO!A51))</f>
        <v>Mali</v>
      </c>
      <c r="B51" s="12" t="str">
        <f>IF(INTRO!$E$43="Non endémique"," ", IF(COUNTRY_INFO!B51=0," ",COUNTRY_INFO!B51))</f>
        <v>Mopti</v>
      </c>
      <c r="C51" s="12" t="str">
        <f>IF(INTRO!$E$43="Non endémique"," ", IF(COUNTRY_INFO!C51=0," ",COUNTRY_INFO!C51))</f>
        <v>Koro</v>
      </c>
      <c r="D51" s="13">
        <f>IF(INTRO!$E$43="Non endémique", 0, IF(COUNTRY_INFO!$K51&gt;0, IF(COUNTRY_INFO!$K51=4, 0, IF(COUNTRY_INFO!$K51=1, COUNTRY_INFO!$F51*0.33, IF(COUNTRY_INFO!$K51=2, COUNTRY_INFO!$F51*0.5, COUNTRY_INFO!$F51))), 0))</f>
        <v>0</v>
      </c>
      <c r="E51" s="13">
        <f>IF(INTRO!$E$43="Non endémique", 0, IF(COUNTRY_INFO!$K51&gt;0, IF(COUNTRY_INFO!$K51=4, 0, IF(COUNTRY_INFO!$K51=1, 0, IF(COUNTRY_INFO!$K51=2, COUNTRY_INFO!$G51*0.2, COUNTRY_INFO!$G51))), 0))</f>
        <v>0</v>
      </c>
      <c r="F51" s="13">
        <f t="shared" si="9"/>
        <v>0</v>
      </c>
      <c r="G51" s="14">
        <f>IF(INTRO!$E$43="Non endémique", "Non requis", COUNTRY_INFO!S51)</f>
        <v>0</v>
      </c>
      <c r="H51" s="98"/>
      <c r="I51" s="13">
        <f>IF($D51=0,0,IF(AND($G51&gt;0,$H51&lt;&gt;"Oui"),D51,IF(AND($G51&gt;0,$H51="Oui"),COUNTRY_INFO!$F51,0)))</f>
        <v>0</v>
      </c>
      <c r="J51" s="3"/>
      <c r="K51" s="48">
        <f t="shared" si="10"/>
        <v>0</v>
      </c>
      <c r="L51" s="48">
        <f t="shared" si="11"/>
        <v>0</v>
      </c>
      <c r="M51" s="13">
        <f t="shared" si="12"/>
        <v>0</v>
      </c>
      <c r="N51" s="48">
        <f t="shared" si="13"/>
        <v>0</v>
      </c>
      <c r="O51" s="13">
        <f t="shared" si="14"/>
        <v>0</v>
      </c>
      <c r="P51" s="24"/>
      <c r="Q51" s="15">
        <f t="shared" si="15"/>
        <v>0</v>
      </c>
      <c r="R51" s="15">
        <f t="shared" si="16"/>
        <v>0</v>
      </c>
    </row>
    <row r="52" spans="1:18" x14ac:dyDescent="0.4">
      <c r="A52" s="12" t="str">
        <f>IF(INTRO!$E$43="Non endémique"," ", IF(COUNTRY_INFO!A52=0," ",COUNTRY_INFO!A52))</f>
        <v>Mali</v>
      </c>
      <c r="B52" s="12" t="str">
        <f>IF(INTRO!$E$43="Non endémique"," ", IF(COUNTRY_INFO!B52=0," ",COUNTRY_INFO!B52))</f>
        <v>Mopti</v>
      </c>
      <c r="C52" s="12" t="str">
        <f>IF(INTRO!$E$43="Non endémique"," ", IF(COUNTRY_INFO!C52=0," ",COUNTRY_INFO!C52))</f>
        <v>Mopti</v>
      </c>
      <c r="D52" s="13">
        <f>IF(INTRO!$E$43="Non endémique", 0, IF(COUNTRY_INFO!$K52&gt;0, IF(COUNTRY_INFO!$K52=4, 0, IF(COUNTRY_INFO!$K52=1, COUNTRY_INFO!$F52*0.33, IF(COUNTRY_INFO!$K52=2, COUNTRY_INFO!$F52*0.5, COUNTRY_INFO!$F52))), 0))</f>
        <v>45798.060000000005</v>
      </c>
      <c r="E52" s="13">
        <f>IF(INTRO!$E$43="Non endémique", 0, IF(COUNTRY_INFO!$K52&gt;0, IF(COUNTRY_INFO!$K52=4, 0, IF(COUNTRY_INFO!$K52=1, 0, IF(COUNTRY_INFO!$K52=2, COUNTRY_INFO!$G52*0.2, COUNTRY_INFO!$G52))), 0))</f>
        <v>0</v>
      </c>
      <c r="F52" s="13">
        <f t="shared" si="9"/>
        <v>45798.060000000005</v>
      </c>
      <c r="G52" s="14">
        <f>IF(INTRO!$E$43="Non endémique", "Non requis", COUNTRY_INFO!S52)</f>
        <v>1</v>
      </c>
      <c r="H52" s="98"/>
      <c r="I52" s="13">
        <f>IF($D52=0,0,IF(AND($G52&gt;0,$H52&lt;&gt;"Oui"),D52,IF(AND($G52&gt;0,$H52="Oui"),COUNTRY_INFO!$F52,0)))</f>
        <v>45798.060000000005</v>
      </c>
      <c r="J52" s="3"/>
      <c r="K52" s="48">
        <f t="shared" si="10"/>
        <v>0</v>
      </c>
      <c r="L52" s="48">
        <f t="shared" si="11"/>
        <v>45798.060000000005</v>
      </c>
      <c r="M52" s="13">
        <f t="shared" si="12"/>
        <v>114495.15000000001</v>
      </c>
      <c r="N52" s="48">
        <f t="shared" si="13"/>
        <v>0</v>
      </c>
      <c r="O52" s="13">
        <f t="shared" si="14"/>
        <v>114495.15000000001</v>
      </c>
      <c r="P52" s="24"/>
      <c r="Q52" s="15">
        <f t="shared" si="15"/>
        <v>114495.15000000001</v>
      </c>
      <c r="R52" s="15">
        <f t="shared" si="16"/>
        <v>115</v>
      </c>
    </row>
    <row r="53" spans="1:18" x14ac:dyDescent="0.4">
      <c r="A53" s="12" t="str">
        <f>IF(INTRO!$E$43="Non endémique"," ", IF(COUNTRY_INFO!A53=0," ",COUNTRY_INFO!A53))</f>
        <v>Mali</v>
      </c>
      <c r="B53" s="12" t="str">
        <f>IF(INTRO!$E$43="Non endémique"," ", IF(COUNTRY_INFO!B53=0," ",COUNTRY_INFO!B53))</f>
        <v>Mopti</v>
      </c>
      <c r="C53" s="12" t="str">
        <f>IF(INTRO!$E$43="Non endémique"," ", IF(COUNTRY_INFO!C53=0," ",COUNTRY_INFO!C53))</f>
        <v>Tenenkou</v>
      </c>
      <c r="D53" s="13">
        <f>IF(INTRO!$E$43="Non endémique", 0, IF(COUNTRY_INFO!$K53&gt;0, IF(COUNTRY_INFO!$K53=4, 0, IF(COUNTRY_INFO!$K53=1, COUNTRY_INFO!$F53*0.33, IF(COUNTRY_INFO!$K53=2, COUNTRY_INFO!$F53*0.5, COUNTRY_INFO!$F53))), 0))</f>
        <v>20336.91</v>
      </c>
      <c r="E53" s="13">
        <f>IF(INTRO!$E$43="Non endémique", 0, IF(COUNTRY_INFO!$K53&gt;0, IF(COUNTRY_INFO!$K53=4, 0, IF(COUNTRY_INFO!$K53=1, 0, IF(COUNTRY_INFO!$K53=2, COUNTRY_INFO!$G53*0.2, COUNTRY_INFO!$G53))), 0))</f>
        <v>0</v>
      </c>
      <c r="F53" s="13">
        <f t="shared" si="9"/>
        <v>20336.91</v>
      </c>
      <c r="G53" s="14">
        <f>IF(INTRO!$E$43="Non endémique", "Non requis", COUNTRY_INFO!S53)</f>
        <v>1</v>
      </c>
      <c r="H53" s="98"/>
      <c r="I53" s="13">
        <f>IF($D53=0,0,IF(AND($G53&gt;0,$H53&lt;&gt;"Oui"),D53,IF(AND($G53&gt;0,$H53="Oui"),COUNTRY_INFO!$F53,0)))</f>
        <v>20336.91</v>
      </c>
      <c r="J53" s="3"/>
      <c r="K53" s="48">
        <f t="shared" si="10"/>
        <v>0</v>
      </c>
      <c r="L53" s="48">
        <f t="shared" si="11"/>
        <v>20336.91</v>
      </c>
      <c r="M53" s="13">
        <f t="shared" si="12"/>
        <v>50842.275000000001</v>
      </c>
      <c r="N53" s="48">
        <f t="shared" si="13"/>
        <v>0</v>
      </c>
      <c r="O53" s="13">
        <f t="shared" si="14"/>
        <v>50842.275000000001</v>
      </c>
      <c r="P53" s="24"/>
      <c r="Q53" s="15">
        <f t="shared" si="15"/>
        <v>50842.275000000001</v>
      </c>
      <c r="R53" s="15">
        <f t="shared" si="16"/>
        <v>51</v>
      </c>
    </row>
    <row r="54" spans="1:18" x14ac:dyDescent="0.4">
      <c r="A54" s="12" t="str">
        <f>IF(INTRO!$E$43="Non endémique"," ", IF(COUNTRY_INFO!A54=0," ",COUNTRY_INFO!A54))</f>
        <v>Mali</v>
      </c>
      <c r="B54" s="12" t="str">
        <f>IF(INTRO!$E$43="Non endémique"," ", IF(COUNTRY_INFO!B54=0," ",COUNTRY_INFO!B54))</f>
        <v>Mopti</v>
      </c>
      <c r="C54" s="12" t="str">
        <f>IF(INTRO!$E$43="Non endémique"," ", IF(COUNTRY_INFO!C54=0," ",COUNTRY_INFO!C54))</f>
        <v>Youwarou</v>
      </c>
      <c r="D54" s="13">
        <f>IF(INTRO!$E$43="Non endémique", 0, IF(COUNTRY_INFO!$K54&gt;0, IF(COUNTRY_INFO!$K54=4, 0, IF(COUNTRY_INFO!$K54=1, COUNTRY_INFO!$F54*0.33, IF(COUNTRY_INFO!$K54=2, COUNTRY_INFO!$F54*0.5, COUNTRY_INFO!$F54))), 0))</f>
        <v>13268.970000000001</v>
      </c>
      <c r="E54" s="13">
        <f>IF(INTRO!$E$43="Non endémique", 0, IF(COUNTRY_INFO!$K54&gt;0, IF(COUNTRY_INFO!$K54=4, 0, IF(COUNTRY_INFO!$K54=1, 0, IF(COUNTRY_INFO!$K54=2, COUNTRY_INFO!$G54*0.2, COUNTRY_INFO!$G54))), 0))</f>
        <v>0</v>
      </c>
      <c r="F54" s="13">
        <f t="shared" si="9"/>
        <v>13268.970000000001</v>
      </c>
      <c r="G54" s="14">
        <f>IF(INTRO!$E$43="Non endémique", "Non requis", COUNTRY_INFO!S54)</f>
        <v>1</v>
      </c>
      <c r="H54" s="98"/>
      <c r="I54" s="13">
        <f>IF($D54=0,0,IF(AND($G54&gt;0,$H54&lt;&gt;"Oui"),D54,IF(AND($G54&gt;0,$H54="Oui"),COUNTRY_INFO!$F54,0)))</f>
        <v>13268.970000000001</v>
      </c>
      <c r="J54" s="3"/>
      <c r="K54" s="48">
        <f t="shared" si="10"/>
        <v>0</v>
      </c>
      <c r="L54" s="48">
        <f t="shared" si="11"/>
        <v>13268.970000000001</v>
      </c>
      <c r="M54" s="13">
        <f t="shared" si="12"/>
        <v>33172.425000000003</v>
      </c>
      <c r="N54" s="48">
        <f t="shared" si="13"/>
        <v>0</v>
      </c>
      <c r="O54" s="13">
        <f t="shared" si="14"/>
        <v>33172.425000000003</v>
      </c>
      <c r="P54" s="24"/>
      <c r="Q54" s="15">
        <f t="shared" si="15"/>
        <v>33172.425000000003</v>
      </c>
      <c r="R54" s="15">
        <f t="shared" si="16"/>
        <v>34</v>
      </c>
    </row>
    <row r="55" spans="1:18" x14ac:dyDescent="0.4">
      <c r="A55" s="12" t="str">
        <f>IF(INTRO!$E$43="Non endémique"," ", IF(COUNTRY_INFO!A55=0," ",COUNTRY_INFO!A55))</f>
        <v>Mali</v>
      </c>
      <c r="B55" s="12" t="str">
        <f>IF(INTRO!$E$43="Non endémique"," ", IF(COUNTRY_INFO!B55=0," ",COUNTRY_INFO!B55))</f>
        <v>Tombouctou</v>
      </c>
      <c r="C55" s="12" t="str">
        <f>IF(INTRO!$E$43="Non endémique"," ", IF(COUNTRY_INFO!C55=0," ",COUNTRY_INFO!C55))</f>
        <v>Diré</v>
      </c>
      <c r="D55" s="13">
        <f>IF(INTRO!$E$43="Non endémique", 0, IF(COUNTRY_INFO!$K55&gt;0, IF(COUNTRY_INFO!$K55=4, 0, IF(COUNTRY_INFO!$K55=1, COUNTRY_INFO!$F55*0.33, IF(COUNTRY_INFO!$K55=2, COUNTRY_INFO!$F55*0.5, COUNTRY_INFO!$F55))), 0))</f>
        <v>13709.85</v>
      </c>
      <c r="E55" s="13">
        <f>IF(INTRO!$E$43="Non endémique", 0, IF(COUNTRY_INFO!$K55&gt;0, IF(COUNTRY_INFO!$K55=4, 0, IF(COUNTRY_INFO!$K55=1, 0, IF(COUNTRY_INFO!$K55=2, COUNTRY_INFO!$G55*0.2, COUNTRY_INFO!$G55))), 0))</f>
        <v>0</v>
      </c>
      <c r="F55" s="13">
        <f t="shared" si="9"/>
        <v>13709.85</v>
      </c>
      <c r="G55" s="14">
        <f>IF(INTRO!$E$43="Non endémique", "Non requis", COUNTRY_INFO!S55)</f>
        <v>1</v>
      </c>
      <c r="H55" s="98"/>
      <c r="I55" s="13">
        <f>IF($D55=0,0,IF(AND($G55&gt;0,$H55&lt;&gt;"Oui"),D55,IF(AND($G55&gt;0,$H55="Oui"),COUNTRY_INFO!$F55,0)))</f>
        <v>13709.85</v>
      </c>
      <c r="J55" s="3"/>
      <c r="K55" s="48">
        <f t="shared" si="10"/>
        <v>0</v>
      </c>
      <c r="L55" s="48">
        <f t="shared" si="11"/>
        <v>13709.85</v>
      </c>
      <c r="M55" s="13">
        <f t="shared" si="12"/>
        <v>34274.625</v>
      </c>
      <c r="N55" s="48">
        <f t="shared" si="13"/>
        <v>0</v>
      </c>
      <c r="O55" s="13">
        <f t="shared" si="14"/>
        <v>34274.625</v>
      </c>
      <c r="P55" s="24"/>
      <c r="Q55" s="15">
        <f t="shared" si="15"/>
        <v>34274.625</v>
      </c>
      <c r="R55" s="15">
        <f t="shared" si="16"/>
        <v>35</v>
      </c>
    </row>
    <row r="56" spans="1:18" x14ac:dyDescent="0.4">
      <c r="A56" s="12" t="str">
        <f>IF(INTRO!$E$43="Non endémique"," ", IF(COUNTRY_INFO!A56=0," ",COUNTRY_INFO!A56))</f>
        <v>Mali</v>
      </c>
      <c r="B56" s="12" t="str">
        <f>IF(INTRO!$E$43="Non endémique"," ", IF(COUNTRY_INFO!B56=0," ",COUNTRY_INFO!B56))</f>
        <v>Tombouctou</v>
      </c>
      <c r="C56" s="12" t="str">
        <f>IF(INTRO!$E$43="Non endémique"," ", IF(COUNTRY_INFO!C56=0," ",COUNTRY_INFO!C56))</f>
        <v>Goundam</v>
      </c>
      <c r="D56" s="13">
        <f>IF(INTRO!$E$43="Non endémique", 0, IF(COUNTRY_INFO!$K56&gt;0, IF(COUNTRY_INFO!$K56=4, 0, IF(COUNTRY_INFO!$K56=1, COUNTRY_INFO!$F56*0.33, IF(COUNTRY_INFO!$K56=2, COUNTRY_INFO!$F56*0.5, COUNTRY_INFO!$F56))), 0))</f>
        <v>18629.490000000002</v>
      </c>
      <c r="E56" s="13">
        <f>IF(INTRO!$E$43="Non endémique", 0, IF(COUNTRY_INFO!$K56&gt;0, IF(COUNTRY_INFO!$K56=4, 0, IF(COUNTRY_INFO!$K56=1, 0, IF(COUNTRY_INFO!$K56=2, COUNTRY_INFO!$G56*0.2, COUNTRY_INFO!$G56))), 0))</f>
        <v>0</v>
      </c>
      <c r="F56" s="13">
        <f t="shared" si="9"/>
        <v>18629.490000000002</v>
      </c>
      <c r="G56" s="14">
        <f>IF(INTRO!$E$43="Non endémique", "Non requis", COUNTRY_INFO!S56)</f>
        <v>1</v>
      </c>
      <c r="H56" s="98"/>
      <c r="I56" s="13">
        <f>IF($D56=0,0,IF(AND($G56&gt;0,$H56&lt;&gt;"Oui"),D56,IF(AND($G56&gt;0,$H56="Oui"),COUNTRY_INFO!$F56,0)))</f>
        <v>18629.490000000002</v>
      </c>
      <c r="J56" s="3"/>
      <c r="K56" s="48">
        <f t="shared" si="10"/>
        <v>0</v>
      </c>
      <c r="L56" s="48">
        <f t="shared" si="11"/>
        <v>18629.490000000002</v>
      </c>
      <c r="M56" s="13">
        <f t="shared" si="12"/>
        <v>46573.725000000006</v>
      </c>
      <c r="N56" s="48">
        <f t="shared" si="13"/>
        <v>0</v>
      </c>
      <c r="O56" s="13">
        <f t="shared" si="14"/>
        <v>46573.725000000006</v>
      </c>
      <c r="P56" s="24"/>
      <c r="Q56" s="15">
        <f t="shared" si="15"/>
        <v>46573.725000000006</v>
      </c>
      <c r="R56" s="15">
        <f t="shared" si="16"/>
        <v>47</v>
      </c>
    </row>
    <row r="57" spans="1:18" x14ac:dyDescent="0.4">
      <c r="A57" s="12" t="str">
        <f>IF(INTRO!$E$43="Non endémique"," ", IF(COUNTRY_INFO!A57=0," ",COUNTRY_INFO!A57))</f>
        <v>Mali</v>
      </c>
      <c r="B57" s="12" t="str">
        <f>IF(INTRO!$E$43="Non endémique"," ", IF(COUNTRY_INFO!B57=0," ",COUNTRY_INFO!B57))</f>
        <v>Tombouctou</v>
      </c>
      <c r="C57" s="12" t="str">
        <f>IF(INTRO!$E$43="Non endémique"," ", IF(COUNTRY_INFO!C57=0," ",COUNTRY_INFO!C57))</f>
        <v>Gourma-Rharous</v>
      </c>
      <c r="D57" s="13">
        <f>IF(INTRO!$E$43="Non endémique", 0, IF(COUNTRY_INFO!$K57&gt;0, IF(COUNTRY_INFO!$K57=4, 0, IF(COUNTRY_INFO!$K57=1, COUNTRY_INFO!$F57*0.33, IF(COUNTRY_INFO!$K57=2, COUNTRY_INFO!$F57*0.5, COUNTRY_INFO!$F57))), 0))</f>
        <v>13806.210000000001</v>
      </c>
      <c r="E57" s="13">
        <f>IF(INTRO!$E$43="Non endémique", 0, IF(COUNTRY_INFO!$K57&gt;0, IF(COUNTRY_INFO!$K57=4, 0, IF(COUNTRY_INFO!$K57=1, 0, IF(COUNTRY_INFO!$K57=2, COUNTRY_INFO!$G57*0.2, COUNTRY_INFO!$G57))), 0))</f>
        <v>0</v>
      </c>
      <c r="F57" s="13">
        <f t="shared" si="9"/>
        <v>13806.210000000001</v>
      </c>
      <c r="G57" s="14">
        <f>IF(INTRO!$E$43="Non endémique", "Non requis", COUNTRY_INFO!S57)</f>
        <v>1</v>
      </c>
      <c r="H57" s="98"/>
      <c r="I57" s="13">
        <f>IF($D57=0,0,IF(AND($G57&gt;0,$H57&lt;&gt;"Oui"),D57,IF(AND($G57&gt;0,$H57="Oui"),COUNTRY_INFO!$F57,0)))</f>
        <v>13806.210000000001</v>
      </c>
      <c r="J57" s="3"/>
      <c r="K57" s="48">
        <f t="shared" si="10"/>
        <v>0</v>
      </c>
      <c r="L57" s="48">
        <f t="shared" si="11"/>
        <v>13806.210000000001</v>
      </c>
      <c r="M57" s="13">
        <f t="shared" si="12"/>
        <v>34515.525000000001</v>
      </c>
      <c r="N57" s="48">
        <f t="shared" si="13"/>
        <v>0</v>
      </c>
      <c r="O57" s="13">
        <f t="shared" si="14"/>
        <v>34515.525000000001</v>
      </c>
      <c r="P57" s="24"/>
      <c r="Q57" s="15">
        <f t="shared" si="15"/>
        <v>34515.525000000001</v>
      </c>
      <c r="R57" s="15">
        <f t="shared" si="16"/>
        <v>35</v>
      </c>
    </row>
    <row r="58" spans="1:18" x14ac:dyDescent="0.4">
      <c r="A58" s="12" t="str">
        <f>IF(INTRO!$E$43="Non endémique"," ", IF(COUNTRY_INFO!A58=0," ",COUNTRY_INFO!A58))</f>
        <v>Mali</v>
      </c>
      <c r="B58" s="12" t="str">
        <f>IF(INTRO!$E$43="Non endémique"," ", IF(COUNTRY_INFO!B58=0," ",COUNTRY_INFO!B58))</f>
        <v>Tombouctou</v>
      </c>
      <c r="C58" s="12" t="str">
        <f>IF(INTRO!$E$43="Non endémique"," ", IF(COUNTRY_INFO!C58=0," ",COUNTRY_INFO!C58))</f>
        <v>Niafunké</v>
      </c>
      <c r="D58" s="13">
        <f>IF(INTRO!$E$43="Non endémique", 0, IF(COUNTRY_INFO!$K58&gt;0, IF(COUNTRY_INFO!$K58=4, 0, IF(COUNTRY_INFO!$K58=1, COUNTRY_INFO!$F58*0.33, IF(COUNTRY_INFO!$K58=2, COUNTRY_INFO!$F58*0.5, COUNTRY_INFO!$F58))), 0))</f>
        <v>22841.940000000002</v>
      </c>
      <c r="E58" s="13">
        <f>IF(INTRO!$E$43="Non endémique", 0, IF(COUNTRY_INFO!$K58&gt;0, IF(COUNTRY_INFO!$K58=4, 0, IF(COUNTRY_INFO!$K58=1, 0, IF(COUNTRY_INFO!$K58=2, COUNTRY_INFO!$G58*0.2, COUNTRY_INFO!$G58))), 0))</f>
        <v>0</v>
      </c>
      <c r="F58" s="13">
        <f t="shared" si="9"/>
        <v>22841.940000000002</v>
      </c>
      <c r="G58" s="14">
        <f>IF(INTRO!$E$43="Non endémique", "Non requis", COUNTRY_INFO!S58)</f>
        <v>1</v>
      </c>
      <c r="H58" s="98"/>
      <c r="I58" s="13">
        <f>IF($D58=0,0,IF(AND($G58&gt;0,$H58&lt;&gt;"Oui"),D58,IF(AND($G58&gt;0,$H58="Oui"),COUNTRY_INFO!$F58,0)))</f>
        <v>22841.940000000002</v>
      </c>
      <c r="J58" s="3"/>
      <c r="K58" s="48">
        <f t="shared" si="10"/>
        <v>0</v>
      </c>
      <c r="L58" s="48">
        <f t="shared" si="11"/>
        <v>22841.940000000002</v>
      </c>
      <c r="M58" s="13">
        <f t="shared" si="12"/>
        <v>57104.850000000006</v>
      </c>
      <c r="N58" s="48">
        <f t="shared" si="13"/>
        <v>0</v>
      </c>
      <c r="O58" s="13">
        <f t="shared" si="14"/>
        <v>57104.850000000006</v>
      </c>
      <c r="P58" s="24"/>
      <c r="Q58" s="15">
        <f t="shared" si="15"/>
        <v>57104.850000000006</v>
      </c>
      <c r="R58" s="15">
        <f t="shared" si="16"/>
        <v>58</v>
      </c>
    </row>
    <row r="59" spans="1:18" x14ac:dyDescent="0.4">
      <c r="A59" s="12" t="str">
        <f>IF(INTRO!$E$43="Non endémique"," ", IF(COUNTRY_INFO!A59=0," ",COUNTRY_INFO!A59))</f>
        <v>Mali</v>
      </c>
      <c r="B59" s="12" t="str">
        <f>IF(INTRO!$E$43="Non endémique"," ", IF(COUNTRY_INFO!B59=0," ",COUNTRY_INFO!B59))</f>
        <v>Tombouctou</v>
      </c>
      <c r="C59" s="12" t="str">
        <f>IF(INTRO!$E$43="Non endémique"," ", IF(COUNTRY_INFO!C59=0," ",COUNTRY_INFO!C59))</f>
        <v>Tombouctou</v>
      </c>
      <c r="D59" s="13">
        <f>IF(INTRO!$E$43="Non endémique", 0, IF(COUNTRY_INFO!$K59&gt;0, IF(COUNTRY_INFO!$K59=4, 0, IF(COUNTRY_INFO!$K59=1, COUNTRY_INFO!$F59*0.33, IF(COUNTRY_INFO!$K59=2, COUNTRY_INFO!$F59*0.5, COUNTRY_INFO!$F59))), 0))</f>
        <v>15437.400000000001</v>
      </c>
      <c r="E59" s="13">
        <f>IF(INTRO!$E$43="Non endémique", 0, IF(COUNTRY_INFO!$K59&gt;0, IF(COUNTRY_INFO!$K59=4, 0, IF(COUNTRY_INFO!$K59=1, 0, IF(COUNTRY_INFO!$K59=2, COUNTRY_INFO!$G59*0.2, COUNTRY_INFO!$G59))), 0))</f>
        <v>0</v>
      </c>
      <c r="F59" s="13">
        <f t="shared" si="9"/>
        <v>15437.400000000001</v>
      </c>
      <c r="G59" s="14">
        <f>IF(INTRO!$E$43="Non endémique", "Non requis", COUNTRY_INFO!S59)</f>
        <v>1</v>
      </c>
      <c r="H59" s="98"/>
      <c r="I59" s="13">
        <f>IF($D59=0,0,IF(AND($G59&gt;0,$H59&lt;&gt;"Oui"),D59,IF(AND($G59&gt;0,$H59="Oui"),COUNTRY_INFO!$F59,0)))</f>
        <v>15437.400000000001</v>
      </c>
      <c r="J59" s="3"/>
      <c r="K59" s="48">
        <f t="shared" si="10"/>
        <v>0</v>
      </c>
      <c r="L59" s="48">
        <f t="shared" si="11"/>
        <v>15437.400000000001</v>
      </c>
      <c r="M59" s="13">
        <f t="shared" si="12"/>
        <v>38593.5</v>
      </c>
      <c r="N59" s="48">
        <f t="shared" si="13"/>
        <v>0</v>
      </c>
      <c r="O59" s="13">
        <f t="shared" si="14"/>
        <v>38593.5</v>
      </c>
      <c r="P59" s="24"/>
      <c r="Q59" s="15">
        <f t="shared" si="15"/>
        <v>38593.5</v>
      </c>
      <c r="R59" s="15">
        <f t="shared" si="16"/>
        <v>39</v>
      </c>
    </row>
    <row r="60" spans="1:18" x14ac:dyDescent="0.4">
      <c r="A60" s="12" t="str">
        <f>IF(INTRO!$E$43="Non endémique"," ", IF(COUNTRY_INFO!A60=0," ",COUNTRY_INFO!A60))</f>
        <v>Mali</v>
      </c>
      <c r="B60" s="12" t="str">
        <f>IF(INTRO!$E$43="Non endémique"," ", IF(COUNTRY_INFO!B60=0," ",COUNTRY_INFO!B60))</f>
        <v>Gao</v>
      </c>
      <c r="C60" s="12" t="str">
        <f>IF(INTRO!$E$43="Non endémique"," ", IF(COUNTRY_INFO!C60=0," ",COUNTRY_INFO!C60))</f>
        <v>Ansongo</v>
      </c>
      <c r="D60" s="13">
        <f>IF(INTRO!$E$43="Non endémique", 0, IF(COUNTRY_INFO!$K60&gt;0, IF(COUNTRY_INFO!$K60=4, 0, IF(COUNTRY_INFO!$K60=1, COUNTRY_INFO!$F60*0.33, IF(COUNTRY_INFO!$K60=2, COUNTRY_INFO!$F60*0.5, COUNTRY_INFO!$F60))), 0))</f>
        <v>16397.37</v>
      </c>
      <c r="E60" s="13">
        <f>IF(INTRO!$E$43="Non endémique", 0, IF(COUNTRY_INFO!$K60&gt;0, IF(COUNTRY_INFO!$K60=4, 0, IF(COUNTRY_INFO!$K60=1, 0, IF(COUNTRY_INFO!$K60=2, COUNTRY_INFO!$G60*0.2, COUNTRY_INFO!$G60))), 0))</f>
        <v>0</v>
      </c>
      <c r="F60" s="13">
        <f t="shared" si="9"/>
        <v>16397.37</v>
      </c>
      <c r="G60" s="14">
        <f>IF(INTRO!$E$43="Non endémique", "Non requis", COUNTRY_INFO!S60)</f>
        <v>1</v>
      </c>
      <c r="H60" s="98"/>
      <c r="I60" s="13">
        <f>IF($D60=0,0,IF(AND($G60&gt;0,$H60&lt;&gt;"Oui"),D60,IF(AND($G60&gt;0,$H60="Oui"),COUNTRY_INFO!$F60,0)))</f>
        <v>16397.37</v>
      </c>
      <c r="J60" s="3"/>
      <c r="K60" s="48">
        <f t="shared" si="10"/>
        <v>0</v>
      </c>
      <c r="L60" s="48">
        <f t="shared" si="11"/>
        <v>16397.37</v>
      </c>
      <c r="M60" s="13">
        <f t="shared" si="12"/>
        <v>40993.424999999996</v>
      </c>
      <c r="N60" s="48">
        <f t="shared" si="13"/>
        <v>0</v>
      </c>
      <c r="O60" s="13">
        <f t="shared" si="14"/>
        <v>40993.424999999996</v>
      </c>
      <c r="P60" s="24"/>
      <c r="Q60" s="15">
        <f t="shared" si="15"/>
        <v>40993.424999999996</v>
      </c>
      <c r="R60" s="15">
        <f t="shared" si="16"/>
        <v>41</v>
      </c>
    </row>
    <row r="61" spans="1:18" x14ac:dyDescent="0.4">
      <c r="A61" s="12" t="str">
        <f>IF(INTRO!$E$43="Non endémique"," ", IF(COUNTRY_INFO!A61=0," ",COUNTRY_INFO!A61))</f>
        <v>Mali</v>
      </c>
      <c r="B61" s="12" t="str">
        <f>IF(INTRO!$E$43="Non endémique"," ", IF(COUNTRY_INFO!B61=0," ",COUNTRY_INFO!B61))</f>
        <v>Gao</v>
      </c>
      <c r="C61" s="12" t="str">
        <f>IF(INTRO!$E$43="Non endémique"," ", IF(COUNTRY_INFO!C61=0," ",COUNTRY_INFO!C61))</f>
        <v>Bourem</v>
      </c>
      <c r="D61" s="13">
        <f>IF(INTRO!$E$43="Non endémique", 0, IF(COUNTRY_INFO!$K61&gt;0, IF(COUNTRY_INFO!$K61=4, 0, IF(COUNTRY_INFO!$K61=1, COUNTRY_INFO!$F61*0.33, IF(COUNTRY_INFO!$K61=2, COUNTRY_INFO!$F61*0.5, COUNTRY_INFO!$F61))), 0))</f>
        <v>13277.220000000001</v>
      </c>
      <c r="E61" s="13">
        <f>IF(INTRO!$E$43="Non endémique", 0, IF(COUNTRY_INFO!$K61&gt;0, IF(COUNTRY_INFO!$K61=4, 0, IF(COUNTRY_INFO!$K61=1, 0, IF(COUNTRY_INFO!$K61=2, COUNTRY_INFO!$G61*0.2, COUNTRY_INFO!$G61))), 0))</f>
        <v>0</v>
      </c>
      <c r="F61" s="13">
        <f t="shared" si="9"/>
        <v>13277.220000000001</v>
      </c>
      <c r="G61" s="14">
        <f>IF(INTRO!$E$43="Non endémique", "Non requis", COUNTRY_INFO!S61)</f>
        <v>1</v>
      </c>
      <c r="H61" s="98"/>
      <c r="I61" s="13">
        <f>IF($D61=0,0,IF(AND($G61&gt;0,$H61&lt;&gt;"Oui"),D61,IF(AND($G61&gt;0,$H61="Oui"),COUNTRY_INFO!$F61,0)))</f>
        <v>13277.220000000001</v>
      </c>
      <c r="J61" s="3"/>
      <c r="K61" s="48">
        <f t="shared" si="10"/>
        <v>0</v>
      </c>
      <c r="L61" s="48">
        <f t="shared" si="11"/>
        <v>13277.220000000001</v>
      </c>
      <c r="M61" s="13">
        <f t="shared" si="12"/>
        <v>33193.050000000003</v>
      </c>
      <c r="N61" s="48">
        <f t="shared" si="13"/>
        <v>0</v>
      </c>
      <c r="O61" s="13">
        <f t="shared" si="14"/>
        <v>33193.050000000003</v>
      </c>
      <c r="P61" s="24"/>
      <c r="Q61" s="15">
        <f t="shared" si="15"/>
        <v>33193.050000000003</v>
      </c>
      <c r="R61" s="15">
        <f t="shared" si="16"/>
        <v>34</v>
      </c>
    </row>
    <row r="62" spans="1:18" x14ac:dyDescent="0.4">
      <c r="A62" s="12" t="str">
        <f>IF(INTRO!$E$43="Non endémique"," ", IF(COUNTRY_INFO!A62=0," ",COUNTRY_INFO!A62))</f>
        <v>Mali</v>
      </c>
      <c r="B62" s="12" t="str">
        <f>IF(INTRO!$E$43="Non endémique"," ", IF(COUNTRY_INFO!B62=0," ",COUNTRY_INFO!B62))</f>
        <v>Gao</v>
      </c>
      <c r="C62" s="12" t="str">
        <f>IF(INTRO!$E$43="Non endémique"," ", IF(COUNTRY_INFO!C62=0," ",COUNTRY_INFO!C62))</f>
        <v>Gao</v>
      </c>
      <c r="D62" s="13">
        <f>IF(INTRO!$E$43="Non endémique", 0, IF(COUNTRY_INFO!$K62&gt;0, IF(COUNTRY_INFO!$K62=4, 0, IF(COUNTRY_INFO!$K62=1, COUNTRY_INFO!$F62*0.33, IF(COUNTRY_INFO!$K62=2, COUNTRY_INFO!$F62*0.5, COUNTRY_INFO!$F62))), 0))</f>
        <v>29748.84</v>
      </c>
      <c r="E62" s="13">
        <f>IF(INTRO!$E$43="Non endémique", 0, IF(COUNTRY_INFO!$K62&gt;0, IF(COUNTRY_INFO!$K62=4, 0, IF(COUNTRY_INFO!$K62=1, 0, IF(COUNTRY_INFO!$K62=2, COUNTRY_INFO!$G62*0.2, COUNTRY_INFO!$G62))), 0))</f>
        <v>0</v>
      </c>
      <c r="F62" s="13">
        <f t="shared" si="9"/>
        <v>29748.84</v>
      </c>
      <c r="G62" s="14">
        <f>IF(INTRO!$E$43="Non endémique", "Non requis", COUNTRY_INFO!S62)</f>
        <v>1</v>
      </c>
      <c r="H62" s="98"/>
      <c r="I62" s="13">
        <f>IF($D62=0,0,IF(AND($G62&gt;0,$H62&lt;&gt;"Oui"),D62,IF(AND($G62&gt;0,$H62="Oui"),COUNTRY_INFO!$F62,0)))</f>
        <v>29748.84</v>
      </c>
      <c r="J62" s="3"/>
      <c r="K62" s="48">
        <f t="shared" si="10"/>
        <v>0</v>
      </c>
      <c r="L62" s="48">
        <f t="shared" si="11"/>
        <v>29748.84</v>
      </c>
      <c r="M62" s="13">
        <f t="shared" si="12"/>
        <v>74372.100000000006</v>
      </c>
      <c r="N62" s="48">
        <f t="shared" si="13"/>
        <v>0</v>
      </c>
      <c r="O62" s="13">
        <f t="shared" si="14"/>
        <v>74372.100000000006</v>
      </c>
      <c r="P62" s="24"/>
      <c r="Q62" s="15">
        <f t="shared" si="15"/>
        <v>74372.100000000006</v>
      </c>
      <c r="R62" s="15">
        <f t="shared" si="16"/>
        <v>75</v>
      </c>
    </row>
    <row r="63" spans="1:18" x14ac:dyDescent="0.4">
      <c r="A63" s="12" t="str">
        <f>IF(INTRO!$E$43="Non endémique"," ", IF(COUNTRY_INFO!A63=0," ",COUNTRY_INFO!A63))</f>
        <v>Mali</v>
      </c>
      <c r="B63" s="12" t="str">
        <f>IF(INTRO!$E$43="Non endémique"," ", IF(COUNTRY_INFO!B63=0," ",COUNTRY_INFO!B63))</f>
        <v>Gao</v>
      </c>
      <c r="C63" s="12" t="str">
        <f>IF(INTRO!$E$43="Non endémique"," ", IF(COUNTRY_INFO!C63=0," ",COUNTRY_INFO!C63))</f>
        <v>Almoustrat</v>
      </c>
      <c r="D63" s="13">
        <f>IF(INTRO!$E$43="Non endémique", 0, IF(COUNTRY_INFO!$K63&gt;0, IF(COUNTRY_INFO!$K63=4, 0, IF(COUNTRY_INFO!$K63=1, COUNTRY_INFO!$F63*0.33, IF(COUNTRY_INFO!$K63=2, COUNTRY_INFO!$F63*0.5, COUNTRY_INFO!$F63))), 0))</f>
        <v>1104.8400000000001</v>
      </c>
      <c r="E63" s="13">
        <f>IF(INTRO!$E$43="Non endémique", 0, IF(COUNTRY_INFO!$K63&gt;0, IF(COUNTRY_INFO!$K63=4, 0, IF(COUNTRY_INFO!$K63=1, 0, IF(COUNTRY_INFO!$K63=2, COUNTRY_INFO!$G63*0.2, COUNTRY_INFO!$G63))), 0))</f>
        <v>0</v>
      </c>
      <c r="F63" s="13">
        <f t="shared" si="9"/>
        <v>1104.8400000000001</v>
      </c>
      <c r="G63" s="14">
        <f>IF(INTRO!$E$43="Non endémique", "Non requis", COUNTRY_INFO!S63)</f>
        <v>0</v>
      </c>
      <c r="H63" s="98"/>
      <c r="I63" s="13">
        <f>IF($D63=0,0,IF(AND($G63&gt;0,$H63&lt;&gt;"Oui"),D63,IF(AND($G63&gt;0,$H63="Oui"),COUNTRY_INFO!$F63,0)))</f>
        <v>0</v>
      </c>
      <c r="J63" s="3"/>
      <c r="K63" s="48">
        <f t="shared" si="10"/>
        <v>0</v>
      </c>
      <c r="L63" s="48">
        <f t="shared" si="11"/>
        <v>0</v>
      </c>
      <c r="M63" s="13">
        <f t="shared" si="12"/>
        <v>0</v>
      </c>
      <c r="N63" s="48">
        <f t="shared" si="13"/>
        <v>0</v>
      </c>
      <c r="O63" s="13">
        <f t="shared" si="14"/>
        <v>0</v>
      </c>
      <c r="P63" s="24"/>
      <c r="Q63" s="15">
        <f t="shared" si="15"/>
        <v>0</v>
      </c>
      <c r="R63" s="15">
        <f t="shared" si="16"/>
        <v>0</v>
      </c>
    </row>
    <row r="64" spans="1:18" x14ac:dyDescent="0.4">
      <c r="A64" s="12" t="str">
        <f>IF(INTRO!$E$43="Non endémique"," ", IF(COUNTRY_INFO!A64=0," ",COUNTRY_INFO!A64))</f>
        <v>Mali</v>
      </c>
      <c r="B64" s="12" t="str">
        <f>IF(INTRO!$E$43="Non endémique"," ", IF(COUNTRY_INFO!B64=0," ",COUNTRY_INFO!B64))</f>
        <v>Kidal</v>
      </c>
      <c r="C64" s="12" t="str">
        <f>IF(INTRO!$E$43="Non endémique"," ", IF(COUNTRY_INFO!C64=0," ",COUNTRY_INFO!C64))</f>
        <v>Abeibara</v>
      </c>
      <c r="D64" s="13">
        <f>IF(INTRO!$E$43="Non endémique", 0, IF(COUNTRY_INFO!$K64&gt;0, IF(COUNTRY_INFO!$K64=4, 0, IF(COUNTRY_INFO!$K64=1, COUNTRY_INFO!$F64*0.33, IF(COUNTRY_INFO!$K64=2, COUNTRY_INFO!$F64*0.5, COUNTRY_INFO!$F64))), 0))</f>
        <v>0</v>
      </c>
      <c r="E64" s="13">
        <f>IF(INTRO!$E$43="Non endémique", 0, IF(COUNTRY_INFO!$K64&gt;0, IF(COUNTRY_INFO!$K64=4, 0, IF(COUNTRY_INFO!$K64=1, 0, IF(COUNTRY_INFO!$K64=2, COUNTRY_INFO!$G64*0.2, COUNTRY_INFO!$G64))), 0))</f>
        <v>0</v>
      </c>
      <c r="F64" s="13">
        <f t="shared" si="9"/>
        <v>0</v>
      </c>
      <c r="G64" s="14">
        <f>IF(INTRO!$E$43="Non endémique", "Non requis", COUNTRY_INFO!S64)</f>
        <v>0</v>
      </c>
      <c r="H64" s="98"/>
      <c r="I64" s="13">
        <f>IF($D64=0,0,IF(AND($G64&gt;0,$H64&lt;&gt;"Oui"),D64,IF(AND($G64&gt;0,$H64="Oui"),COUNTRY_INFO!$F64,0)))</f>
        <v>0</v>
      </c>
      <c r="J64" s="3"/>
      <c r="K64" s="48">
        <f t="shared" si="10"/>
        <v>0</v>
      </c>
      <c r="L64" s="48">
        <f t="shared" si="11"/>
        <v>0</v>
      </c>
      <c r="M64" s="13">
        <f t="shared" si="12"/>
        <v>0</v>
      </c>
      <c r="N64" s="48">
        <f t="shared" si="13"/>
        <v>0</v>
      </c>
      <c r="O64" s="13">
        <f t="shared" si="14"/>
        <v>0</v>
      </c>
      <c r="P64" s="24"/>
      <c r="Q64" s="15">
        <f t="shared" si="15"/>
        <v>0</v>
      </c>
      <c r="R64" s="15">
        <f t="shared" si="16"/>
        <v>0</v>
      </c>
    </row>
    <row r="65" spans="1:18" x14ac:dyDescent="0.4">
      <c r="A65" s="12" t="str">
        <f>IF(INTRO!$E$43="Non endémique"," ", IF(COUNTRY_INFO!A65=0," ",COUNTRY_INFO!A65))</f>
        <v>Mali</v>
      </c>
      <c r="B65" s="12" t="str">
        <f>IF(INTRO!$E$43="Non endémique"," ", IF(COUNTRY_INFO!B65=0," ",COUNTRY_INFO!B65))</f>
        <v>Kidal</v>
      </c>
      <c r="C65" s="12" t="str">
        <f>IF(INTRO!$E$43="Non endémique"," ", IF(COUNTRY_INFO!C65=0," ",COUNTRY_INFO!C65))</f>
        <v>Kidal</v>
      </c>
      <c r="D65" s="13">
        <f>IF(INTRO!$E$43="Non endémique", 0, IF(COUNTRY_INFO!$K65&gt;0, IF(COUNTRY_INFO!$K65=4, 0, IF(COUNTRY_INFO!$K65=1, COUNTRY_INFO!$F65*0.33, IF(COUNTRY_INFO!$K65=2, COUNTRY_INFO!$F65*0.5, COUNTRY_INFO!$F65))), 0))</f>
        <v>0</v>
      </c>
      <c r="E65" s="13">
        <f>IF(INTRO!$E$43="Non endémique", 0, IF(COUNTRY_INFO!$K65&gt;0, IF(COUNTRY_INFO!$K65=4, 0, IF(COUNTRY_INFO!$K65=1, 0, IF(COUNTRY_INFO!$K65=2, COUNTRY_INFO!$G65*0.2, COUNTRY_INFO!$G65))), 0))</f>
        <v>0</v>
      </c>
      <c r="F65" s="13">
        <f t="shared" si="9"/>
        <v>0</v>
      </c>
      <c r="G65" s="14">
        <f>IF(INTRO!$E$43="Non endémique", "Non requis", COUNTRY_INFO!S65)</f>
        <v>0</v>
      </c>
      <c r="H65" s="98"/>
      <c r="I65" s="13">
        <f>IF($D65=0,0,IF(AND($G65&gt;0,$H65&lt;&gt;"Oui"),D65,IF(AND($G65&gt;0,$H65="Oui"),COUNTRY_INFO!$F65,0)))</f>
        <v>0</v>
      </c>
      <c r="J65" s="3"/>
      <c r="K65" s="48">
        <f t="shared" si="10"/>
        <v>0</v>
      </c>
      <c r="L65" s="48">
        <f t="shared" si="11"/>
        <v>0</v>
      </c>
      <c r="M65" s="13">
        <f t="shared" si="12"/>
        <v>0</v>
      </c>
      <c r="N65" s="48">
        <f t="shared" si="13"/>
        <v>0</v>
      </c>
      <c r="O65" s="13">
        <f t="shared" si="14"/>
        <v>0</v>
      </c>
      <c r="P65" s="24"/>
      <c r="Q65" s="15">
        <f t="shared" si="15"/>
        <v>0</v>
      </c>
      <c r="R65" s="15">
        <f t="shared" si="16"/>
        <v>0</v>
      </c>
    </row>
    <row r="66" spans="1:18" x14ac:dyDescent="0.4">
      <c r="A66" s="12" t="str">
        <f>IF(INTRO!$E$43="Non endémique"," ", IF(COUNTRY_INFO!A66=0," ",COUNTRY_INFO!A66))</f>
        <v>Mali</v>
      </c>
      <c r="B66" s="12" t="str">
        <f>IF(INTRO!$E$43="Non endémique"," ", IF(COUNTRY_INFO!B66=0," ",COUNTRY_INFO!B66))</f>
        <v>Kidal</v>
      </c>
      <c r="C66" s="12" t="str">
        <f>IF(INTRO!$E$43="Non endémique"," ", IF(COUNTRY_INFO!C66=0," ",COUNTRY_INFO!C66))</f>
        <v>Tessalit</v>
      </c>
      <c r="D66" s="13">
        <f>IF(INTRO!$E$43="Non endémique", 0, IF(COUNTRY_INFO!$K66&gt;0, IF(COUNTRY_INFO!$K66=4, 0, IF(COUNTRY_INFO!$K66=1, COUNTRY_INFO!$F66*0.33, IF(COUNTRY_INFO!$K66=2, COUNTRY_INFO!$F66*0.5, COUNTRY_INFO!$F66))), 0))</f>
        <v>0</v>
      </c>
      <c r="E66" s="13">
        <f>IF(INTRO!$E$43="Non endémique", 0, IF(COUNTRY_INFO!$K66&gt;0, IF(COUNTRY_INFO!$K66=4, 0, IF(COUNTRY_INFO!$K66=1, 0, IF(COUNTRY_INFO!$K66=2, COUNTRY_INFO!$G66*0.2, COUNTRY_INFO!$G66))), 0))</f>
        <v>0</v>
      </c>
      <c r="F66" s="13">
        <f t="shared" si="9"/>
        <v>0</v>
      </c>
      <c r="G66" s="14">
        <f>IF(INTRO!$E$43="Non endémique", "Non requis", COUNTRY_INFO!S66)</f>
        <v>0</v>
      </c>
      <c r="H66" s="98"/>
      <c r="I66" s="13">
        <f>IF($D66=0,0,IF(AND($G66&gt;0,$H66&lt;&gt;"Oui"),D66,IF(AND($G66&gt;0,$H66="Oui"),COUNTRY_INFO!$F66,0)))</f>
        <v>0</v>
      </c>
      <c r="J66" s="3"/>
      <c r="K66" s="48">
        <f t="shared" si="10"/>
        <v>0</v>
      </c>
      <c r="L66" s="48">
        <f t="shared" si="11"/>
        <v>0</v>
      </c>
      <c r="M66" s="13">
        <f t="shared" si="12"/>
        <v>0</v>
      </c>
      <c r="N66" s="48">
        <f t="shared" si="13"/>
        <v>0</v>
      </c>
      <c r="O66" s="13">
        <f t="shared" si="14"/>
        <v>0</v>
      </c>
      <c r="P66" s="24"/>
      <c r="Q66" s="15">
        <f t="shared" si="15"/>
        <v>0</v>
      </c>
      <c r="R66" s="15">
        <f t="shared" si="16"/>
        <v>0</v>
      </c>
    </row>
    <row r="67" spans="1:18" x14ac:dyDescent="0.4">
      <c r="A67" s="12" t="str">
        <f>IF(INTRO!$E$43="Non endémique"," ", IF(COUNTRY_INFO!A67=0," ",COUNTRY_INFO!A67))</f>
        <v>Mali</v>
      </c>
      <c r="B67" s="12" t="str">
        <f>IF(INTRO!$E$43="Non endémique"," ", IF(COUNTRY_INFO!B67=0," ",COUNTRY_INFO!B67))</f>
        <v>Kidal</v>
      </c>
      <c r="C67" s="12" t="str">
        <f>IF(INTRO!$E$43="Non endémique"," ", IF(COUNTRY_INFO!C67=0," ",COUNTRY_INFO!C67))</f>
        <v>Tin-Essako</v>
      </c>
      <c r="D67" s="13">
        <f>IF(INTRO!$E$43="Non endémique", 0, IF(COUNTRY_INFO!$K67&gt;0, IF(COUNTRY_INFO!$K67=4, 0, IF(COUNTRY_INFO!$K67=1, COUNTRY_INFO!$F67*0.33, IF(COUNTRY_INFO!$K67=2, COUNTRY_INFO!$F67*0.5, COUNTRY_INFO!$F67))), 0))</f>
        <v>0</v>
      </c>
      <c r="E67" s="13">
        <f>IF(INTRO!$E$43="Non endémique", 0, IF(COUNTRY_INFO!$K67&gt;0, IF(COUNTRY_INFO!$K67=4, 0, IF(COUNTRY_INFO!$K67=1, 0, IF(COUNTRY_INFO!$K67=2, COUNTRY_INFO!$G67*0.2, COUNTRY_INFO!$G67))), 0))</f>
        <v>0</v>
      </c>
      <c r="F67" s="13">
        <f t="shared" si="9"/>
        <v>0</v>
      </c>
      <c r="G67" s="14">
        <f>IF(INTRO!$E$43="Non endémique", "Non requis", COUNTRY_INFO!S67)</f>
        <v>0</v>
      </c>
      <c r="H67" s="98"/>
      <c r="I67" s="13">
        <f>IF($D67=0,0,IF(AND($G67&gt;0,$H67&lt;&gt;"Oui"),D67,IF(AND($G67&gt;0,$H67="Oui"),COUNTRY_INFO!$F67,0)))</f>
        <v>0</v>
      </c>
      <c r="J67" s="3"/>
      <c r="K67" s="48">
        <f t="shared" si="10"/>
        <v>0</v>
      </c>
      <c r="L67" s="48">
        <f t="shared" si="11"/>
        <v>0</v>
      </c>
      <c r="M67" s="13">
        <f t="shared" si="12"/>
        <v>0</v>
      </c>
      <c r="N67" s="48">
        <f t="shared" si="13"/>
        <v>0</v>
      </c>
      <c r="O67" s="13">
        <f t="shared" si="14"/>
        <v>0</v>
      </c>
      <c r="P67" s="24"/>
      <c r="Q67" s="15">
        <f t="shared" si="15"/>
        <v>0</v>
      </c>
      <c r="R67" s="15">
        <f t="shared" si="16"/>
        <v>0</v>
      </c>
    </row>
    <row r="68" spans="1:18" x14ac:dyDescent="0.4">
      <c r="A68" s="12" t="str">
        <f>IF(INTRO!$E$43="Non endémique"," ", IF(COUNTRY_INFO!A68=0," ",COUNTRY_INFO!A68))</f>
        <v>Mali</v>
      </c>
      <c r="B68" s="12" t="str">
        <f>IF(INTRO!$E$43="Non endémique"," ", IF(COUNTRY_INFO!B68=0," ",COUNTRY_INFO!B68))</f>
        <v>Bamako</v>
      </c>
      <c r="C68" s="12" t="str">
        <f>IF(INTRO!$E$43="Non endémique"," ", IF(COUNTRY_INFO!C68=0," ",COUNTRY_INFO!C68))</f>
        <v>Commune 1</v>
      </c>
      <c r="D68" s="13">
        <f>IF(INTRO!$E$43="Non endémique", 0, IF(COUNTRY_INFO!$K68&gt;0, IF(COUNTRY_INFO!$K68=4, 0, IF(COUNTRY_INFO!$K68=1, COUNTRY_INFO!$F68*0.33, IF(COUNTRY_INFO!$K68=2, COUNTRY_INFO!$F68*0.5, COUNTRY_INFO!$F68))), 0))</f>
        <v>41742.36</v>
      </c>
      <c r="E68" s="13">
        <f>IF(INTRO!$E$43="Non endémique", 0, IF(COUNTRY_INFO!$K68&gt;0, IF(COUNTRY_INFO!$K68=4, 0, IF(COUNTRY_INFO!$K68=1, 0, IF(COUNTRY_INFO!$K68=2, COUNTRY_INFO!$G68*0.2, COUNTRY_INFO!$G68))), 0))</f>
        <v>0</v>
      </c>
      <c r="F68" s="13">
        <f t="shared" si="9"/>
        <v>41742.36</v>
      </c>
      <c r="G68" s="14">
        <f>IF(INTRO!$E$43="Non endémique", "Non requis", COUNTRY_INFO!S68)</f>
        <v>1</v>
      </c>
      <c r="H68" s="98"/>
      <c r="I68" s="13">
        <f>IF($D68=0,0,IF(AND($G68&gt;0,$H68&lt;&gt;"Oui"),D68,IF(AND($G68&gt;0,$H68="Oui"),COUNTRY_INFO!$F68,0)))</f>
        <v>41742.36</v>
      </c>
      <c r="J68" s="3"/>
      <c r="K68" s="48">
        <f t="shared" si="10"/>
        <v>0</v>
      </c>
      <c r="L68" s="48">
        <f t="shared" si="11"/>
        <v>41742.36</v>
      </c>
      <c r="M68" s="13">
        <f t="shared" si="12"/>
        <v>104355.9</v>
      </c>
      <c r="N68" s="48">
        <f t="shared" si="13"/>
        <v>0</v>
      </c>
      <c r="O68" s="13">
        <f t="shared" si="14"/>
        <v>104355.9</v>
      </c>
      <c r="P68" s="24"/>
      <c r="Q68" s="15">
        <f t="shared" si="15"/>
        <v>104355.9</v>
      </c>
      <c r="R68" s="15">
        <f t="shared" si="16"/>
        <v>105</v>
      </c>
    </row>
    <row r="69" spans="1:18" x14ac:dyDescent="0.4">
      <c r="A69" s="12" t="str">
        <f>IF(INTRO!$E$43="Non endémique"," ", IF(COUNTRY_INFO!A69=0," ",COUNTRY_INFO!A69))</f>
        <v>Mali</v>
      </c>
      <c r="B69" s="12" t="str">
        <f>IF(INTRO!$E$43="Non endémique"," ", IF(COUNTRY_INFO!B69=0," ",COUNTRY_INFO!B69))</f>
        <v>Bamako</v>
      </c>
      <c r="C69" s="12" t="str">
        <f>IF(INTRO!$E$43="Non endémique"," ", IF(COUNTRY_INFO!C69=0," ",COUNTRY_INFO!C69))</f>
        <v>Commune 2</v>
      </c>
      <c r="D69" s="13">
        <f>IF(INTRO!$E$43="Non endémique", 0, IF(COUNTRY_INFO!$K69&gt;0, IF(COUNTRY_INFO!$K69=4, 0, IF(COUNTRY_INFO!$K69=1, COUNTRY_INFO!$F69*0.33, IF(COUNTRY_INFO!$K69=2, COUNTRY_INFO!$F69*0.5, COUNTRY_INFO!$F69))), 0))</f>
        <v>19888.11</v>
      </c>
      <c r="E69" s="13">
        <f>IF(INTRO!$E$43="Non endémique", 0, IF(COUNTRY_INFO!$K69&gt;0, IF(COUNTRY_INFO!$K69=4, 0, IF(COUNTRY_INFO!$K69=1, 0, IF(COUNTRY_INFO!$K69=2, COUNTRY_INFO!$G69*0.2, COUNTRY_INFO!$G69))), 0))</f>
        <v>0</v>
      </c>
      <c r="F69" s="13">
        <f t="shared" si="9"/>
        <v>19888.11</v>
      </c>
      <c r="G69" s="14">
        <f>IF(INTRO!$E$43="Non endémique", "Non requis", COUNTRY_INFO!S69)</f>
        <v>1</v>
      </c>
      <c r="H69" s="98"/>
      <c r="I69" s="13">
        <f>IF($D69=0,0,IF(AND($G69&gt;0,$H69&lt;&gt;"Oui"),D69,IF(AND($G69&gt;0,$H69="Oui"),COUNTRY_INFO!$F69,0)))</f>
        <v>19888.11</v>
      </c>
      <c r="J69" s="3"/>
      <c r="K69" s="48">
        <f t="shared" si="10"/>
        <v>0</v>
      </c>
      <c r="L69" s="48">
        <f t="shared" si="11"/>
        <v>19888.11</v>
      </c>
      <c r="M69" s="13">
        <f t="shared" si="12"/>
        <v>49720.275000000001</v>
      </c>
      <c r="N69" s="48">
        <f t="shared" si="13"/>
        <v>0</v>
      </c>
      <c r="O69" s="13">
        <f t="shared" si="14"/>
        <v>49720.275000000001</v>
      </c>
      <c r="P69" s="24"/>
      <c r="Q69" s="15">
        <f t="shared" si="15"/>
        <v>49720.275000000001</v>
      </c>
      <c r="R69" s="15">
        <f t="shared" si="16"/>
        <v>50</v>
      </c>
    </row>
    <row r="70" spans="1:18" x14ac:dyDescent="0.4">
      <c r="A70" s="12" t="str">
        <f>IF(INTRO!$E$43="Non endémique"," ", IF(COUNTRY_INFO!A70=0," ",COUNTRY_INFO!A70))</f>
        <v>Mali</v>
      </c>
      <c r="B70" s="12" t="str">
        <f>IF(INTRO!$E$43="Non endémique"," ", IF(COUNTRY_INFO!B70=0," ",COUNTRY_INFO!B70))</f>
        <v>Bamako</v>
      </c>
      <c r="C70" s="12" t="str">
        <f>IF(INTRO!$E$43="Non endémique"," ", IF(COUNTRY_INFO!C70=0," ",COUNTRY_INFO!C70))</f>
        <v>Commune 3</v>
      </c>
      <c r="D70" s="13">
        <f>IF(INTRO!$E$43="Non endémique", 0, IF(COUNTRY_INFO!$K70&gt;0, IF(COUNTRY_INFO!$K70=4, 0, IF(COUNTRY_INFO!$K70=1, COUNTRY_INFO!$F70*0.33, IF(COUNTRY_INFO!$K70=2, COUNTRY_INFO!$F70*0.5, COUNTRY_INFO!$F70))), 0))</f>
        <v>16038.66</v>
      </c>
      <c r="E70" s="13">
        <f>IF(INTRO!$E$43="Non endémique", 0, IF(COUNTRY_INFO!$K70&gt;0, IF(COUNTRY_INFO!$K70=4, 0, IF(COUNTRY_INFO!$K70=1, 0, IF(COUNTRY_INFO!$K70=2, COUNTRY_INFO!$G70*0.2, COUNTRY_INFO!$G70))), 0))</f>
        <v>0</v>
      </c>
      <c r="F70" s="13">
        <f t="shared" si="9"/>
        <v>16038.66</v>
      </c>
      <c r="G70" s="14">
        <f>IF(INTRO!$E$43="Non endémique", "Non requis", COUNTRY_INFO!S70)</f>
        <v>1</v>
      </c>
      <c r="H70" s="98"/>
      <c r="I70" s="13">
        <f>IF($D70=0,0,IF(AND($G70&gt;0,$H70&lt;&gt;"Oui"),D70,IF(AND($G70&gt;0,$H70="Oui"),COUNTRY_INFO!$F70,0)))</f>
        <v>16038.66</v>
      </c>
      <c r="J70" s="3"/>
      <c r="K70" s="48">
        <f t="shared" si="10"/>
        <v>0</v>
      </c>
      <c r="L70" s="48">
        <f t="shared" si="11"/>
        <v>16038.66</v>
      </c>
      <c r="M70" s="13">
        <f t="shared" si="12"/>
        <v>40096.65</v>
      </c>
      <c r="N70" s="48">
        <f t="shared" si="13"/>
        <v>0</v>
      </c>
      <c r="O70" s="13">
        <f t="shared" si="14"/>
        <v>40096.65</v>
      </c>
      <c r="P70" s="24"/>
      <c r="Q70" s="15">
        <f t="shared" si="15"/>
        <v>40096.65</v>
      </c>
      <c r="R70" s="15">
        <f t="shared" si="16"/>
        <v>41</v>
      </c>
    </row>
    <row r="71" spans="1:18" x14ac:dyDescent="0.4">
      <c r="A71" s="12" t="str">
        <f>IF(INTRO!$E$43="Non endémique"," ", IF(COUNTRY_INFO!A71=0," ",COUNTRY_INFO!A71))</f>
        <v>Mali</v>
      </c>
      <c r="B71" s="12" t="str">
        <f>IF(INTRO!$E$43="Non endémique"," ", IF(COUNTRY_INFO!B71=0," ",COUNTRY_INFO!B71))</f>
        <v>Bamako</v>
      </c>
      <c r="C71" s="12" t="str">
        <f>IF(INTRO!$E$43="Non endémique"," ", IF(COUNTRY_INFO!C71=0," ",COUNTRY_INFO!C71))</f>
        <v>Commune 4</v>
      </c>
      <c r="D71" s="13">
        <f>IF(INTRO!$E$43="Non endémique", 0, IF(COUNTRY_INFO!$K71&gt;0, IF(COUNTRY_INFO!$K71=4, 0, IF(COUNTRY_INFO!$K71=1, COUNTRY_INFO!$F71*0.33, IF(COUNTRY_INFO!$K71=2, COUNTRY_INFO!$F71*0.5, COUNTRY_INFO!$F71))), 0))</f>
        <v>37346.43</v>
      </c>
      <c r="E71" s="13">
        <f>IF(INTRO!$E$43="Non endémique", 0, IF(COUNTRY_INFO!$K71&gt;0, IF(COUNTRY_INFO!$K71=4, 0, IF(COUNTRY_INFO!$K71=1, 0, IF(COUNTRY_INFO!$K71=2, COUNTRY_INFO!$G71*0.2, COUNTRY_INFO!$G71))), 0))</f>
        <v>0</v>
      </c>
      <c r="F71" s="13">
        <f t="shared" si="9"/>
        <v>37346.43</v>
      </c>
      <c r="G71" s="14">
        <f>IF(INTRO!$E$43="Non endémique", "Non requis", COUNTRY_INFO!S71)</f>
        <v>1</v>
      </c>
      <c r="H71" s="98"/>
      <c r="I71" s="13">
        <f>IF($D71=0,0,IF(AND($G71&gt;0,$H71&lt;&gt;"Oui"),D71,IF(AND($G71&gt;0,$H71="Oui"),COUNTRY_INFO!$F71,0)))</f>
        <v>37346.43</v>
      </c>
      <c r="J71" s="3"/>
      <c r="K71" s="48">
        <f t="shared" si="10"/>
        <v>0</v>
      </c>
      <c r="L71" s="48">
        <f t="shared" si="11"/>
        <v>37346.43</v>
      </c>
      <c r="M71" s="13">
        <f t="shared" si="12"/>
        <v>93366.074999999997</v>
      </c>
      <c r="N71" s="48">
        <f t="shared" si="13"/>
        <v>0</v>
      </c>
      <c r="O71" s="13">
        <f t="shared" si="14"/>
        <v>93366.074999999997</v>
      </c>
      <c r="P71" s="24"/>
      <c r="Q71" s="15">
        <f t="shared" si="15"/>
        <v>93366.074999999997</v>
      </c>
      <c r="R71" s="15">
        <f t="shared" si="16"/>
        <v>94</v>
      </c>
    </row>
    <row r="72" spans="1:18" x14ac:dyDescent="0.4">
      <c r="A72" s="12" t="str">
        <f>IF(INTRO!$E$43="Non endémique"," ", IF(COUNTRY_INFO!A72=0," ",COUNTRY_INFO!A72))</f>
        <v>Mali</v>
      </c>
      <c r="B72" s="12" t="str">
        <f>IF(INTRO!$E$43="Non endémique"," ", IF(COUNTRY_INFO!B72=0," ",COUNTRY_INFO!B72))</f>
        <v>Bamako</v>
      </c>
      <c r="C72" s="12" t="str">
        <f>IF(INTRO!$E$43="Non endémique"," ", IF(COUNTRY_INFO!C72=0," ",COUNTRY_INFO!C72))</f>
        <v>Commune 5</v>
      </c>
      <c r="D72" s="13">
        <f>IF(INTRO!$E$43="Non endémique", 0, IF(COUNTRY_INFO!$K72&gt;0, IF(COUNTRY_INFO!$K72=4, 0, IF(COUNTRY_INFO!$K72=1, COUNTRY_INFO!$F72*0.33, IF(COUNTRY_INFO!$K72=2, COUNTRY_INFO!$F72*0.5, COUNTRY_INFO!$F72))), 0))</f>
        <v>51606.720000000001</v>
      </c>
      <c r="E72" s="13">
        <f>IF(INTRO!$E$43="Non endémique", 0, IF(COUNTRY_INFO!$K72&gt;0, IF(COUNTRY_INFO!$K72=4, 0, IF(COUNTRY_INFO!$K72=1, 0, IF(COUNTRY_INFO!$K72=2, COUNTRY_INFO!$G72*0.2, COUNTRY_INFO!$G72))), 0))</f>
        <v>0</v>
      </c>
      <c r="F72" s="13">
        <f t="shared" si="9"/>
        <v>51606.720000000001</v>
      </c>
      <c r="G72" s="14">
        <f>IF(INTRO!$E$43="Non endémique", "Non requis", COUNTRY_INFO!S72)</f>
        <v>1</v>
      </c>
      <c r="H72" s="98"/>
      <c r="I72" s="13">
        <f>IF($D72=0,0,IF(AND($G72&gt;0,$H72&lt;&gt;"Oui"),D72,IF(AND($G72&gt;0,$H72="Oui"),COUNTRY_INFO!$F72,0)))</f>
        <v>51606.720000000001</v>
      </c>
      <c r="J72" s="3"/>
      <c r="K72" s="48">
        <f t="shared" si="10"/>
        <v>0</v>
      </c>
      <c r="L72" s="48">
        <f t="shared" si="11"/>
        <v>51606.720000000001</v>
      </c>
      <c r="M72" s="13">
        <f t="shared" si="12"/>
        <v>129016.8</v>
      </c>
      <c r="N72" s="48">
        <f t="shared" si="13"/>
        <v>0</v>
      </c>
      <c r="O72" s="13">
        <f t="shared" si="14"/>
        <v>129016.8</v>
      </c>
      <c r="P72" s="24"/>
      <c r="Q72" s="15">
        <f t="shared" si="15"/>
        <v>129016.8</v>
      </c>
      <c r="R72" s="15">
        <f t="shared" si="16"/>
        <v>130</v>
      </c>
    </row>
    <row r="73" spans="1:18" x14ac:dyDescent="0.4">
      <c r="A73" s="12" t="str">
        <f>IF(INTRO!$E$43="Non endémique"," ", IF(COUNTRY_INFO!A73=0," ",COUNTRY_INFO!A73))</f>
        <v>Mali</v>
      </c>
      <c r="B73" s="12" t="str">
        <f>IF(INTRO!$E$43="Non endémique"," ", IF(COUNTRY_INFO!B73=0," ",COUNTRY_INFO!B73))</f>
        <v>Bamako</v>
      </c>
      <c r="C73" s="12" t="str">
        <f>IF(INTRO!$E$43="Non endémique"," ", IF(COUNTRY_INFO!C73=0," ",COUNTRY_INFO!C73))</f>
        <v>Commune 6</v>
      </c>
      <c r="D73" s="13">
        <f>IF(INTRO!$E$43="Non endémique", 0, IF(COUNTRY_INFO!$K73&gt;0, IF(COUNTRY_INFO!$K73=4, 0, IF(COUNTRY_INFO!$K73=1, COUNTRY_INFO!$F73*0.33, IF(COUNTRY_INFO!$K73=2, COUNTRY_INFO!$F73*0.5, COUNTRY_INFO!$F73))), 0))</f>
        <v>58526.490000000005</v>
      </c>
      <c r="E73" s="13">
        <f>IF(INTRO!$E$43="Non endémique", 0, IF(COUNTRY_INFO!$K73&gt;0, IF(COUNTRY_INFO!$K73=4, 0, IF(COUNTRY_INFO!$K73=1, 0, IF(COUNTRY_INFO!$K73=2, COUNTRY_INFO!$G73*0.2, COUNTRY_INFO!$G73))), 0))</f>
        <v>0</v>
      </c>
      <c r="F73" s="13">
        <f t="shared" ref="F73:F83" si="17">SUM(D73:E73)</f>
        <v>58526.490000000005</v>
      </c>
      <c r="G73" s="14">
        <f>IF(INTRO!$E$43="Non endémique", "Non requis", COUNTRY_INFO!S73)</f>
        <v>1</v>
      </c>
      <c r="H73" s="98"/>
      <c r="I73" s="13">
        <f>IF($D73=0,0,IF(AND($G73&gt;0,$H73&lt;&gt;"Oui"),D73,IF(AND($G73&gt;0,$H73="Oui"),COUNTRY_INFO!$F73,0)))</f>
        <v>58526.490000000005</v>
      </c>
      <c r="J73" s="3"/>
      <c r="K73" s="48">
        <f t="shared" ref="K73:K83" si="18">IF($G73&gt;0,E73, 0)</f>
        <v>0</v>
      </c>
      <c r="L73" s="48">
        <f t="shared" ref="L73:L83" si="19">IF($J73=0,SUM(I73,K73),SUM(J73,K73))</f>
        <v>58526.490000000005</v>
      </c>
      <c r="M73" s="13">
        <f t="shared" ref="M73:M83" si="20">IF($J73=0,$I73*2.5,$J73*2.5)</f>
        <v>146316.22500000001</v>
      </c>
      <c r="N73" s="48">
        <f t="shared" ref="N73:N83" si="21">$K73*3</f>
        <v>0</v>
      </c>
      <c r="O73" s="13">
        <f t="shared" ref="O73:O83" si="22">M73</f>
        <v>146316.22500000001</v>
      </c>
      <c r="P73" s="24"/>
      <c r="Q73" s="15">
        <f t="shared" ref="Q73:Q83" si="23">IF($O73&gt;$P73,O73-P73,0)</f>
        <v>146316.22500000001</v>
      </c>
      <c r="R73" s="15">
        <f t="shared" ref="R73:R83" si="24">ROUNDUP($O73/1000,0)</f>
        <v>147</v>
      </c>
    </row>
    <row r="74" spans="1:18" x14ac:dyDescent="0.4">
      <c r="A74" s="12" t="str">
        <f>IF(INTRO!$E$43="Non endémique"," ", IF(COUNTRY_INFO!A74=0," ",COUNTRY_INFO!A74))</f>
        <v>Mali</v>
      </c>
      <c r="B74" s="12" t="str">
        <f>IF(INTRO!$E$43="Non endémique"," ", IF(COUNTRY_INFO!B74=0," ",COUNTRY_INFO!B74))</f>
        <v>Taoudenit</v>
      </c>
      <c r="C74" s="12" t="str">
        <f>IF(INTRO!$E$43="Non endémique"," ", IF(COUNTRY_INFO!C74=0," ",COUNTRY_INFO!C74))</f>
        <v>Achourat</v>
      </c>
      <c r="D74" s="13">
        <f>IF(INTRO!$E$43="Non endémique", 0, IF(COUNTRY_INFO!$K74&gt;0, IF(COUNTRY_INFO!$K74=4, 0, IF(COUNTRY_INFO!$K74=1, COUNTRY_INFO!$F74*0.33, IF(COUNTRY_INFO!$K74=2, COUNTRY_INFO!$F74*0.5, COUNTRY_INFO!$F74))), 0))</f>
        <v>3085.83</v>
      </c>
      <c r="E74" s="13">
        <f>IF(INTRO!$E$43="Non endémique", 0, IF(COUNTRY_INFO!$K74&gt;0, IF(COUNTRY_INFO!$K74=4, 0, IF(COUNTRY_INFO!$K74=1, 0, IF(COUNTRY_INFO!$K74=2, COUNTRY_INFO!$G74*0.2, COUNTRY_INFO!$G74))), 0))</f>
        <v>0</v>
      </c>
      <c r="F74" s="13">
        <f t="shared" si="17"/>
        <v>3085.83</v>
      </c>
      <c r="G74" s="14">
        <f>IF(INTRO!$E$43="Non endémique", "Non requis", COUNTRY_INFO!S74)</f>
        <v>1</v>
      </c>
      <c r="H74" s="98"/>
      <c r="I74" s="13">
        <f>IF($D74=0,0,IF(AND($G74&gt;0,$H74&lt;&gt;"Oui"),D74,IF(AND($G74&gt;0,$H74="Oui"),COUNTRY_INFO!$F74,0)))</f>
        <v>3085.83</v>
      </c>
      <c r="J74" s="3"/>
      <c r="K74" s="48">
        <f t="shared" si="18"/>
        <v>0</v>
      </c>
      <c r="L74" s="48">
        <f t="shared" si="19"/>
        <v>3085.83</v>
      </c>
      <c r="M74" s="13">
        <f t="shared" si="20"/>
        <v>7714.5749999999998</v>
      </c>
      <c r="N74" s="48">
        <f t="shared" si="21"/>
        <v>0</v>
      </c>
      <c r="O74" s="13">
        <f t="shared" si="22"/>
        <v>7714.5749999999998</v>
      </c>
      <c r="P74" s="24"/>
      <c r="Q74" s="15">
        <f t="shared" si="23"/>
        <v>7714.5749999999998</v>
      </c>
      <c r="R74" s="15">
        <f t="shared" si="24"/>
        <v>8</v>
      </c>
    </row>
    <row r="75" spans="1:18" x14ac:dyDescent="0.4">
      <c r="A75" s="12" t="str">
        <f>IF(INTRO!$E$43="Non endémique"," ", IF(COUNTRY_INFO!A75=0," ",COUNTRY_INFO!A75))</f>
        <v>Mali</v>
      </c>
      <c r="B75" s="12" t="str">
        <f>IF(INTRO!$E$43="Non endémique"," ", IF(COUNTRY_INFO!B75=0," ",COUNTRY_INFO!B75))</f>
        <v>Taoudenit</v>
      </c>
      <c r="C75" s="12" t="str">
        <f>IF(INTRO!$E$43="Non endémique"," ", IF(COUNTRY_INFO!C75=0," ",COUNTRY_INFO!C75))</f>
        <v>Al-Ourch</v>
      </c>
      <c r="D75" s="13">
        <f>IF(INTRO!$E$43="Non endémique", 0, IF(COUNTRY_INFO!$K75&gt;0, IF(COUNTRY_INFO!$K75=4, 0, IF(COUNTRY_INFO!$K75=1, COUNTRY_INFO!$F75*0.33, IF(COUNTRY_INFO!$K75=2, COUNTRY_INFO!$F75*0.5, COUNTRY_INFO!$F75))), 0))</f>
        <v>5167.1400000000003</v>
      </c>
      <c r="E75" s="13">
        <f>IF(INTRO!$E$43="Non endémique", 0, IF(COUNTRY_INFO!$K75&gt;0, IF(COUNTRY_INFO!$K75=4, 0, IF(COUNTRY_INFO!$K75=1, 0, IF(COUNTRY_INFO!$K75=2, COUNTRY_INFO!$G75*0.2, COUNTRY_INFO!$G75))), 0))</f>
        <v>0</v>
      </c>
      <c r="F75" s="13">
        <f t="shared" si="17"/>
        <v>5167.1400000000003</v>
      </c>
      <c r="G75" s="14">
        <f>IF(INTRO!$E$43="Non endémique", "Non requis", COUNTRY_INFO!S75)</f>
        <v>1</v>
      </c>
      <c r="H75" s="98"/>
      <c r="I75" s="13">
        <f>IF($D75=0,0,IF(AND($G75&gt;0,$H75&lt;&gt;"Oui"),D75,IF(AND($G75&gt;0,$H75="Oui"),COUNTRY_INFO!$F75,0)))</f>
        <v>5167.1400000000003</v>
      </c>
      <c r="J75" s="3"/>
      <c r="K75" s="48">
        <f t="shared" si="18"/>
        <v>0</v>
      </c>
      <c r="L75" s="48">
        <f t="shared" si="19"/>
        <v>5167.1400000000003</v>
      </c>
      <c r="M75" s="13">
        <f t="shared" si="20"/>
        <v>12917.85</v>
      </c>
      <c r="N75" s="48">
        <f t="shared" si="21"/>
        <v>0</v>
      </c>
      <c r="O75" s="13">
        <f t="shared" si="22"/>
        <v>12917.85</v>
      </c>
      <c r="P75" s="24"/>
      <c r="Q75" s="15">
        <f t="shared" si="23"/>
        <v>12917.85</v>
      </c>
      <c r="R75" s="15">
        <f t="shared" si="24"/>
        <v>13</v>
      </c>
    </row>
    <row r="76" spans="1:18" x14ac:dyDescent="0.4">
      <c r="A76" s="12" t="str">
        <f>IF(INTRO!$E$43="Non endémique"," ", IF(COUNTRY_INFO!A76=0," ",COUNTRY_INFO!A76))</f>
        <v>Mali</v>
      </c>
      <c r="B76" s="12" t="str">
        <f>IF(INTRO!$E$43="Non endémique"," ", IF(COUNTRY_INFO!B76=0," ",COUNTRY_INFO!B76))</f>
        <v>Taoudenit</v>
      </c>
      <c r="C76" s="12" t="str">
        <f>IF(INTRO!$E$43="Non endémique"," ", IF(COUNTRY_INFO!C76=0," ",COUNTRY_INFO!C76))</f>
        <v>Araouane</v>
      </c>
      <c r="D76" s="13">
        <f>IF(INTRO!$E$43="Non endémique", 0, IF(COUNTRY_INFO!$K76&gt;0, IF(COUNTRY_INFO!$K76=4, 0, IF(COUNTRY_INFO!$K76=1, COUNTRY_INFO!$F76*0.33, IF(COUNTRY_INFO!$K76=2, COUNTRY_INFO!$F76*0.5, COUNTRY_INFO!$F76))), 0))</f>
        <v>2537.7000000000003</v>
      </c>
      <c r="E76" s="13">
        <f>IF(INTRO!$E$43="Non endémique", 0, IF(COUNTRY_INFO!$K76&gt;0, IF(COUNTRY_INFO!$K76=4, 0, IF(COUNTRY_INFO!$K76=1, 0, IF(COUNTRY_INFO!$K76=2, COUNTRY_INFO!$G76*0.2, COUNTRY_INFO!$G76))), 0))</f>
        <v>0</v>
      </c>
      <c r="F76" s="13">
        <f t="shared" si="17"/>
        <v>2537.7000000000003</v>
      </c>
      <c r="G76" s="14">
        <f>IF(INTRO!$E$43="Non endémique", "Non requis", COUNTRY_INFO!S76)</f>
        <v>1</v>
      </c>
      <c r="H76" s="98"/>
      <c r="I76" s="13">
        <f>IF($D76=0,0,IF(AND($G76&gt;0,$H76&lt;&gt;"Oui"),D76,IF(AND($G76&gt;0,$H76="Oui"),COUNTRY_INFO!$F76,0)))</f>
        <v>2537.7000000000003</v>
      </c>
      <c r="J76" s="3"/>
      <c r="K76" s="48">
        <f t="shared" si="18"/>
        <v>0</v>
      </c>
      <c r="L76" s="48">
        <f t="shared" si="19"/>
        <v>2537.7000000000003</v>
      </c>
      <c r="M76" s="13">
        <f t="shared" si="20"/>
        <v>6344.2500000000009</v>
      </c>
      <c r="N76" s="48">
        <f t="shared" si="21"/>
        <v>0</v>
      </c>
      <c r="O76" s="13">
        <f t="shared" si="22"/>
        <v>6344.2500000000009</v>
      </c>
      <c r="P76" s="24"/>
      <c r="Q76" s="15">
        <f t="shared" si="23"/>
        <v>6344.2500000000009</v>
      </c>
      <c r="R76" s="15">
        <f t="shared" si="24"/>
        <v>7</v>
      </c>
    </row>
    <row r="77" spans="1:18" x14ac:dyDescent="0.4">
      <c r="A77" s="12" t="str">
        <f>IF(INTRO!$E$43="Non endémique"," ", IF(COUNTRY_INFO!A77=0," ",COUNTRY_INFO!A77))</f>
        <v>Mali</v>
      </c>
      <c r="B77" s="12" t="str">
        <f>IF(INTRO!$E$43="Non endémique"," ", IF(COUNTRY_INFO!B77=0," ",COUNTRY_INFO!B77))</f>
        <v>Taoudenit</v>
      </c>
      <c r="C77" s="12" t="str">
        <f>IF(INTRO!$E$43="Non endémique"," ", IF(COUNTRY_INFO!C77=0," ",COUNTRY_INFO!C77))</f>
        <v>Boujbeha</v>
      </c>
      <c r="D77" s="13">
        <f>IF(INTRO!$E$43="Non endémique", 0, IF(COUNTRY_INFO!$K77&gt;0, IF(COUNTRY_INFO!$K77=4, 0, IF(COUNTRY_INFO!$K77=1, COUNTRY_INFO!$F77*0.33, IF(COUNTRY_INFO!$K77=2, COUNTRY_INFO!$F77*0.5, COUNTRY_INFO!$F77))), 0))</f>
        <v>2805.6600000000003</v>
      </c>
      <c r="E77" s="13">
        <f>IF(INTRO!$E$43="Non endémique", 0, IF(COUNTRY_INFO!$K77&gt;0, IF(COUNTRY_INFO!$K77=4, 0, IF(COUNTRY_INFO!$K77=1, 0, IF(COUNTRY_INFO!$K77=2, COUNTRY_INFO!$G77*0.2, COUNTRY_INFO!$G77))), 0))</f>
        <v>0</v>
      </c>
      <c r="F77" s="13">
        <f t="shared" si="17"/>
        <v>2805.6600000000003</v>
      </c>
      <c r="G77" s="14">
        <f>IF(INTRO!$E$43="Non endémique", "Non requis", COUNTRY_INFO!S77)</f>
        <v>1</v>
      </c>
      <c r="H77" s="98"/>
      <c r="I77" s="13">
        <f>IF($D77=0,0,IF(AND($G77&gt;0,$H77&lt;&gt;"Oui"),D77,IF(AND($G77&gt;0,$H77="Oui"),COUNTRY_INFO!$F77,0)))</f>
        <v>2805.6600000000003</v>
      </c>
      <c r="J77" s="3"/>
      <c r="K77" s="48">
        <f t="shared" si="18"/>
        <v>0</v>
      </c>
      <c r="L77" s="48">
        <f t="shared" si="19"/>
        <v>2805.6600000000003</v>
      </c>
      <c r="M77" s="13">
        <f t="shared" si="20"/>
        <v>7014.1500000000005</v>
      </c>
      <c r="N77" s="48">
        <f t="shared" si="21"/>
        <v>0</v>
      </c>
      <c r="O77" s="13">
        <f t="shared" si="22"/>
        <v>7014.1500000000005</v>
      </c>
      <c r="P77" s="24"/>
      <c r="Q77" s="15">
        <f t="shared" si="23"/>
        <v>7014.1500000000005</v>
      </c>
      <c r="R77" s="15">
        <f t="shared" si="24"/>
        <v>8</v>
      </c>
    </row>
    <row r="78" spans="1:18" x14ac:dyDescent="0.4">
      <c r="A78" s="12" t="str">
        <f>IF(INTRO!$E$43="Non endémique"," ", IF(COUNTRY_INFO!A78=0," ",COUNTRY_INFO!A78))</f>
        <v>Mali</v>
      </c>
      <c r="B78" s="12" t="str">
        <f>IF(INTRO!$E$43="Non endémique"," ", IF(COUNTRY_INFO!B78=0," ",COUNTRY_INFO!B78))</f>
        <v>Taoudenit</v>
      </c>
      <c r="C78" s="12" t="str">
        <f>IF(INTRO!$E$43="Non endémique"," ", IF(COUNTRY_INFO!C78=0," ",COUNTRY_INFO!C78))</f>
        <v>Foum-Elba</v>
      </c>
      <c r="D78" s="13">
        <f>IF(INTRO!$E$43="Non endémique", 0, IF(COUNTRY_INFO!$K78&gt;0, IF(COUNTRY_INFO!$K78=4, 0, IF(COUNTRY_INFO!$K78=1, COUNTRY_INFO!$F78*0.33, IF(COUNTRY_INFO!$K78=2, COUNTRY_INFO!$F78*0.5, COUNTRY_INFO!$F78))), 0))</f>
        <v>1494.9</v>
      </c>
      <c r="E78" s="13">
        <f>IF(INTRO!$E$43="Non endémique", 0, IF(COUNTRY_INFO!$K78&gt;0, IF(COUNTRY_INFO!$K78=4, 0, IF(COUNTRY_INFO!$K78=1, 0, IF(COUNTRY_INFO!$K78=2, COUNTRY_INFO!$G78*0.2, COUNTRY_INFO!$G78))), 0))</f>
        <v>0</v>
      </c>
      <c r="F78" s="13">
        <f t="shared" si="17"/>
        <v>1494.9</v>
      </c>
      <c r="G78" s="14">
        <f>IF(INTRO!$E$43="Non endémique", "Non requis", COUNTRY_INFO!S78)</f>
        <v>1</v>
      </c>
      <c r="H78" s="98"/>
      <c r="I78" s="13">
        <f>IF($D78=0,0,IF(AND($G78&gt;0,$H78&lt;&gt;"Oui"),D78,IF(AND($G78&gt;0,$H78="Oui"),COUNTRY_INFO!$F78,0)))</f>
        <v>1494.9</v>
      </c>
      <c r="J78" s="3"/>
      <c r="K78" s="48">
        <f t="shared" si="18"/>
        <v>0</v>
      </c>
      <c r="L78" s="48">
        <f t="shared" si="19"/>
        <v>1494.9</v>
      </c>
      <c r="M78" s="13">
        <f t="shared" si="20"/>
        <v>3737.25</v>
      </c>
      <c r="N78" s="48">
        <f t="shared" si="21"/>
        <v>0</v>
      </c>
      <c r="O78" s="13">
        <f t="shared" si="22"/>
        <v>3737.25</v>
      </c>
      <c r="P78" s="24"/>
      <c r="Q78" s="15">
        <f t="shared" si="23"/>
        <v>3737.25</v>
      </c>
      <c r="R78" s="15">
        <f t="shared" si="24"/>
        <v>4</v>
      </c>
    </row>
    <row r="79" spans="1:18" x14ac:dyDescent="0.4">
      <c r="A79" s="12" t="str">
        <f>IF(INTRO!$E$43="Non endémique"," ", IF(COUNTRY_INFO!A79=0," ",COUNTRY_INFO!A79))</f>
        <v>Mali</v>
      </c>
      <c r="B79" s="12" t="str">
        <f>IF(INTRO!$E$43="Non endémique"," ", IF(COUNTRY_INFO!B79=0," ",COUNTRY_INFO!B79))</f>
        <v>Taoudenit</v>
      </c>
      <c r="C79" s="12" t="str">
        <f>IF(INTRO!$E$43="Non endémique"," ", IF(COUNTRY_INFO!C79=0," ",COUNTRY_INFO!C79))</f>
        <v>Taoudenit</v>
      </c>
      <c r="D79" s="13">
        <f>IF(INTRO!$E$43="Non endémique", 0, IF(COUNTRY_INFO!$K79&gt;0, IF(COUNTRY_INFO!$K79=4, 0, IF(COUNTRY_INFO!$K79=1, COUNTRY_INFO!$F79*0.33, IF(COUNTRY_INFO!$K79=2, COUNTRY_INFO!$F79*0.5, COUNTRY_INFO!$F79))), 0))</f>
        <v>2142.36</v>
      </c>
      <c r="E79" s="13">
        <f>IF(INTRO!$E$43="Non endémique", 0, IF(COUNTRY_INFO!$K79&gt;0, IF(COUNTRY_INFO!$K79=4, 0, IF(COUNTRY_INFO!$K79=1, 0, IF(COUNTRY_INFO!$K79=2, COUNTRY_INFO!$G79*0.2, COUNTRY_INFO!$G79))), 0))</f>
        <v>0</v>
      </c>
      <c r="F79" s="13">
        <f t="shared" si="17"/>
        <v>2142.36</v>
      </c>
      <c r="G79" s="14">
        <f>IF(INTRO!$E$43="Non endémique", "Non requis", COUNTRY_INFO!S79)</f>
        <v>1</v>
      </c>
      <c r="H79" s="98"/>
      <c r="I79" s="13">
        <f>IF($D79=0,0,IF(AND($G79&gt;0,$H79&lt;&gt;"Oui"),D79,IF(AND($G79&gt;0,$H79="Oui"),COUNTRY_INFO!$F79,0)))</f>
        <v>2142.36</v>
      </c>
      <c r="J79" s="3"/>
      <c r="K79" s="48">
        <f t="shared" si="18"/>
        <v>0</v>
      </c>
      <c r="L79" s="48">
        <f t="shared" si="19"/>
        <v>2142.36</v>
      </c>
      <c r="M79" s="13">
        <f t="shared" si="20"/>
        <v>5355.9000000000005</v>
      </c>
      <c r="N79" s="48">
        <f t="shared" si="21"/>
        <v>0</v>
      </c>
      <c r="O79" s="13">
        <f t="shared" si="22"/>
        <v>5355.9000000000005</v>
      </c>
      <c r="P79" s="24"/>
      <c r="Q79" s="15">
        <f t="shared" si="23"/>
        <v>5355.9000000000005</v>
      </c>
      <c r="R79" s="15">
        <f t="shared" si="24"/>
        <v>6</v>
      </c>
    </row>
    <row r="80" spans="1:18" x14ac:dyDescent="0.4">
      <c r="A80" s="12" t="str">
        <f>IF(INTRO!$E$43="Non endémique"," ", IF(COUNTRY_INFO!A80=0," ",COUNTRY_INFO!A80))</f>
        <v>Mali</v>
      </c>
      <c r="B80" s="12" t="str">
        <f>IF(INTRO!$E$43="Non endémique"," ", IF(COUNTRY_INFO!B80=0," ",COUNTRY_INFO!B80))</f>
        <v>Menaka</v>
      </c>
      <c r="C80" s="12" t="str">
        <f>IF(INTRO!$E$43="Non endémique"," ", IF(COUNTRY_INFO!C80=0," ",COUNTRY_INFO!C80))</f>
        <v>Anderamboukane</v>
      </c>
      <c r="D80" s="13">
        <f>IF(INTRO!$E$43="Non endémique", 0, IF(COUNTRY_INFO!$K80&gt;0, IF(COUNTRY_INFO!$K80=4, 0, IF(COUNTRY_INFO!$K80=1, COUNTRY_INFO!$F80*0.33, IF(COUNTRY_INFO!$K80=2, COUNTRY_INFO!$F80*0.5, COUNTRY_INFO!$F80))), 0))</f>
        <v>1461.24</v>
      </c>
      <c r="E80" s="13">
        <f>IF(INTRO!$E$43="Non endémique", 0, IF(COUNTRY_INFO!$K80&gt;0, IF(COUNTRY_INFO!$K80=4, 0, IF(COUNTRY_INFO!$K80=1, 0, IF(COUNTRY_INFO!$K80=2, COUNTRY_INFO!$G80*0.2, COUNTRY_INFO!$G80))), 0))</f>
        <v>0</v>
      </c>
      <c r="F80" s="13">
        <f t="shared" si="17"/>
        <v>1461.24</v>
      </c>
      <c r="G80" s="14">
        <f>IF(INTRO!$E$43="Non endémique", "Non requis", COUNTRY_INFO!S80)</f>
        <v>1</v>
      </c>
      <c r="H80" s="98"/>
      <c r="I80" s="13">
        <f>IF($D80=0,0,IF(AND($G80&gt;0,$H80&lt;&gt;"Oui"),D80,IF(AND($G80&gt;0,$H80="Oui"),COUNTRY_INFO!$F80,0)))</f>
        <v>1461.24</v>
      </c>
      <c r="J80" s="3"/>
      <c r="K80" s="48">
        <f t="shared" si="18"/>
        <v>0</v>
      </c>
      <c r="L80" s="48">
        <f t="shared" si="19"/>
        <v>1461.24</v>
      </c>
      <c r="M80" s="13">
        <f t="shared" si="20"/>
        <v>3653.1</v>
      </c>
      <c r="N80" s="48">
        <f t="shared" si="21"/>
        <v>0</v>
      </c>
      <c r="O80" s="13">
        <f t="shared" si="22"/>
        <v>3653.1</v>
      </c>
      <c r="P80" s="24"/>
      <c r="Q80" s="15">
        <f t="shared" si="23"/>
        <v>3653.1</v>
      </c>
      <c r="R80" s="15">
        <f t="shared" si="24"/>
        <v>4</v>
      </c>
    </row>
    <row r="81" spans="1:18" x14ac:dyDescent="0.4">
      <c r="A81" s="12" t="str">
        <f>IF(INTRO!$E$43="Non endémique"," ", IF(COUNTRY_INFO!A81=0," ",COUNTRY_INFO!A81))</f>
        <v>Mali</v>
      </c>
      <c r="B81" s="12" t="str">
        <f>IF(INTRO!$E$43="Non endémique"," ", IF(COUNTRY_INFO!B81=0," ",COUNTRY_INFO!B81))</f>
        <v>Menaka</v>
      </c>
      <c r="C81" s="12" t="str">
        <f>IF(INTRO!$E$43="Non endémique"," ", IF(COUNTRY_INFO!C81=0," ",COUNTRY_INFO!C81))</f>
        <v>Inekar</v>
      </c>
      <c r="D81" s="13">
        <f>IF(INTRO!$E$43="Non endémique", 0, IF(COUNTRY_INFO!$K81&gt;0, IF(COUNTRY_INFO!$K81=4, 0, IF(COUNTRY_INFO!$K81=1, COUNTRY_INFO!$F81*0.33, IF(COUNTRY_INFO!$K81=2, COUNTRY_INFO!$F81*0.5, COUNTRY_INFO!$F81))), 0))</f>
        <v>556.71</v>
      </c>
      <c r="E81" s="13">
        <f>IF(INTRO!$E$43="Non endémique", 0, IF(COUNTRY_INFO!$K81&gt;0, IF(COUNTRY_INFO!$K81=4, 0, IF(COUNTRY_INFO!$K81=1, 0, IF(COUNTRY_INFO!$K81=2, COUNTRY_INFO!$G81*0.2, COUNTRY_INFO!$G81))), 0))</f>
        <v>0</v>
      </c>
      <c r="F81" s="13">
        <f t="shared" si="17"/>
        <v>556.71</v>
      </c>
      <c r="G81" s="14">
        <f>IF(INTRO!$E$43="Non endémique", "Non requis", COUNTRY_INFO!S81)</f>
        <v>1</v>
      </c>
      <c r="H81" s="98"/>
      <c r="I81" s="13">
        <f>IF($D81=0,0,IF(AND($G81&gt;0,$H81&lt;&gt;"Oui"),D81,IF(AND($G81&gt;0,$H81="Oui"),COUNTRY_INFO!$F81,0)))</f>
        <v>556.71</v>
      </c>
      <c r="J81" s="3"/>
      <c r="K81" s="48">
        <f t="shared" si="18"/>
        <v>0</v>
      </c>
      <c r="L81" s="48">
        <f t="shared" si="19"/>
        <v>556.71</v>
      </c>
      <c r="M81" s="13">
        <f t="shared" si="20"/>
        <v>1391.7750000000001</v>
      </c>
      <c r="N81" s="48">
        <f t="shared" si="21"/>
        <v>0</v>
      </c>
      <c r="O81" s="13">
        <f t="shared" si="22"/>
        <v>1391.7750000000001</v>
      </c>
      <c r="P81" s="24"/>
      <c r="Q81" s="15">
        <f t="shared" si="23"/>
        <v>1391.7750000000001</v>
      </c>
      <c r="R81" s="15">
        <f t="shared" si="24"/>
        <v>2</v>
      </c>
    </row>
    <row r="82" spans="1:18" x14ac:dyDescent="0.4">
      <c r="A82" s="12" t="str">
        <f>IF(INTRO!$E$43="Non endémique"," ", IF(COUNTRY_INFO!A82=0," ",COUNTRY_INFO!A82))</f>
        <v>Mali</v>
      </c>
      <c r="B82" s="12" t="str">
        <f>IF(INTRO!$E$43="Non endémique"," ", IF(COUNTRY_INFO!B82=0," ",COUNTRY_INFO!B82))</f>
        <v>Menaka</v>
      </c>
      <c r="C82" s="12" t="str">
        <f>IF(INTRO!$E$43="Non endémique"," ", IF(COUNTRY_INFO!C82=0," ",COUNTRY_INFO!C82))</f>
        <v>Menaka</v>
      </c>
      <c r="D82" s="13">
        <f>IF(INTRO!$E$43="Non endémique", 0, IF(COUNTRY_INFO!$K82&gt;0, IF(COUNTRY_INFO!$K82=4, 0, IF(COUNTRY_INFO!$K82=1, COUNTRY_INFO!$F82*0.33, IF(COUNTRY_INFO!$K82=2, COUNTRY_INFO!$F82*0.5, COUNTRY_INFO!$F82))), 0))</f>
        <v>4592.6100000000006</v>
      </c>
      <c r="E82" s="13">
        <f>IF(INTRO!$E$43="Non endémique", 0, IF(COUNTRY_INFO!$K82&gt;0, IF(COUNTRY_INFO!$K82=4, 0, IF(COUNTRY_INFO!$K82=1, 0, IF(COUNTRY_INFO!$K82=2, COUNTRY_INFO!$G82*0.2, COUNTRY_INFO!$G82))), 0))</f>
        <v>0</v>
      </c>
      <c r="F82" s="13">
        <f t="shared" si="17"/>
        <v>4592.6100000000006</v>
      </c>
      <c r="G82" s="14">
        <f>IF(INTRO!$E$43="Non endémique", "Non requis", COUNTRY_INFO!S82)</f>
        <v>1</v>
      </c>
      <c r="H82" s="98"/>
      <c r="I82" s="13">
        <f>IF($D82=0,0,IF(AND($G82&gt;0,$H82&lt;&gt;"Oui"),D82,IF(AND($G82&gt;0,$H82="Oui"),COUNTRY_INFO!$F82,0)))</f>
        <v>4592.6100000000006</v>
      </c>
      <c r="J82" s="3"/>
      <c r="K82" s="48">
        <f t="shared" si="18"/>
        <v>0</v>
      </c>
      <c r="L82" s="48">
        <f t="shared" si="19"/>
        <v>4592.6100000000006</v>
      </c>
      <c r="M82" s="13">
        <f t="shared" si="20"/>
        <v>11481.525000000001</v>
      </c>
      <c r="N82" s="48">
        <f t="shared" si="21"/>
        <v>0</v>
      </c>
      <c r="O82" s="13">
        <f t="shared" si="22"/>
        <v>11481.525000000001</v>
      </c>
      <c r="P82" s="24"/>
      <c r="Q82" s="15">
        <f t="shared" si="23"/>
        <v>11481.525000000001</v>
      </c>
      <c r="R82" s="15">
        <f t="shared" si="24"/>
        <v>12</v>
      </c>
    </row>
    <row r="83" spans="1:18" x14ac:dyDescent="0.4">
      <c r="A83" s="12" t="str">
        <f>IF(INTRO!$E$43="Non endémique"," ", IF(COUNTRY_INFO!A83=0," ",COUNTRY_INFO!A83))</f>
        <v>Mali</v>
      </c>
      <c r="B83" s="12" t="str">
        <f>IF(INTRO!$E$43="Non endémique"," ", IF(COUNTRY_INFO!B83=0," ",COUNTRY_INFO!B83))</f>
        <v>Menaka</v>
      </c>
      <c r="C83" s="12" t="str">
        <f>IF(INTRO!$E$43="Non endémique"," ", IF(COUNTRY_INFO!C83=0," ",COUNTRY_INFO!C83))</f>
        <v>Tidermene</v>
      </c>
      <c r="D83" s="13">
        <f>IF(INTRO!$E$43="Non endémique", 0, IF(COUNTRY_INFO!$K83&gt;0, IF(COUNTRY_INFO!$K83=4, 0, IF(COUNTRY_INFO!$K83=1, COUNTRY_INFO!$F83*0.33, IF(COUNTRY_INFO!$K83=2, COUNTRY_INFO!$F83*0.5, COUNTRY_INFO!$F83))), 0))</f>
        <v>347.82</v>
      </c>
      <c r="E83" s="13">
        <f>IF(INTRO!$E$43="Non endémique", 0, IF(COUNTRY_INFO!$K83&gt;0, IF(COUNTRY_INFO!$K83=4, 0, IF(COUNTRY_INFO!$K83=1, 0, IF(COUNTRY_INFO!$K83=2, COUNTRY_INFO!$G83*0.2, COUNTRY_INFO!$G83))), 0))</f>
        <v>0</v>
      </c>
      <c r="F83" s="13">
        <f t="shared" si="17"/>
        <v>347.82</v>
      </c>
      <c r="G83" s="14">
        <f>IF(INTRO!$E$43="Non endémique", "Non requis", COUNTRY_INFO!S83)</f>
        <v>1</v>
      </c>
      <c r="H83" s="98"/>
      <c r="I83" s="13">
        <f>IF($D83=0,0,IF(AND($G83&gt;0,$H83&lt;&gt;"Oui"),D83,IF(AND($G83&gt;0,$H83="Oui"),COUNTRY_INFO!$F83,0)))</f>
        <v>347.82</v>
      </c>
      <c r="J83" s="3"/>
      <c r="K83" s="48">
        <f t="shared" si="18"/>
        <v>0</v>
      </c>
      <c r="L83" s="48">
        <f t="shared" si="19"/>
        <v>347.82</v>
      </c>
      <c r="M83" s="13">
        <f t="shared" si="20"/>
        <v>869.55</v>
      </c>
      <c r="N83" s="48">
        <f t="shared" si="21"/>
        <v>0</v>
      </c>
      <c r="O83" s="13">
        <f t="shared" si="22"/>
        <v>869.55</v>
      </c>
      <c r="P83" s="24"/>
      <c r="Q83" s="15">
        <f t="shared" si="23"/>
        <v>869.55</v>
      </c>
      <c r="R83" s="15">
        <f t="shared" si="24"/>
        <v>1</v>
      </c>
    </row>
    <row r="84" spans="1:18" x14ac:dyDescent="0.4">
      <c r="A84"/>
      <c r="B84"/>
      <c r="C84"/>
      <c r="D84"/>
      <c r="E84"/>
      <c r="F84"/>
      <c r="G84"/>
      <c r="H84"/>
      <c r="I84"/>
      <c r="J84"/>
      <c r="K84"/>
      <c r="L84"/>
      <c r="M84"/>
      <c r="N84"/>
      <c r="O84"/>
      <c r="P84"/>
      <c r="Q84"/>
      <c r="R84"/>
    </row>
    <row r="85" spans="1:18" x14ac:dyDescent="0.4">
      <c r="A85"/>
      <c r="B85"/>
      <c r="C85"/>
      <c r="D85"/>
      <c r="E85"/>
      <c r="F85"/>
      <c r="G85"/>
      <c r="H85"/>
      <c r="I85"/>
      <c r="J85"/>
      <c r="K85"/>
      <c r="L85"/>
      <c r="M85"/>
      <c r="N85"/>
      <c r="O85"/>
      <c r="P85"/>
      <c r="Q85"/>
      <c r="R85"/>
    </row>
    <row r="86" spans="1:18" x14ac:dyDescent="0.4">
      <c r="A86"/>
      <c r="B86"/>
      <c r="C86"/>
      <c r="D86"/>
      <c r="E86"/>
      <c r="F86"/>
      <c r="G86"/>
      <c r="H86"/>
      <c r="I86"/>
      <c r="J86"/>
      <c r="K86"/>
      <c r="L86"/>
      <c r="M86"/>
      <c r="N86"/>
      <c r="O86"/>
      <c r="P86"/>
      <c r="Q86"/>
      <c r="R86"/>
    </row>
    <row r="87" spans="1:18" x14ac:dyDescent="0.4">
      <c r="A87"/>
      <c r="B87"/>
      <c r="C87"/>
      <c r="D87"/>
      <c r="E87"/>
      <c r="F87"/>
      <c r="G87"/>
      <c r="H87"/>
      <c r="I87"/>
      <c r="J87"/>
      <c r="K87"/>
      <c r="L87"/>
      <c r="M87"/>
      <c r="N87"/>
      <c r="O87"/>
      <c r="P87"/>
      <c r="Q87"/>
      <c r="R87"/>
    </row>
    <row r="88" spans="1:18" x14ac:dyDescent="0.4">
      <c r="A88"/>
      <c r="B88"/>
      <c r="C88"/>
      <c r="D88"/>
      <c r="E88"/>
      <c r="F88"/>
      <c r="G88"/>
      <c r="H88"/>
      <c r="I88"/>
      <c r="J88"/>
      <c r="K88"/>
      <c r="L88"/>
      <c r="M88"/>
      <c r="N88"/>
      <c r="O88"/>
      <c r="P88"/>
      <c r="Q88"/>
      <c r="R88"/>
    </row>
    <row r="89" spans="1:18" x14ac:dyDescent="0.4">
      <c r="A89"/>
      <c r="B89"/>
      <c r="C89"/>
      <c r="D89"/>
      <c r="E89"/>
      <c r="F89"/>
      <c r="G89"/>
      <c r="H89"/>
      <c r="I89"/>
      <c r="J89"/>
      <c r="K89"/>
      <c r="L89"/>
      <c r="M89"/>
      <c r="N89"/>
      <c r="O89"/>
      <c r="P89"/>
      <c r="Q89"/>
      <c r="R89"/>
    </row>
    <row r="90" spans="1:18" x14ac:dyDescent="0.4">
      <c r="A90"/>
      <c r="B90"/>
      <c r="C90"/>
      <c r="D90"/>
      <c r="E90"/>
      <c r="F90"/>
      <c r="G90"/>
      <c r="H90"/>
      <c r="I90"/>
      <c r="J90"/>
      <c r="K90"/>
      <c r="L90"/>
      <c r="M90"/>
      <c r="N90"/>
      <c r="O90"/>
      <c r="P90"/>
      <c r="Q90"/>
      <c r="R90"/>
    </row>
    <row r="91" spans="1:18" x14ac:dyDescent="0.4">
      <c r="A91"/>
      <c r="B91"/>
      <c r="C91"/>
      <c r="D91"/>
      <c r="E91"/>
      <c r="F91"/>
      <c r="G91"/>
      <c r="H91"/>
      <c r="I91"/>
      <c r="J91"/>
      <c r="K91"/>
      <c r="L91"/>
      <c r="M91"/>
      <c r="N91"/>
      <c r="O91"/>
      <c r="P91"/>
      <c r="Q91"/>
      <c r="R91"/>
    </row>
    <row r="92" spans="1:18" x14ac:dyDescent="0.4">
      <c r="A92"/>
      <c r="B92"/>
      <c r="C92"/>
      <c r="D92"/>
      <c r="E92"/>
      <c r="F92"/>
      <c r="G92"/>
      <c r="H92"/>
      <c r="I92"/>
      <c r="J92"/>
      <c r="K92"/>
      <c r="L92"/>
      <c r="M92"/>
      <c r="N92"/>
      <c r="O92"/>
      <c r="P92"/>
      <c r="Q92"/>
      <c r="R92"/>
    </row>
    <row r="93" spans="1:18" x14ac:dyDescent="0.4">
      <c r="A93"/>
      <c r="B93"/>
      <c r="C93"/>
      <c r="D93"/>
      <c r="E93"/>
      <c r="F93"/>
      <c r="G93"/>
      <c r="H93"/>
      <c r="I93"/>
      <c r="J93"/>
      <c r="K93"/>
      <c r="L93"/>
      <c r="M93"/>
      <c r="N93"/>
      <c r="O93"/>
      <c r="P93"/>
      <c r="Q93"/>
      <c r="R93"/>
    </row>
    <row r="94" spans="1:18" x14ac:dyDescent="0.4">
      <c r="A94"/>
      <c r="B94"/>
      <c r="C94"/>
      <c r="D94"/>
      <c r="E94"/>
      <c r="F94"/>
      <c r="G94"/>
      <c r="H94"/>
      <c r="I94"/>
      <c r="J94"/>
      <c r="K94"/>
      <c r="L94"/>
      <c r="M94"/>
      <c r="N94"/>
      <c r="O94"/>
      <c r="P94"/>
      <c r="Q94"/>
      <c r="R94"/>
    </row>
    <row r="95" spans="1:18" x14ac:dyDescent="0.4">
      <c r="A95"/>
      <c r="B95"/>
      <c r="C95"/>
      <c r="D95"/>
      <c r="E95"/>
      <c r="F95"/>
      <c r="G95"/>
      <c r="H95"/>
      <c r="I95"/>
      <c r="J95"/>
      <c r="K95"/>
      <c r="L95"/>
      <c r="M95"/>
      <c r="N95"/>
      <c r="O95"/>
      <c r="P95"/>
      <c r="Q95"/>
      <c r="R95"/>
    </row>
    <row r="96" spans="1:18" x14ac:dyDescent="0.4">
      <c r="A96"/>
      <c r="B96"/>
      <c r="C96"/>
      <c r="D96"/>
      <c r="E96"/>
      <c r="F96"/>
      <c r="G96"/>
      <c r="H96"/>
      <c r="I96"/>
      <c r="J96"/>
      <c r="K96"/>
      <c r="L96"/>
      <c r="M96"/>
      <c r="N96"/>
      <c r="O96"/>
      <c r="P96"/>
      <c r="Q96"/>
      <c r="R96"/>
    </row>
    <row r="97" spans="1:18" x14ac:dyDescent="0.4">
      <c r="A97"/>
      <c r="B97"/>
      <c r="C97"/>
      <c r="D97"/>
      <c r="E97"/>
      <c r="F97"/>
      <c r="G97"/>
      <c r="H97"/>
      <c r="I97"/>
      <c r="J97"/>
      <c r="K97"/>
      <c r="L97"/>
      <c r="M97"/>
      <c r="N97"/>
      <c r="O97"/>
      <c r="P97"/>
      <c r="Q97"/>
      <c r="R97"/>
    </row>
    <row r="98" spans="1:18" x14ac:dyDescent="0.4">
      <c r="A98"/>
      <c r="B98"/>
      <c r="C98"/>
      <c r="D98"/>
      <c r="E98"/>
      <c r="F98"/>
      <c r="G98"/>
      <c r="H98"/>
      <c r="I98"/>
      <c r="J98"/>
      <c r="K98"/>
      <c r="L98"/>
      <c r="M98"/>
      <c r="N98"/>
      <c r="O98"/>
      <c r="P98"/>
      <c r="Q98"/>
      <c r="R98"/>
    </row>
    <row r="99" spans="1:18" x14ac:dyDescent="0.4">
      <c r="A99"/>
      <c r="B99"/>
      <c r="C99"/>
      <c r="D99"/>
      <c r="E99"/>
      <c r="F99"/>
      <c r="G99"/>
      <c r="H99"/>
      <c r="I99"/>
      <c r="J99"/>
      <c r="K99"/>
      <c r="L99"/>
      <c r="M99"/>
      <c r="N99"/>
      <c r="O99"/>
      <c r="P99"/>
      <c r="Q99"/>
      <c r="R99"/>
    </row>
    <row r="100" spans="1:18" x14ac:dyDescent="0.4">
      <c r="A100"/>
      <c r="B100"/>
      <c r="C100"/>
      <c r="D100"/>
      <c r="E100"/>
      <c r="F100"/>
      <c r="G100"/>
      <c r="H100"/>
      <c r="I100"/>
      <c r="J100"/>
      <c r="K100"/>
      <c r="L100"/>
      <c r="M100"/>
      <c r="N100"/>
      <c r="O100"/>
      <c r="P100"/>
      <c r="Q100"/>
      <c r="R100"/>
    </row>
    <row r="101" spans="1:18" x14ac:dyDescent="0.4">
      <c r="A101"/>
      <c r="B101"/>
      <c r="C101"/>
      <c r="D101"/>
      <c r="E101"/>
      <c r="F101"/>
      <c r="G101"/>
      <c r="H101"/>
      <c r="I101"/>
      <c r="J101"/>
      <c r="K101"/>
      <c r="L101"/>
      <c r="M101"/>
      <c r="N101"/>
      <c r="O101"/>
      <c r="P101"/>
      <c r="Q101"/>
      <c r="R101"/>
    </row>
    <row r="102" spans="1:18" x14ac:dyDescent="0.4">
      <c r="A102"/>
      <c r="B102"/>
      <c r="C102"/>
      <c r="D102"/>
      <c r="E102"/>
      <c r="F102"/>
      <c r="G102"/>
      <c r="H102"/>
      <c r="I102"/>
      <c r="J102"/>
      <c r="K102"/>
      <c r="L102"/>
      <c r="M102"/>
      <c r="N102"/>
      <c r="O102"/>
      <c r="P102"/>
      <c r="Q102"/>
      <c r="R102"/>
    </row>
    <row r="103" spans="1:18" x14ac:dyDescent="0.4">
      <c r="A103"/>
      <c r="B103"/>
      <c r="C103"/>
      <c r="D103"/>
      <c r="E103"/>
      <c r="F103"/>
      <c r="G103"/>
      <c r="H103"/>
      <c r="I103"/>
      <c r="J103"/>
      <c r="K103"/>
      <c r="L103"/>
      <c r="M103"/>
      <c r="N103"/>
      <c r="O103"/>
      <c r="P103"/>
      <c r="Q103"/>
      <c r="R103"/>
    </row>
    <row r="104" spans="1:18" x14ac:dyDescent="0.4">
      <c r="A104"/>
      <c r="B104"/>
      <c r="C104"/>
      <c r="D104"/>
      <c r="E104"/>
      <c r="F104"/>
      <c r="G104"/>
      <c r="H104"/>
      <c r="I104"/>
      <c r="J104"/>
      <c r="K104"/>
      <c r="L104"/>
      <c r="M104"/>
      <c r="N104"/>
      <c r="O104"/>
      <c r="P104"/>
      <c r="Q104"/>
      <c r="R104"/>
    </row>
    <row r="105" spans="1:18" x14ac:dyDescent="0.4">
      <c r="A105"/>
      <c r="B105"/>
      <c r="C105"/>
      <c r="D105"/>
      <c r="E105"/>
      <c r="F105"/>
      <c r="G105"/>
      <c r="H105"/>
      <c r="I105"/>
      <c r="J105"/>
      <c r="K105"/>
      <c r="L105"/>
      <c r="M105"/>
      <c r="N105"/>
      <c r="O105"/>
      <c r="P105"/>
      <c r="Q105"/>
      <c r="R105"/>
    </row>
    <row r="106" spans="1:18" x14ac:dyDescent="0.4">
      <c r="A106"/>
      <c r="B106"/>
      <c r="C106"/>
      <c r="D106"/>
      <c r="E106"/>
      <c r="F106"/>
      <c r="G106"/>
      <c r="H106"/>
      <c r="I106"/>
      <c r="J106"/>
      <c r="K106"/>
      <c r="L106"/>
      <c r="M106"/>
      <c r="N106"/>
      <c r="O106"/>
      <c r="P106"/>
      <c r="Q106"/>
      <c r="R106"/>
    </row>
    <row r="107" spans="1:18" x14ac:dyDescent="0.4">
      <c r="A107"/>
      <c r="B107"/>
      <c r="C107"/>
      <c r="D107"/>
      <c r="E107"/>
      <c r="F107"/>
      <c r="G107"/>
      <c r="H107"/>
      <c r="I107"/>
      <c r="J107"/>
      <c r="K107"/>
      <c r="L107"/>
      <c r="M107"/>
      <c r="N107"/>
      <c r="O107"/>
      <c r="P107"/>
      <c r="Q107"/>
      <c r="R107"/>
    </row>
    <row r="108" spans="1:18" x14ac:dyDescent="0.4">
      <c r="A108"/>
      <c r="B108"/>
      <c r="C108"/>
      <c r="D108"/>
      <c r="E108"/>
      <c r="F108"/>
      <c r="G108"/>
      <c r="H108"/>
      <c r="I108"/>
      <c r="J108"/>
      <c r="K108"/>
      <c r="L108"/>
      <c r="M108"/>
      <c r="N108"/>
      <c r="O108"/>
      <c r="P108"/>
      <c r="Q108"/>
      <c r="R108"/>
    </row>
    <row r="109" spans="1:18" x14ac:dyDescent="0.4">
      <c r="A109"/>
      <c r="B109"/>
      <c r="C109"/>
      <c r="D109"/>
      <c r="E109"/>
      <c r="F109"/>
      <c r="G109"/>
      <c r="H109"/>
      <c r="I109"/>
      <c r="J109"/>
      <c r="K109"/>
      <c r="L109"/>
      <c r="M109"/>
      <c r="N109"/>
      <c r="O109"/>
      <c r="P109"/>
      <c r="Q109"/>
      <c r="R109"/>
    </row>
    <row r="110" spans="1:18" x14ac:dyDescent="0.4">
      <c r="A110"/>
      <c r="B110"/>
      <c r="C110"/>
      <c r="D110"/>
      <c r="E110"/>
      <c r="F110"/>
      <c r="G110"/>
      <c r="H110"/>
      <c r="I110"/>
      <c r="J110"/>
      <c r="K110"/>
      <c r="L110"/>
      <c r="M110"/>
      <c r="N110"/>
      <c r="O110"/>
      <c r="P110"/>
      <c r="Q110"/>
      <c r="R110"/>
    </row>
    <row r="111" spans="1:18" x14ac:dyDescent="0.4">
      <c r="A111"/>
      <c r="B111"/>
      <c r="C111"/>
      <c r="D111"/>
      <c r="E111"/>
      <c r="F111"/>
      <c r="G111"/>
      <c r="H111"/>
      <c r="I111"/>
      <c r="J111"/>
      <c r="K111"/>
      <c r="L111"/>
      <c r="M111"/>
      <c r="N111"/>
      <c r="O111"/>
      <c r="P111"/>
      <c r="Q111"/>
      <c r="R111"/>
    </row>
    <row r="112" spans="1:18" x14ac:dyDescent="0.4">
      <c r="A112"/>
      <c r="B112"/>
      <c r="C112"/>
      <c r="D112"/>
      <c r="E112"/>
      <c r="F112"/>
      <c r="G112"/>
      <c r="H112"/>
      <c r="I112"/>
      <c r="J112"/>
      <c r="K112"/>
      <c r="L112"/>
      <c r="M112"/>
      <c r="N112"/>
      <c r="O112"/>
      <c r="P112"/>
      <c r="Q112"/>
      <c r="R112"/>
    </row>
    <row r="113" spans="1:18" x14ac:dyDescent="0.4">
      <c r="A113"/>
      <c r="B113"/>
      <c r="C113"/>
      <c r="D113"/>
      <c r="E113"/>
      <c r="F113"/>
      <c r="G113"/>
      <c r="H113"/>
      <c r="I113"/>
      <c r="J113"/>
      <c r="K113"/>
      <c r="L113"/>
      <c r="M113"/>
      <c r="N113"/>
      <c r="O113"/>
      <c r="P113"/>
      <c r="Q113"/>
      <c r="R113"/>
    </row>
    <row r="114" spans="1:18" x14ac:dyDescent="0.4">
      <c r="A114"/>
      <c r="B114"/>
      <c r="C114"/>
      <c r="D114"/>
      <c r="E114"/>
      <c r="F114"/>
      <c r="G114"/>
      <c r="H114"/>
      <c r="I114"/>
      <c r="J114"/>
      <c r="K114"/>
      <c r="L114"/>
      <c r="M114"/>
      <c r="N114"/>
      <c r="O114"/>
      <c r="P114"/>
      <c r="Q114"/>
      <c r="R114"/>
    </row>
    <row r="115" spans="1:18" x14ac:dyDescent="0.4">
      <c r="A115"/>
      <c r="B115"/>
      <c r="C115"/>
      <c r="D115"/>
      <c r="E115"/>
      <c r="F115"/>
      <c r="G115"/>
      <c r="H115"/>
      <c r="I115"/>
      <c r="J115"/>
      <c r="K115"/>
      <c r="L115"/>
      <c r="M115"/>
      <c r="N115"/>
      <c r="O115"/>
      <c r="P115"/>
      <c r="Q115"/>
      <c r="R115"/>
    </row>
    <row r="116" spans="1:18" x14ac:dyDescent="0.4">
      <c r="A116"/>
      <c r="B116"/>
      <c r="C116"/>
      <c r="D116"/>
      <c r="E116"/>
      <c r="F116"/>
      <c r="G116"/>
      <c r="H116"/>
      <c r="I116"/>
      <c r="J116"/>
      <c r="K116"/>
      <c r="L116"/>
      <c r="M116"/>
      <c r="N116"/>
      <c r="O116"/>
      <c r="P116"/>
      <c r="Q116"/>
      <c r="R116"/>
    </row>
    <row r="117" spans="1:18" x14ac:dyDescent="0.4">
      <c r="A117"/>
      <c r="B117"/>
      <c r="C117"/>
      <c r="D117"/>
      <c r="E117"/>
      <c r="F117"/>
      <c r="G117"/>
      <c r="H117"/>
      <c r="I117"/>
      <c r="J117"/>
      <c r="K117"/>
      <c r="L117"/>
      <c r="M117"/>
      <c r="N117"/>
      <c r="O117"/>
      <c r="P117"/>
      <c r="Q117"/>
      <c r="R117"/>
    </row>
    <row r="118" spans="1:18" x14ac:dyDescent="0.4">
      <c r="A118"/>
      <c r="B118"/>
      <c r="C118"/>
      <c r="D118"/>
      <c r="E118"/>
      <c r="F118"/>
      <c r="G118"/>
      <c r="H118"/>
      <c r="I118"/>
      <c r="J118"/>
      <c r="K118"/>
      <c r="L118"/>
      <c r="M118"/>
      <c r="N118"/>
      <c r="O118"/>
      <c r="P118"/>
      <c r="Q118"/>
      <c r="R118"/>
    </row>
    <row r="119" spans="1:18" x14ac:dyDescent="0.4">
      <c r="A119"/>
      <c r="B119"/>
      <c r="C119"/>
      <c r="D119"/>
      <c r="E119"/>
      <c r="F119"/>
      <c r="G119"/>
      <c r="H119"/>
      <c r="I119"/>
      <c r="J119"/>
      <c r="K119"/>
      <c r="L119"/>
      <c r="M119"/>
      <c r="N119"/>
      <c r="O119"/>
      <c r="P119"/>
      <c r="Q119"/>
      <c r="R119"/>
    </row>
    <row r="120" spans="1:18" x14ac:dyDescent="0.4">
      <c r="A120"/>
      <c r="B120"/>
      <c r="C120"/>
      <c r="D120"/>
      <c r="E120"/>
      <c r="F120"/>
      <c r="G120"/>
      <c r="H120"/>
      <c r="I120"/>
      <c r="J120"/>
      <c r="K120"/>
      <c r="L120"/>
      <c r="M120"/>
      <c r="N120"/>
      <c r="O120"/>
      <c r="P120"/>
      <c r="Q120"/>
      <c r="R120"/>
    </row>
    <row r="121" spans="1:18" x14ac:dyDescent="0.4">
      <c r="A121"/>
      <c r="B121"/>
      <c r="C121"/>
      <c r="D121"/>
      <c r="E121"/>
      <c r="F121"/>
      <c r="G121"/>
      <c r="H121"/>
      <c r="I121"/>
      <c r="J121"/>
      <c r="K121"/>
      <c r="L121"/>
      <c r="M121"/>
      <c r="N121"/>
      <c r="O121"/>
      <c r="P121"/>
      <c r="Q121"/>
      <c r="R121"/>
    </row>
    <row r="122" spans="1:18" x14ac:dyDescent="0.4">
      <c r="A122"/>
      <c r="B122"/>
      <c r="C122"/>
      <c r="D122"/>
      <c r="E122"/>
      <c r="F122"/>
      <c r="G122"/>
      <c r="H122"/>
      <c r="I122"/>
      <c r="J122"/>
      <c r="K122"/>
      <c r="L122"/>
      <c r="M122"/>
      <c r="N122"/>
      <c r="O122"/>
      <c r="P122"/>
      <c r="Q122"/>
      <c r="R122"/>
    </row>
    <row r="123" spans="1:18" x14ac:dyDescent="0.4">
      <c r="A123"/>
      <c r="B123"/>
      <c r="C123"/>
      <c r="D123"/>
      <c r="E123"/>
      <c r="F123"/>
      <c r="G123"/>
      <c r="H123"/>
      <c r="I123"/>
      <c r="J123"/>
      <c r="K123"/>
      <c r="L123"/>
      <c r="M123"/>
      <c r="N123"/>
      <c r="O123"/>
      <c r="P123"/>
      <c r="Q123"/>
      <c r="R123"/>
    </row>
    <row r="124" spans="1:18" x14ac:dyDescent="0.4">
      <c r="A124"/>
      <c r="B124"/>
      <c r="C124"/>
      <c r="D124"/>
      <c r="E124"/>
      <c r="F124"/>
      <c r="G124"/>
      <c r="H124"/>
      <c r="I124"/>
      <c r="J124"/>
      <c r="K124"/>
      <c r="L124"/>
      <c r="M124"/>
      <c r="N124"/>
      <c r="O124"/>
      <c r="P124"/>
      <c r="Q124"/>
      <c r="R124"/>
    </row>
    <row r="125" spans="1:18" x14ac:dyDescent="0.4">
      <c r="A125"/>
      <c r="B125"/>
      <c r="C125"/>
      <c r="D125"/>
      <c r="E125"/>
      <c r="F125"/>
      <c r="G125"/>
      <c r="H125"/>
      <c r="I125"/>
      <c r="J125"/>
      <c r="K125"/>
      <c r="L125"/>
      <c r="M125"/>
      <c r="N125"/>
      <c r="O125"/>
      <c r="P125"/>
      <c r="Q125"/>
      <c r="R125"/>
    </row>
    <row r="126" spans="1:18" x14ac:dyDescent="0.4">
      <c r="A126"/>
      <c r="B126"/>
      <c r="C126"/>
      <c r="D126"/>
      <c r="E126"/>
      <c r="F126"/>
      <c r="G126"/>
      <c r="H126"/>
      <c r="I126"/>
      <c r="J126"/>
      <c r="K126"/>
      <c r="L126"/>
      <c r="M126"/>
      <c r="N126"/>
      <c r="O126"/>
      <c r="P126"/>
      <c r="Q126"/>
      <c r="R126"/>
    </row>
    <row r="127" spans="1:18" x14ac:dyDescent="0.4">
      <c r="A127"/>
      <c r="B127"/>
      <c r="C127"/>
      <c r="D127"/>
      <c r="E127"/>
      <c r="F127"/>
      <c r="G127"/>
      <c r="H127"/>
      <c r="I127"/>
      <c r="J127"/>
      <c r="K127"/>
      <c r="L127"/>
      <c r="M127"/>
      <c r="N127"/>
      <c r="O127"/>
      <c r="P127"/>
      <c r="Q127"/>
      <c r="R127"/>
    </row>
    <row r="128" spans="1:18" x14ac:dyDescent="0.4">
      <c r="A128"/>
      <c r="B128"/>
      <c r="C128"/>
      <c r="D128"/>
      <c r="E128"/>
      <c r="F128"/>
      <c r="G128"/>
      <c r="H128"/>
      <c r="I128"/>
      <c r="J128"/>
      <c r="K128"/>
      <c r="L128"/>
      <c r="M128"/>
      <c r="N128"/>
      <c r="O128"/>
      <c r="P128"/>
      <c r="Q128"/>
      <c r="R128"/>
    </row>
    <row r="129" spans="1:18" x14ac:dyDescent="0.4">
      <c r="A129"/>
      <c r="B129"/>
      <c r="C129"/>
      <c r="D129"/>
      <c r="E129"/>
      <c r="F129"/>
      <c r="G129"/>
      <c r="H129"/>
      <c r="I129"/>
      <c r="J129"/>
      <c r="K129"/>
      <c r="L129"/>
      <c r="M129"/>
      <c r="N129"/>
      <c r="O129"/>
      <c r="P129"/>
      <c r="Q129"/>
      <c r="R129"/>
    </row>
    <row r="130" spans="1:18" x14ac:dyDescent="0.4">
      <c r="A130"/>
      <c r="B130"/>
      <c r="C130"/>
      <c r="D130"/>
      <c r="E130"/>
      <c r="F130"/>
      <c r="G130"/>
      <c r="H130"/>
      <c r="I130"/>
      <c r="J130"/>
      <c r="K130"/>
      <c r="L130"/>
      <c r="M130"/>
      <c r="N130"/>
      <c r="O130"/>
      <c r="P130"/>
      <c r="Q130"/>
      <c r="R130"/>
    </row>
    <row r="131" spans="1:18" x14ac:dyDescent="0.4">
      <c r="A131"/>
      <c r="B131"/>
      <c r="C131"/>
      <c r="D131"/>
      <c r="E131"/>
      <c r="F131"/>
      <c r="G131"/>
      <c r="H131"/>
      <c r="I131"/>
      <c r="J131"/>
      <c r="K131"/>
      <c r="L131"/>
      <c r="M131"/>
      <c r="N131"/>
      <c r="O131"/>
      <c r="P131"/>
      <c r="Q131"/>
      <c r="R131"/>
    </row>
    <row r="132" spans="1:18" x14ac:dyDescent="0.4">
      <c r="A132"/>
      <c r="B132"/>
      <c r="C132"/>
      <c r="D132"/>
      <c r="E132"/>
      <c r="F132"/>
      <c r="G132"/>
      <c r="H132"/>
      <c r="I132"/>
      <c r="J132"/>
      <c r="K132"/>
      <c r="L132"/>
      <c r="M132"/>
      <c r="N132"/>
      <c r="O132"/>
      <c r="P132"/>
      <c r="Q132"/>
      <c r="R132"/>
    </row>
    <row r="133" spans="1:18" x14ac:dyDescent="0.4">
      <c r="A133"/>
      <c r="B133"/>
      <c r="C133"/>
      <c r="D133"/>
      <c r="E133"/>
      <c r="F133"/>
      <c r="G133"/>
      <c r="H133"/>
      <c r="I133"/>
      <c r="J133"/>
      <c r="K133"/>
      <c r="L133"/>
      <c r="M133"/>
      <c r="N133"/>
      <c r="O133"/>
      <c r="P133"/>
      <c r="Q133"/>
      <c r="R133"/>
    </row>
    <row r="134" spans="1:18" x14ac:dyDescent="0.4">
      <c r="A134"/>
      <c r="B134"/>
      <c r="C134"/>
      <c r="D134"/>
      <c r="E134"/>
      <c r="F134"/>
      <c r="G134"/>
      <c r="H134"/>
      <c r="I134"/>
      <c r="J134"/>
      <c r="K134"/>
      <c r="L134"/>
      <c r="M134"/>
      <c r="N134"/>
      <c r="O134"/>
      <c r="P134"/>
      <c r="Q134"/>
      <c r="R134"/>
    </row>
    <row r="135" spans="1:18" x14ac:dyDescent="0.4">
      <c r="A135"/>
      <c r="B135"/>
      <c r="C135"/>
      <c r="D135"/>
      <c r="E135"/>
      <c r="F135"/>
      <c r="G135"/>
      <c r="H135"/>
      <c r="I135"/>
      <c r="J135"/>
      <c r="K135"/>
      <c r="L135"/>
      <c r="M135"/>
      <c r="N135"/>
      <c r="O135"/>
      <c r="P135"/>
      <c r="Q135"/>
      <c r="R135"/>
    </row>
    <row r="136" spans="1:18" x14ac:dyDescent="0.4">
      <c r="A136"/>
      <c r="B136"/>
      <c r="C136"/>
      <c r="D136"/>
      <c r="E136"/>
      <c r="F136"/>
      <c r="G136"/>
      <c r="H136"/>
      <c r="I136"/>
      <c r="J136"/>
      <c r="K136"/>
      <c r="L136"/>
      <c r="M136"/>
      <c r="N136"/>
      <c r="O136"/>
      <c r="P136"/>
      <c r="Q136"/>
      <c r="R136"/>
    </row>
    <row r="137" spans="1:18" x14ac:dyDescent="0.4">
      <c r="A137"/>
      <c r="B137"/>
      <c r="C137"/>
      <c r="D137"/>
      <c r="E137"/>
      <c r="F137"/>
      <c r="G137"/>
      <c r="H137"/>
      <c r="I137"/>
      <c r="J137"/>
      <c r="K137"/>
      <c r="L137"/>
      <c r="M137"/>
      <c r="N137"/>
      <c r="O137"/>
      <c r="P137"/>
      <c r="Q137"/>
      <c r="R137"/>
    </row>
    <row r="138" spans="1:18" x14ac:dyDescent="0.4">
      <c r="A138"/>
      <c r="B138"/>
      <c r="C138"/>
      <c r="D138"/>
      <c r="E138"/>
      <c r="F138"/>
      <c r="G138"/>
      <c r="H138"/>
      <c r="I138"/>
      <c r="J138"/>
      <c r="K138"/>
      <c r="L138"/>
      <c r="M138"/>
      <c r="N138"/>
      <c r="O138"/>
      <c r="P138"/>
      <c r="Q138"/>
      <c r="R138"/>
    </row>
    <row r="139" spans="1:18" x14ac:dyDescent="0.4">
      <c r="A139"/>
      <c r="B139"/>
      <c r="C139"/>
      <c r="D139"/>
      <c r="E139"/>
      <c r="F139"/>
      <c r="G139"/>
      <c r="H139"/>
      <c r="I139"/>
      <c r="J139"/>
      <c r="K139"/>
      <c r="L139"/>
      <c r="M139"/>
      <c r="N139"/>
      <c r="O139"/>
      <c r="P139"/>
      <c r="Q139"/>
      <c r="R139"/>
    </row>
    <row r="140" spans="1:18" x14ac:dyDescent="0.4">
      <c r="A140"/>
      <c r="B140"/>
      <c r="C140"/>
      <c r="D140"/>
      <c r="E140"/>
      <c r="F140"/>
      <c r="G140"/>
      <c r="H140"/>
      <c r="I140"/>
      <c r="J140"/>
      <c r="K140"/>
      <c r="L140"/>
      <c r="M140"/>
      <c r="N140"/>
      <c r="O140"/>
      <c r="P140"/>
      <c r="Q140"/>
      <c r="R140"/>
    </row>
    <row r="141" spans="1:18" x14ac:dyDescent="0.4">
      <c r="A141"/>
      <c r="B141"/>
      <c r="C141"/>
      <c r="D141"/>
      <c r="E141"/>
      <c r="F141"/>
      <c r="G141"/>
      <c r="H141"/>
      <c r="I141"/>
      <c r="J141"/>
      <c r="K141"/>
      <c r="L141"/>
      <c r="M141"/>
      <c r="N141"/>
      <c r="O141"/>
      <c r="P141"/>
      <c r="Q141"/>
      <c r="R141"/>
    </row>
    <row r="142" spans="1:18" x14ac:dyDescent="0.4">
      <c r="A142"/>
      <c r="B142"/>
      <c r="C142"/>
      <c r="D142"/>
      <c r="E142"/>
      <c r="F142"/>
      <c r="G142"/>
      <c r="H142"/>
      <c r="I142"/>
      <c r="J142"/>
      <c r="K142"/>
      <c r="L142"/>
      <c r="M142"/>
      <c r="N142"/>
      <c r="O142"/>
      <c r="P142"/>
      <c r="Q142"/>
      <c r="R142"/>
    </row>
    <row r="143" spans="1:18" x14ac:dyDescent="0.4">
      <c r="A143"/>
      <c r="B143"/>
      <c r="C143"/>
      <c r="D143"/>
      <c r="E143"/>
      <c r="F143"/>
      <c r="G143"/>
      <c r="H143"/>
      <c r="I143"/>
      <c r="J143"/>
      <c r="K143"/>
      <c r="L143"/>
      <c r="M143"/>
      <c r="N143"/>
      <c r="O143"/>
      <c r="P143"/>
      <c r="Q143"/>
      <c r="R143"/>
    </row>
    <row r="144" spans="1:18" x14ac:dyDescent="0.4">
      <c r="A144"/>
      <c r="B144"/>
      <c r="C144"/>
      <c r="D144"/>
      <c r="E144"/>
      <c r="F144"/>
      <c r="G144"/>
      <c r="H144"/>
      <c r="I144"/>
      <c r="J144"/>
      <c r="K144"/>
      <c r="L144"/>
      <c r="M144"/>
      <c r="N144"/>
      <c r="O144"/>
      <c r="P144"/>
      <c r="Q144"/>
      <c r="R144"/>
    </row>
    <row r="145" spans="1:18" x14ac:dyDescent="0.4">
      <c r="A145"/>
      <c r="B145"/>
      <c r="C145"/>
      <c r="D145"/>
      <c r="E145"/>
      <c r="F145"/>
      <c r="G145"/>
      <c r="H145"/>
      <c r="I145"/>
      <c r="J145"/>
      <c r="K145"/>
      <c r="L145"/>
      <c r="M145"/>
      <c r="N145"/>
      <c r="O145"/>
      <c r="P145"/>
      <c r="Q145"/>
      <c r="R145"/>
    </row>
    <row r="146" spans="1:18" x14ac:dyDescent="0.4">
      <c r="A146"/>
      <c r="B146"/>
      <c r="C146"/>
      <c r="D146"/>
      <c r="E146"/>
      <c r="F146"/>
      <c r="G146"/>
      <c r="H146"/>
      <c r="I146"/>
      <c r="J146"/>
      <c r="K146"/>
      <c r="L146"/>
      <c r="M146"/>
      <c r="N146"/>
      <c r="O146"/>
      <c r="P146"/>
      <c r="Q146"/>
      <c r="R146"/>
    </row>
    <row r="147" spans="1:18" x14ac:dyDescent="0.4">
      <c r="A147"/>
      <c r="B147"/>
      <c r="C147"/>
      <c r="D147"/>
      <c r="E147"/>
      <c r="F147"/>
      <c r="G147"/>
      <c r="H147"/>
      <c r="I147"/>
      <c r="J147"/>
      <c r="K147"/>
      <c r="L147"/>
      <c r="M147"/>
      <c r="N147"/>
      <c r="O147"/>
      <c r="P147"/>
      <c r="Q147"/>
      <c r="R147"/>
    </row>
    <row r="148" spans="1:18" x14ac:dyDescent="0.4">
      <c r="A148"/>
      <c r="B148"/>
      <c r="C148"/>
      <c r="D148"/>
      <c r="E148"/>
      <c r="F148"/>
      <c r="G148"/>
      <c r="H148"/>
      <c r="I148"/>
      <c r="J148"/>
      <c r="K148"/>
      <c r="L148"/>
      <c r="M148"/>
      <c r="N148"/>
      <c r="O148"/>
      <c r="P148"/>
      <c r="Q148"/>
      <c r="R148"/>
    </row>
    <row r="149" spans="1:18" x14ac:dyDescent="0.4">
      <c r="A149"/>
      <c r="B149"/>
      <c r="C149"/>
      <c r="D149"/>
      <c r="E149"/>
      <c r="F149"/>
      <c r="G149"/>
      <c r="H149"/>
      <c r="I149"/>
      <c r="J149"/>
      <c r="K149"/>
      <c r="L149"/>
      <c r="M149"/>
      <c r="N149"/>
      <c r="O149"/>
      <c r="P149"/>
      <c r="Q149"/>
      <c r="R149"/>
    </row>
    <row r="150" spans="1:18" x14ac:dyDescent="0.4">
      <c r="A150"/>
      <c r="B150"/>
      <c r="C150"/>
      <c r="D150"/>
      <c r="E150"/>
      <c r="F150"/>
      <c r="G150"/>
      <c r="H150"/>
      <c r="I150"/>
      <c r="J150"/>
      <c r="K150"/>
      <c r="L150"/>
      <c r="M150"/>
      <c r="N150"/>
      <c r="O150"/>
      <c r="P150"/>
      <c r="Q150"/>
      <c r="R150"/>
    </row>
    <row r="151" spans="1:18" x14ac:dyDescent="0.4">
      <c r="A151"/>
      <c r="B151"/>
      <c r="C151"/>
      <c r="D151"/>
      <c r="E151"/>
      <c r="F151"/>
      <c r="G151"/>
      <c r="H151"/>
      <c r="I151"/>
      <c r="J151"/>
      <c r="K151"/>
      <c r="L151"/>
      <c r="M151"/>
      <c r="N151"/>
      <c r="O151"/>
      <c r="P151"/>
      <c r="Q151"/>
      <c r="R151"/>
    </row>
    <row r="152" spans="1:18" x14ac:dyDescent="0.4">
      <c r="A152"/>
      <c r="B152"/>
      <c r="C152"/>
      <c r="D152"/>
      <c r="E152"/>
      <c r="F152"/>
      <c r="G152"/>
      <c r="H152"/>
      <c r="I152"/>
      <c r="J152"/>
      <c r="K152"/>
      <c r="L152"/>
      <c r="M152"/>
      <c r="N152"/>
      <c r="O152"/>
      <c r="P152"/>
      <c r="Q152"/>
      <c r="R152"/>
    </row>
    <row r="153" spans="1:18" x14ac:dyDescent="0.4">
      <c r="A153"/>
      <c r="B153"/>
      <c r="C153"/>
      <c r="D153"/>
      <c r="E153"/>
      <c r="F153"/>
      <c r="G153"/>
      <c r="H153"/>
      <c r="I153"/>
      <c r="J153"/>
      <c r="K153"/>
      <c r="L153"/>
      <c r="M153"/>
      <c r="N153"/>
      <c r="O153"/>
      <c r="P153"/>
      <c r="Q153"/>
      <c r="R153"/>
    </row>
    <row r="154" spans="1:18" x14ac:dyDescent="0.4">
      <c r="A154"/>
      <c r="B154"/>
      <c r="C154"/>
      <c r="D154"/>
      <c r="E154"/>
      <c r="F154"/>
      <c r="G154"/>
      <c r="H154"/>
      <c r="I154"/>
      <c r="J154"/>
      <c r="K154"/>
      <c r="L154"/>
      <c r="M154"/>
      <c r="N154"/>
      <c r="O154"/>
      <c r="P154"/>
      <c r="Q154"/>
      <c r="R154"/>
    </row>
    <row r="155" spans="1:18" x14ac:dyDescent="0.4">
      <c r="A155"/>
      <c r="B155"/>
      <c r="C155"/>
      <c r="D155"/>
      <c r="E155"/>
      <c r="F155"/>
      <c r="G155"/>
      <c r="H155"/>
      <c r="I155"/>
      <c r="J155"/>
      <c r="K155"/>
      <c r="L155"/>
      <c r="M155"/>
      <c r="N155"/>
      <c r="O155"/>
      <c r="P155"/>
      <c r="Q155"/>
      <c r="R155"/>
    </row>
    <row r="156" spans="1:18" x14ac:dyDescent="0.4">
      <c r="A156"/>
      <c r="B156"/>
      <c r="C156"/>
      <c r="D156"/>
      <c r="E156"/>
      <c r="F156"/>
      <c r="G156"/>
      <c r="H156"/>
      <c r="I156"/>
      <c r="J156"/>
      <c r="K156"/>
      <c r="L156"/>
      <c r="M156"/>
      <c r="N156"/>
      <c r="O156"/>
      <c r="P156"/>
      <c r="Q156"/>
      <c r="R156"/>
    </row>
    <row r="157" spans="1:18" x14ac:dyDescent="0.4">
      <c r="A157"/>
      <c r="B157"/>
      <c r="C157"/>
      <c r="D157"/>
      <c r="E157"/>
      <c r="F157"/>
      <c r="G157"/>
      <c r="H157"/>
      <c r="I157"/>
      <c r="J157"/>
      <c r="K157"/>
      <c r="L157"/>
      <c r="M157"/>
      <c r="N157"/>
      <c r="O157"/>
      <c r="P157"/>
      <c r="Q157"/>
      <c r="R157"/>
    </row>
    <row r="158" spans="1:18" x14ac:dyDescent="0.4">
      <c r="A158"/>
      <c r="B158"/>
      <c r="C158"/>
      <c r="D158"/>
      <c r="E158"/>
      <c r="F158"/>
      <c r="G158"/>
      <c r="H158"/>
      <c r="I158"/>
      <c r="J158"/>
      <c r="K158"/>
      <c r="L158"/>
      <c r="M158"/>
      <c r="N158"/>
      <c r="O158"/>
      <c r="P158"/>
      <c r="Q158"/>
      <c r="R158"/>
    </row>
    <row r="159" spans="1:18" x14ac:dyDescent="0.4">
      <c r="A159"/>
      <c r="B159"/>
      <c r="C159"/>
      <c r="D159"/>
      <c r="E159"/>
      <c r="F159"/>
      <c r="G159"/>
      <c r="H159"/>
      <c r="I159"/>
      <c r="J159"/>
      <c r="K159"/>
      <c r="L159"/>
      <c r="M159"/>
      <c r="N159"/>
      <c r="O159"/>
      <c r="P159"/>
      <c r="Q159"/>
      <c r="R159"/>
    </row>
    <row r="160" spans="1:18" x14ac:dyDescent="0.4">
      <c r="A160"/>
      <c r="B160"/>
      <c r="C160"/>
      <c r="D160"/>
      <c r="E160"/>
      <c r="F160"/>
      <c r="G160"/>
      <c r="H160"/>
      <c r="I160"/>
      <c r="J160"/>
      <c r="K160"/>
      <c r="L160"/>
      <c r="M160"/>
      <c r="N160"/>
      <c r="O160"/>
      <c r="P160"/>
      <c r="Q160"/>
      <c r="R160"/>
    </row>
    <row r="161" spans="1:18" x14ac:dyDescent="0.4">
      <c r="A161"/>
      <c r="B161"/>
      <c r="C161"/>
      <c r="D161"/>
      <c r="E161"/>
      <c r="F161"/>
      <c r="G161"/>
      <c r="H161"/>
      <c r="I161"/>
      <c r="J161"/>
      <c r="K161"/>
      <c r="L161"/>
      <c r="M161"/>
      <c r="N161"/>
      <c r="O161"/>
      <c r="P161"/>
      <c r="Q161"/>
      <c r="R161"/>
    </row>
    <row r="162" spans="1:18" x14ac:dyDescent="0.4">
      <c r="A162"/>
      <c r="B162"/>
      <c r="C162"/>
      <c r="D162"/>
      <c r="E162"/>
      <c r="F162"/>
      <c r="G162"/>
      <c r="H162"/>
      <c r="I162"/>
      <c r="J162"/>
      <c r="K162"/>
      <c r="L162"/>
      <c r="M162"/>
      <c r="N162"/>
      <c r="O162"/>
      <c r="P162"/>
      <c r="Q162"/>
      <c r="R162"/>
    </row>
    <row r="163" spans="1:18" x14ac:dyDescent="0.4">
      <c r="A163"/>
      <c r="B163"/>
      <c r="C163"/>
      <c r="D163"/>
      <c r="E163"/>
      <c r="F163"/>
      <c r="G163"/>
      <c r="H163"/>
      <c r="I163"/>
      <c r="J163"/>
      <c r="K163"/>
      <c r="L163"/>
      <c r="M163"/>
      <c r="N163"/>
      <c r="O163"/>
      <c r="P163"/>
      <c r="Q163"/>
      <c r="R163"/>
    </row>
    <row r="164" spans="1:18" x14ac:dyDescent="0.4">
      <c r="A164"/>
      <c r="B164"/>
      <c r="C164"/>
      <c r="D164"/>
      <c r="E164"/>
      <c r="F164"/>
      <c r="G164"/>
      <c r="H164"/>
      <c r="I164"/>
      <c r="J164"/>
      <c r="K164"/>
      <c r="L164"/>
      <c r="M164"/>
      <c r="N164"/>
      <c r="O164"/>
      <c r="P164"/>
      <c r="Q164"/>
      <c r="R164"/>
    </row>
    <row r="165" spans="1:18" x14ac:dyDescent="0.4">
      <c r="A165"/>
      <c r="B165"/>
      <c r="C165"/>
      <c r="D165"/>
      <c r="E165"/>
      <c r="F165"/>
      <c r="G165"/>
      <c r="H165"/>
      <c r="I165"/>
      <c r="J165"/>
      <c r="K165"/>
      <c r="L165"/>
      <c r="M165"/>
      <c r="N165"/>
      <c r="O165"/>
      <c r="P165"/>
      <c r="Q165"/>
      <c r="R165"/>
    </row>
    <row r="166" spans="1:18" x14ac:dyDescent="0.4">
      <c r="A166"/>
      <c r="B166"/>
      <c r="C166"/>
      <c r="D166"/>
      <c r="E166"/>
      <c r="F166"/>
      <c r="G166"/>
      <c r="H166"/>
      <c r="I166"/>
      <c r="J166"/>
      <c r="K166"/>
      <c r="L166"/>
      <c r="M166"/>
      <c r="N166"/>
      <c r="O166"/>
      <c r="P166"/>
      <c r="Q166"/>
      <c r="R166"/>
    </row>
    <row r="167" spans="1:18" x14ac:dyDescent="0.4">
      <c r="A167"/>
      <c r="B167"/>
      <c r="C167"/>
      <c r="D167"/>
      <c r="E167"/>
      <c r="F167"/>
      <c r="G167"/>
      <c r="H167"/>
      <c r="I167"/>
      <c r="J167"/>
      <c r="K167"/>
      <c r="L167"/>
      <c r="M167"/>
      <c r="N167"/>
      <c r="O167"/>
      <c r="P167"/>
      <c r="Q167"/>
      <c r="R167"/>
    </row>
    <row r="168" spans="1:18" x14ac:dyDescent="0.4">
      <c r="A168"/>
      <c r="B168"/>
      <c r="C168"/>
      <c r="D168"/>
      <c r="E168"/>
      <c r="F168"/>
      <c r="G168"/>
      <c r="H168"/>
      <c r="I168"/>
      <c r="J168"/>
      <c r="K168"/>
      <c r="L168"/>
      <c r="M168"/>
      <c r="N168"/>
      <c r="O168"/>
      <c r="P168"/>
      <c r="Q168"/>
      <c r="R168"/>
    </row>
    <row r="169" spans="1:18" x14ac:dyDescent="0.4">
      <c r="A169"/>
      <c r="B169"/>
      <c r="C169"/>
      <c r="D169"/>
      <c r="E169"/>
      <c r="F169"/>
      <c r="G169"/>
      <c r="H169"/>
      <c r="I169"/>
      <c r="J169"/>
      <c r="K169"/>
      <c r="L169"/>
      <c r="M169"/>
      <c r="N169"/>
      <c r="O169"/>
      <c r="P169"/>
      <c r="Q169"/>
      <c r="R169"/>
    </row>
    <row r="170" spans="1:18" x14ac:dyDescent="0.4">
      <c r="A170"/>
      <c r="B170"/>
      <c r="C170"/>
      <c r="D170"/>
      <c r="E170"/>
      <c r="F170"/>
      <c r="G170"/>
      <c r="H170"/>
      <c r="I170"/>
      <c r="J170"/>
      <c r="K170"/>
      <c r="L170"/>
      <c r="M170"/>
      <c r="N170"/>
      <c r="O170"/>
      <c r="P170"/>
      <c r="Q170"/>
      <c r="R170"/>
    </row>
    <row r="171" spans="1:18" x14ac:dyDescent="0.4">
      <c r="A171"/>
      <c r="B171"/>
      <c r="C171"/>
      <c r="D171"/>
      <c r="E171"/>
      <c r="F171"/>
      <c r="G171"/>
      <c r="H171"/>
      <c r="I171"/>
      <c r="J171"/>
      <c r="K171"/>
      <c r="L171"/>
      <c r="M171"/>
      <c r="N171"/>
      <c r="O171"/>
      <c r="P171"/>
      <c r="Q171"/>
      <c r="R171"/>
    </row>
    <row r="172" spans="1:18" x14ac:dyDescent="0.4">
      <c r="A172"/>
      <c r="B172"/>
      <c r="C172"/>
      <c r="D172"/>
      <c r="E172"/>
      <c r="F172"/>
      <c r="G172"/>
      <c r="H172"/>
      <c r="I172"/>
      <c r="J172"/>
      <c r="K172"/>
      <c r="L172"/>
      <c r="M172"/>
      <c r="N172"/>
      <c r="O172"/>
      <c r="P172"/>
      <c r="Q172"/>
      <c r="R172"/>
    </row>
    <row r="173" spans="1:18" x14ac:dyDescent="0.4">
      <c r="A173"/>
      <c r="B173"/>
      <c r="C173"/>
      <c r="D173"/>
      <c r="E173"/>
      <c r="F173"/>
      <c r="G173"/>
      <c r="H173"/>
      <c r="I173"/>
      <c r="J173"/>
      <c r="K173"/>
      <c r="L173"/>
      <c r="M173"/>
      <c r="N173"/>
      <c r="O173"/>
      <c r="P173"/>
      <c r="Q173"/>
      <c r="R173"/>
    </row>
    <row r="174" spans="1:18" x14ac:dyDescent="0.4">
      <c r="A174"/>
      <c r="B174"/>
      <c r="C174"/>
      <c r="D174"/>
      <c r="E174"/>
      <c r="F174"/>
      <c r="G174"/>
      <c r="H174"/>
      <c r="I174"/>
      <c r="J174"/>
      <c r="K174"/>
      <c r="L174"/>
      <c r="M174"/>
      <c r="N174"/>
      <c r="O174"/>
      <c r="P174"/>
      <c r="Q174"/>
      <c r="R174"/>
    </row>
    <row r="175" spans="1:18" x14ac:dyDescent="0.4">
      <c r="A175"/>
      <c r="B175"/>
      <c r="C175"/>
      <c r="D175"/>
      <c r="E175"/>
      <c r="F175"/>
      <c r="G175"/>
      <c r="H175"/>
      <c r="I175"/>
      <c r="J175"/>
      <c r="K175"/>
      <c r="L175"/>
      <c r="M175"/>
      <c r="N175"/>
      <c r="O175"/>
      <c r="P175"/>
      <c r="Q175"/>
      <c r="R175"/>
    </row>
    <row r="176" spans="1:18" x14ac:dyDescent="0.4">
      <c r="A176"/>
      <c r="B176"/>
      <c r="C176"/>
      <c r="D176"/>
      <c r="E176"/>
      <c r="F176"/>
      <c r="G176"/>
      <c r="H176"/>
      <c r="I176"/>
      <c r="J176"/>
      <c r="K176"/>
      <c r="L176"/>
      <c r="M176"/>
      <c r="N176"/>
      <c r="O176"/>
      <c r="P176"/>
      <c r="Q176"/>
      <c r="R176"/>
    </row>
    <row r="177" spans="1:18" x14ac:dyDescent="0.4">
      <c r="A177"/>
      <c r="B177"/>
      <c r="C177"/>
      <c r="D177"/>
      <c r="E177"/>
      <c r="F177"/>
      <c r="G177"/>
      <c r="H177"/>
      <c r="I177"/>
      <c r="J177"/>
      <c r="K177"/>
      <c r="L177"/>
      <c r="M177"/>
      <c r="N177"/>
      <c r="O177"/>
      <c r="P177"/>
      <c r="Q177"/>
      <c r="R177"/>
    </row>
    <row r="178" spans="1:18" x14ac:dyDescent="0.4">
      <c r="A178"/>
      <c r="B178"/>
      <c r="C178"/>
      <c r="D178"/>
      <c r="E178"/>
      <c r="F178"/>
      <c r="G178"/>
      <c r="H178"/>
      <c r="I178"/>
      <c r="J178"/>
      <c r="K178"/>
      <c r="L178"/>
      <c r="M178"/>
      <c r="N178"/>
      <c r="O178"/>
      <c r="P178"/>
      <c r="Q178"/>
      <c r="R178"/>
    </row>
    <row r="179" spans="1:18" x14ac:dyDescent="0.4">
      <c r="A179"/>
      <c r="B179"/>
      <c r="C179"/>
      <c r="D179"/>
      <c r="E179"/>
      <c r="F179"/>
      <c r="G179"/>
      <c r="H179"/>
      <c r="I179"/>
      <c r="J179"/>
      <c r="K179"/>
      <c r="L179"/>
      <c r="M179"/>
      <c r="N179"/>
      <c r="O179"/>
      <c r="P179"/>
      <c r="Q179"/>
      <c r="R179"/>
    </row>
    <row r="180" spans="1:18" x14ac:dyDescent="0.4">
      <c r="A180"/>
      <c r="B180"/>
      <c r="C180"/>
      <c r="D180"/>
      <c r="E180"/>
      <c r="F180"/>
      <c r="G180"/>
      <c r="H180"/>
      <c r="I180"/>
      <c r="J180"/>
      <c r="K180"/>
      <c r="L180"/>
      <c r="M180"/>
      <c r="N180"/>
      <c r="O180"/>
      <c r="P180"/>
      <c r="Q180"/>
      <c r="R180"/>
    </row>
    <row r="181" spans="1:18" x14ac:dyDescent="0.4">
      <c r="A181"/>
      <c r="B181"/>
      <c r="C181"/>
      <c r="D181"/>
      <c r="E181"/>
      <c r="F181"/>
      <c r="G181"/>
      <c r="H181"/>
      <c r="I181"/>
      <c r="J181"/>
      <c r="K181"/>
      <c r="L181"/>
      <c r="M181"/>
      <c r="N181"/>
      <c r="O181"/>
      <c r="P181"/>
      <c r="Q181"/>
      <c r="R181"/>
    </row>
    <row r="182" spans="1:18" x14ac:dyDescent="0.4">
      <c r="A182"/>
      <c r="B182"/>
      <c r="C182"/>
      <c r="D182"/>
      <c r="E182"/>
      <c r="F182"/>
      <c r="G182"/>
      <c r="H182"/>
      <c r="I182"/>
      <c r="J182"/>
      <c r="K182"/>
      <c r="L182"/>
      <c r="M182"/>
      <c r="N182"/>
      <c r="O182"/>
      <c r="P182"/>
      <c r="Q182"/>
      <c r="R182"/>
    </row>
    <row r="183" spans="1:18" x14ac:dyDescent="0.4">
      <c r="A183"/>
      <c r="B183"/>
      <c r="C183"/>
      <c r="D183"/>
      <c r="E183"/>
      <c r="F183"/>
      <c r="G183"/>
      <c r="H183"/>
      <c r="I183"/>
      <c r="J183"/>
      <c r="K183"/>
      <c r="L183"/>
      <c r="M183"/>
      <c r="N183"/>
      <c r="O183"/>
      <c r="P183"/>
      <c r="Q183"/>
      <c r="R183"/>
    </row>
    <row r="184" spans="1:18" x14ac:dyDescent="0.4">
      <c r="A184"/>
      <c r="B184"/>
      <c r="C184"/>
      <c r="D184"/>
      <c r="E184"/>
      <c r="F184"/>
      <c r="G184"/>
      <c r="H184"/>
      <c r="I184"/>
      <c r="J184"/>
      <c r="K184"/>
      <c r="L184"/>
      <c r="M184"/>
      <c r="N184"/>
      <c r="O184"/>
      <c r="P184"/>
      <c r="Q184"/>
      <c r="R184"/>
    </row>
    <row r="185" spans="1:18" x14ac:dyDescent="0.4">
      <c r="A185"/>
      <c r="B185"/>
      <c r="C185"/>
      <c r="D185"/>
      <c r="E185"/>
      <c r="F185"/>
      <c r="G185"/>
      <c r="H185"/>
      <c r="I185"/>
      <c r="J185"/>
      <c r="K185"/>
      <c r="L185"/>
      <c r="M185"/>
      <c r="N185"/>
      <c r="O185"/>
      <c r="P185"/>
      <c r="Q185"/>
      <c r="R185"/>
    </row>
    <row r="186" spans="1:18" x14ac:dyDescent="0.4">
      <c r="A186"/>
      <c r="B186"/>
      <c r="C186"/>
      <c r="D186"/>
      <c r="E186"/>
      <c r="F186"/>
      <c r="G186"/>
      <c r="H186"/>
      <c r="I186"/>
      <c r="J186"/>
      <c r="K186"/>
      <c r="L186"/>
      <c r="M186"/>
      <c r="N186"/>
      <c r="O186"/>
      <c r="P186"/>
      <c r="Q186"/>
      <c r="R186"/>
    </row>
    <row r="187" spans="1:18" x14ac:dyDescent="0.4">
      <c r="A187"/>
      <c r="B187"/>
      <c r="C187"/>
      <c r="D187"/>
      <c r="E187"/>
      <c r="F187"/>
      <c r="G187"/>
      <c r="H187"/>
      <c r="I187"/>
      <c r="J187"/>
      <c r="K187"/>
      <c r="L187"/>
      <c r="M187"/>
      <c r="N187"/>
      <c r="O187"/>
      <c r="P187"/>
      <c r="Q187"/>
      <c r="R187"/>
    </row>
    <row r="188" spans="1:18" x14ac:dyDescent="0.4">
      <c r="A188"/>
      <c r="B188"/>
      <c r="C188"/>
      <c r="D188"/>
      <c r="E188"/>
      <c r="F188"/>
      <c r="G188"/>
      <c r="H188"/>
      <c r="I188"/>
      <c r="J188"/>
      <c r="K188"/>
      <c r="L188"/>
      <c r="M188"/>
      <c r="N188"/>
      <c r="O188"/>
      <c r="P188"/>
      <c r="Q188"/>
      <c r="R188"/>
    </row>
    <row r="189" spans="1:18" x14ac:dyDescent="0.4">
      <c r="A189"/>
      <c r="B189"/>
      <c r="C189"/>
      <c r="D189"/>
      <c r="E189"/>
      <c r="F189"/>
      <c r="G189"/>
      <c r="H189"/>
      <c r="I189"/>
      <c r="J189"/>
      <c r="K189"/>
      <c r="L189"/>
      <c r="M189"/>
      <c r="N189"/>
      <c r="O189"/>
      <c r="P189"/>
      <c r="Q189"/>
      <c r="R189"/>
    </row>
    <row r="190" spans="1:18" x14ac:dyDescent="0.4">
      <c r="A190"/>
      <c r="B190"/>
      <c r="C190"/>
      <c r="D190"/>
      <c r="E190"/>
      <c r="F190"/>
      <c r="G190"/>
      <c r="H190"/>
      <c r="I190"/>
      <c r="J190"/>
      <c r="K190"/>
      <c r="L190"/>
      <c r="M190"/>
      <c r="N190"/>
      <c r="O190"/>
      <c r="P190"/>
      <c r="Q190"/>
      <c r="R190"/>
    </row>
    <row r="191" spans="1:18" x14ac:dyDescent="0.4">
      <c r="A191"/>
      <c r="B191"/>
      <c r="C191"/>
      <c r="D191"/>
      <c r="E191"/>
      <c r="F191"/>
      <c r="G191"/>
      <c r="H191"/>
      <c r="I191"/>
      <c r="J191"/>
      <c r="K191"/>
      <c r="L191"/>
      <c r="M191"/>
      <c r="N191"/>
      <c r="O191"/>
      <c r="P191"/>
      <c r="Q191"/>
      <c r="R191"/>
    </row>
    <row r="192" spans="1:18" x14ac:dyDescent="0.4">
      <c r="A192"/>
      <c r="B192"/>
      <c r="C192"/>
      <c r="D192"/>
      <c r="E192"/>
      <c r="F192"/>
      <c r="G192"/>
      <c r="H192"/>
      <c r="I192"/>
      <c r="J192"/>
      <c r="K192"/>
      <c r="L192"/>
      <c r="M192"/>
      <c r="N192"/>
      <c r="O192"/>
      <c r="P192"/>
      <c r="Q192"/>
      <c r="R192"/>
    </row>
    <row r="193" spans="1:18" x14ac:dyDescent="0.4">
      <c r="A193"/>
      <c r="B193"/>
      <c r="C193"/>
      <c r="D193"/>
      <c r="E193"/>
      <c r="F193"/>
      <c r="G193"/>
      <c r="H193"/>
      <c r="I193"/>
      <c r="J193"/>
      <c r="K193"/>
      <c r="L193"/>
      <c r="M193"/>
      <c r="N193"/>
      <c r="O193"/>
      <c r="P193"/>
      <c r="Q193"/>
      <c r="R193"/>
    </row>
    <row r="194" spans="1:18" x14ac:dyDescent="0.4">
      <c r="A194"/>
      <c r="B194"/>
      <c r="C194"/>
      <c r="D194"/>
      <c r="E194"/>
      <c r="F194"/>
      <c r="G194"/>
      <c r="H194"/>
      <c r="I194"/>
      <c r="J194"/>
      <c r="K194"/>
      <c r="L194"/>
      <c r="M194"/>
      <c r="N194"/>
      <c r="O194"/>
      <c r="P194"/>
      <c r="Q194"/>
      <c r="R194"/>
    </row>
    <row r="195" spans="1:18" x14ac:dyDescent="0.4">
      <c r="A195"/>
      <c r="B195"/>
      <c r="C195"/>
      <c r="D195"/>
      <c r="E195"/>
      <c r="F195"/>
      <c r="G195"/>
      <c r="H195"/>
      <c r="I195"/>
      <c r="J195"/>
      <c r="K195"/>
      <c r="L195"/>
      <c r="M195"/>
      <c r="N195"/>
      <c r="O195"/>
      <c r="P195"/>
      <c r="Q195"/>
      <c r="R195"/>
    </row>
    <row r="196" spans="1:18" x14ac:dyDescent="0.4">
      <c r="A196"/>
      <c r="B196"/>
      <c r="C196"/>
      <c r="D196"/>
      <c r="E196"/>
      <c r="F196"/>
      <c r="G196"/>
      <c r="H196"/>
      <c r="I196"/>
      <c r="J196"/>
      <c r="K196"/>
      <c r="L196"/>
      <c r="M196"/>
      <c r="N196"/>
      <c r="O196"/>
      <c r="P196"/>
      <c r="Q196"/>
      <c r="R196"/>
    </row>
    <row r="197" spans="1:18" x14ac:dyDescent="0.4">
      <c r="A197"/>
      <c r="B197"/>
      <c r="C197"/>
      <c r="D197"/>
      <c r="E197"/>
      <c r="F197"/>
      <c r="G197"/>
      <c r="H197"/>
      <c r="I197"/>
      <c r="J197"/>
      <c r="K197"/>
      <c r="L197"/>
      <c r="M197"/>
      <c r="N197"/>
      <c r="O197"/>
      <c r="P197"/>
      <c r="Q197"/>
      <c r="R197"/>
    </row>
    <row r="198" spans="1:18" x14ac:dyDescent="0.4">
      <c r="A198"/>
      <c r="B198"/>
      <c r="C198"/>
      <c r="D198"/>
      <c r="E198"/>
      <c r="F198"/>
      <c r="G198"/>
      <c r="H198"/>
      <c r="I198"/>
      <c r="J198"/>
      <c r="K198"/>
      <c r="L198"/>
      <c r="M198"/>
      <c r="N198"/>
      <c r="O198"/>
      <c r="P198"/>
      <c r="Q198"/>
      <c r="R198"/>
    </row>
    <row r="199" spans="1:18" x14ac:dyDescent="0.4">
      <c r="A199"/>
      <c r="B199"/>
      <c r="C199"/>
      <c r="D199"/>
      <c r="E199"/>
      <c r="F199"/>
      <c r="G199"/>
      <c r="H199"/>
      <c r="I199"/>
      <c r="J199"/>
      <c r="K199"/>
      <c r="L199"/>
      <c r="M199"/>
      <c r="N199"/>
      <c r="O199"/>
      <c r="P199"/>
      <c r="Q199"/>
      <c r="R199"/>
    </row>
    <row r="200" spans="1:18" x14ac:dyDescent="0.4">
      <c r="A200"/>
      <c r="B200"/>
      <c r="C200"/>
      <c r="D200"/>
      <c r="E200"/>
      <c r="F200"/>
      <c r="G200"/>
      <c r="H200"/>
      <c r="I200"/>
      <c r="J200"/>
      <c r="K200"/>
      <c r="L200"/>
      <c r="M200"/>
      <c r="N200"/>
      <c r="O200"/>
      <c r="P200"/>
      <c r="Q200"/>
      <c r="R200"/>
    </row>
    <row r="201" spans="1:18" x14ac:dyDescent="0.4">
      <c r="A201"/>
      <c r="B201"/>
      <c r="C201"/>
      <c r="D201"/>
      <c r="E201"/>
      <c r="F201"/>
      <c r="G201"/>
      <c r="H201"/>
      <c r="I201"/>
      <c r="J201"/>
      <c r="K201"/>
      <c r="L201"/>
      <c r="M201"/>
      <c r="N201"/>
      <c r="O201"/>
      <c r="P201"/>
      <c r="Q201"/>
      <c r="R201"/>
    </row>
    <row r="202" spans="1:18" x14ac:dyDescent="0.4">
      <c r="A202"/>
      <c r="B202"/>
      <c r="C202"/>
      <c r="D202"/>
      <c r="E202"/>
      <c r="F202"/>
      <c r="G202"/>
      <c r="H202"/>
      <c r="I202"/>
      <c r="J202"/>
      <c r="K202"/>
      <c r="L202"/>
      <c r="M202"/>
      <c r="N202"/>
      <c r="O202"/>
      <c r="P202"/>
      <c r="Q202"/>
      <c r="R202"/>
    </row>
    <row r="203" spans="1:18" x14ac:dyDescent="0.4">
      <c r="A203"/>
      <c r="B203"/>
      <c r="C203"/>
      <c r="D203"/>
      <c r="E203"/>
      <c r="F203"/>
      <c r="G203"/>
      <c r="H203"/>
      <c r="I203"/>
      <c r="J203"/>
      <c r="K203"/>
      <c r="L203"/>
      <c r="M203"/>
      <c r="N203"/>
      <c r="O203"/>
      <c r="P203"/>
      <c r="Q203"/>
      <c r="R203"/>
    </row>
    <row r="204" spans="1:18" x14ac:dyDescent="0.4">
      <c r="A204"/>
      <c r="B204"/>
      <c r="C204"/>
      <c r="D204"/>
      <c r="E204"/>
      <c r="F204"/>
      <c r="G204"/>
      <c r="H204"/>
      <c r="I204"/>
      <c r="J204"/>
      <c r="K204"/>
      <c r="L204"/>
      <c r="M204"/>
      <c r="N204"/>
      <c r="O204"/>
      <c r="P204"/>
      <c r="Q204"/>
      <c r="R204"/>
    </row>
    <row r="205" spans="1:18" x14ac:dyDescent="0.4">
      <c r="A205"/>
      <c r="B205"/>
      <c r="C205"/>
      <c r="D205"/>
      <c r="E205"/>
      <c r="F205"/>
      <c r="G205"/>
      <c r="H205"/>
      <c r="I205"/>
      <c r="J205"/>
      <c r="K205"/>
      <c r="L205"/>
      <c r="M205"/>
      <c r="N205"/>
      <c r="O205"/>
      <c r="P205"/>
      <c r="Q205"/>
      <c r="R205"/>
    </row>
    <row r="206" spans="1:18" x14ac:dyDescent="0.4">
      <c r="A206"/>
      <c r="B206"/>
      <c r="C206"/>
      <c r="D206"/>
      <c r="E206"/>
      <c r="F206"/>
      <c r="G206"/>
      <c r="H206"/>
      <c r="I206"/>
      <c r="J206"/>
      <c r="K206"/>
      <c r="L206"/>
      <c r="M206"/>
      <c r="N206"/>
      <c r="O206"/>
      <c r="P206"/>
      <c r="Q206"/>
      <c r="R206"/>
    </row>
    <row r="207" spans="1:18" x14ac:dyDescent="0.4">
      <c r="A207"/>
      <c r="B207"/>
      <c r="C207"/>
      <c r="D207"/>
      <c r="E207"/>
      <c r="F207"/>
      <c r="G207"/>
      <c r="H207"/>
      <c r="I207"/>
      <c r="J207"/>
      <c r="K207"/>
      <c r="L207"/>
      <c r="M207"/>
      <c r="N207"/>
      <c r="O207"/>
      <c r="P207"/>
      <c r="Q207"/>
      <c r="R207"/>
    </row>
    <row r="208" spans="1:18" x14ac:dyDescent="0.4">
      <c r="A208"/>
      <c r="B208"/>
      <c r="C208"/>
      <c r="D208"/>
      <c r="E208"/>
      <c r="F208"/>
      <c r="G208"/>
      <c r="H208"/>
      <c r="I208"/>
      <c r="J208"/>
      <c r="K208"/>
      <c r="L208"/>
      <c r="M208"/>
      <c r="N208"/>
      <c r="O208"/>
      <c r="P208"/>
      <c r="Q208"/>
      <c r="R208"/>
    </row>
    <row r="209" spans="1:18" x14ac:dyDescent="0.4">
      <c r="A209"/>
      <c r="B209"/>
      <c r="C209"/>
      <c r="D209"/>
      <c r="E209"/>
      <c r="F209"/>
      <c r="G209"/>
      <c r="H209"/>
      <c r="I209"/>
      <c r="J209"/>
      <c r="K209"/>
      <c r="L209"/>
      <c r="M209"/>
      <c r="N209"/>
      <c r="O209"/>
      <c r="P209"/>
      <c r="Q209"/>
      <c r="R209"/>
    </row>
    <row r="210" spans="1:18" x14ac:dyDescent="0.4">
      <c r="A210"/>
      <c r="B210"/>
      <c r="C210"/>
      <c r="D210"/>
      <c r="E210"/>
      <c r="F210"/>
      <c r="G210"/>
      <c r="H210"/>
      <c r="I210"/>
      <c r="J210"/>
      <c r="K210"/>
      <c r="L210"/>
      <c r="M210"/>
      <c r="N210"/>
      <c r="O210"/>
      <c r="P210"/>
      <c r="Q210"/>
      <c r="R210"/>
    </row>
    <row r="211" spans="1:18" x14ac:dyDescent="0.4">
      <c r="A211"/>
      <c r="B211"/>
      <c r="C211"/>
      <c r="D211"/>
      <c r="E211"/>
      <c r="F211"/>
      <c r="G211"/>
      <c r="H211"/>
      <c r="I211"/>
      <c r="J211"/>
      <c r="K211"/>
      <c r="L211"/>
      <c r="M211"/>
      <c r="N211"/>
      <c r="O211"/>
      <c r="P211"/>
      <c r="Q211"/>
      <c r="R211"/>
    </row>
    <row r="212" spans="1:18" x14ac:dyDescent="0.4">
      <c r="A212"/>
      <c r="B212"/>
      <c r="C212"/>
      <c r="D212"/>
      <c r="E212"/>
      <c r="F212"/>
      <c r="G212"/>
      <c r="H212"/>
      <c r="I212"/>
      <c r="J212"/>
      <c r="K212"/>
      <c r="L212"/>
      <c r="M212"/>
      <c r="N212"/>
      <c r="O212"/>
      <c r="P212"/>
      <c r="Q212"/>
      <c r="R212"/>
    </row>
    <row r="213" spans="1:18" x14ac:dyDescent="0.4">
      <c r="A213"/>
      <c r="B213"/>
      <c r="C213"/>
      <c r="D213"/>
      <c r="E213"/>
      <c r="F213"/>
      <c r="G213"/>
      <c r="H213"/>
      <c r="I213"/>
      <c r="J213"/>
      <c r="K213"/>
      <c r="L213"/>
      <c r="M213"/>
      <c r="N213"/>
      <c r="O213"/>
      <c r="P213"/>
      <c r="Q213"/>
      <c r="R213"/>
    </row>
    <row r="214" spans="1:18" x14ac:dyDescent="0.4">
      <c r="A214"/>
      <c r="B214"/>
      <c r="C214"/>
      <c r="D214"/>
      <c r="E214"/>
      <c r="F214"/>
      <c r="G214"/>
      <c r="H214"/>
      <c r="I214"/>
      <c r="J214"/>
      <c r="K214"/>
      <c r="L214"/>
      <c r="M214"/>
      <c r="N214"/>
      <c r="O214"/>
      <c r="P214"/>
      <c r="Q214"/>
      <c r="R214"/>
    </row>
    <row r="215" spans="1:18" x14ac:dyDescent="0.4">
      <c r="A215"/>
      <c r="B215"/>
      <c r="C215"/>
      <c r="D215"/>
      <c r="E215"/>
      <c r="F215"/>
      <c r="G215"/>
      <c r="H215"/>
      <c r="I215"/>
      <c r="J215"/>
      <c r="K215"/>
      <c r="L215"/>
      <c r="M215"/>
      <c r="N215"/>
      <c r="O215"/>
      <c r="P215"/>
      <c r="Q215"/>
      <c r="R215"/>
    </row>
    <row r="216" spans="1:18" x14ac:dyDescent="0.4">
      <c r="A216"/>
      <c r="B216"/>
      <c r="C216"/>
      <c r="D216"/>
      <c r="E216"/>
      <c r="F216"/>
      <c r="G216"/>
      <c r="H216"/>
      <c r="I216"/>
      <c r="J216"/>
      <c r="K216"/>
      <c r="L216"/>
      <c r="M216"/>
      <c r="N216"/>
      <c r="O216"/>
      <c r="P216"/>
      <c r="Q216"/>
      <c r="R216"/>
    </row>
    <row r="217" spans="1:18" x14ac:dyDescent="0.4">
      <c r="A217"/>
      <c r="B217"/>
      <c r="C217"/>
      <c r="D217"/>
      <c r="E217"/>
      <c r="F217"/>
      <c r="G217"/>
      <c r="H217"/>
      <c r="I217"/>
      <c r="J217"/>
      <c r="K217"/>
      <c r="L217"/>
      <c r="M217"/>
      <c r="N217"/>
      <c r="O217"/>
      <c r="P217"/>
      <c r="Q217"/>
      <c r="R217"/>
    </row>
    <row r="218" spans="1:18" x14ac:dyDescent="0.4">
      <c r="A218"/>
      <c r="B218"/>
      <c r="C218"/>
      <c r="D218"/>
      <c r="E218"/>
      <c r="F218"/>
      <c r="G218"/>
      <c r="H218"/>
      <c r="I218"/>
      <c r="J218"/>
      <c r="K218"/>
      <c r="L218"/>
      <c r="M218"/>
      <c r="N218"/>
      <c r="O218"/>
      <c r="P218"/>
      <c r="Q218"/>
      <c r="R218"/>
    </row>
    <row r="219" spans="1:18" x14ac:dyDescent="0.4">
      <c r="A219"/>
      <c r="B219"/>
      <c r="C219"/>
      <c r="D219"/>
      <c r="E219"/>
      <c r="F219"/>
      <c r="G219"/>
      <c r="H219"/>
      <c r="I219"/>
      <c r="J219"/>
      <c r="K219"/>
      <c r="L219"/>
      <c r="M219"/>
      <c r="N219"/>
      <c r="O219"/>
      <c r="P219"/>
      <c r="Q219"/>
      <c r="R219"/>
    </row>
    <row r="220" spans="1:18" x14ac:dyDescent="0.4">
      <c r="A220"/>
      <c r="B220"/>
      <c r="C220"/>
      <c r="D220"/>
      <c r="E220"/>
      <c r="F220"/>
      <c r="G220"/>
      <c r="H220"/>
      <c r="I220"/>
      <c r="J220"/>
      <c r="K220"/>
      <c r="L220"/>
      <c r="M220"/>
      <c r="N220"/>
      <c r="O220"/>
      <c r="P220"/>
      <c r="Q220"/>
      <c r="R220"/>
    </row>
    <row r="221" spans="1:18" x14ac:dyDescent="0.4">
      <c r="A221"/>
      <c r="B221"/>
      <c r="C221"/>
      <c r="D221"/>
      <c r="E221"/>
      <c r="F221"/>
      <c r="G221"/>
      <c r="H221"/>
      <c r="I221"/>
      <c r="J221"/>
      <c r="K221"/>
      <c r="L221"/>
      <c r="M221"/>
      <c r="N221"/>
      <c r="O221"/>
      <c r="P221"/>
      <c r="Q221"/>
      <c r="R221"/>
    </row>
    <row r="222" spans="1:18" x14ac:dyDescent="0.4">
      <c r="A222"/>
      <c r="B222"/>
      <c r="C222"/>
      <c r="D222"/>
      <c r="E222"/>
      <c r="F222"/>
      <c r="G222"/>
      <c r="H222"/>
      <c r="I222"/>
      <c r="J222"/>
      <c r="K222"/>
      <c r="L222"/>
      <c r="M222"/>
      <c r="N222"/>
      <c r="O222"/>
      <c r="P222"/>
      <c r="Q222"/>
      <c r="R222"/>
    </row>
    <row r="223" spans="1:18" x14ac:dyDescent="0.4">
      <c r="A223"/>
      <c r="B223"/>
      <c r="C223"/>
      <c r="D223"/>
      <c r="E223"/>
      <c r="F223"/>
      <c r="G223"/>
      <c r="H223"/>
      <c r="I223"/>
      <c r="J223"/>
      <c r="K223"/>
      <c r="L223"/>
      <c r="M223"/>
      <c r="N223"/>
      <c r="O223"/>
      <c r="P223"/>
      <c r="Q223"/>
      <c r="R223"/>
    </row>
    <row r="224" spans="1:18" x14ac:dyDescent="0.4">
      <c r="A224"/>
      <c r="B224"/>
      <c r="C224"/>
      <c r="D224"/>
      <c r="E224"/>
      <c r="F224"/>
      <c r="G224"/>
      <c r="H224"/>
      <c r="I224"/>
      <c r="J224"/>
      <c r="K224"/>
      <c r="L224"/>
      <c r="M224"/>
      <c r="N224"/>
      <c r="O224"/>
      <c r="P224"/>
      <c r="Q224"/>
      <c r="R224"/>
    </row>
    <row r="225" spans="1:18" x14ac:dyDescent="0.4">
      <c r="A225"/>
      <c r="B225"/>
      <c r="C225"/>
      <c r="D225"/>
      <c r="E225"/>
      <c r="F225"/>
      <c r="G225"/>
      <c r="H225"/>
      <c r="I225"/>
      <c r="J225"/>
      <c r="K225"/>
      <c r="L225"/>
      <c r="M225"/>
      <c r="N225"/>
      <c r="O225"/>
      <c r="P225"/>
      <c r="Q225"/>
      <c r="R225"/>
    </row>
    <row r="226" spans="1:18" x14ac:dyDescent="0.4">
      <c r="A226"/>
      <c r="B226"/>
      <c r="C226"/>
      <c r="D226"/>
      <c r="E226"/>
      <c r="F226"/>
      <c r="G226"/>
      <c r="H226"/>
      <c r="I226"/>
      <c r="J226"/>
      <c r="K226"/>
      <c r="L226"/>
      <c r="M226"/>
      <c r="N226"/>
      <c r="O226"/>
      <c r="P226"/>
      <c r="Q226"/>
      <c r="R226"/>
    </row>
    <row r="227" spans="1:18" x14ac:dyDescent="0.4">
      <c r="A227"/>
      <c r="B227"/>
      <c r="C227"/>
      <c r="D227"/>
      <c r="E227"/>
      <c r="F227"/>
      <c r="G227"/>
      <c r="H227"/>
      <c r="I227"/>
      <c r="J227"/>
      <c r="K227"/>
      <c r="L227"/>
      <c r="M227"/>
      <c r="N227"/>
      <c r="O227"/>
      <c r="P227"/>
      <c r="Q227"/>
      <c r="R227"/>
    </row>
    <row r="228" spans="1:18" x14ac:dyDescent="0.4">
      <c r="A228"/>
      <c r="B228"/>
      <c r="C228"/>
      <c r="D228"/>
      <c r="E228"/>
      <c r="F228"/>
      <c r="G228"/>
      <c r="H228"/>
      <c r="I228"/>
      <c r="J228"/>
      <c r="K228"/>
      <c r="L228"/>
      <c r="M228"/>
      <c r="N228"/>
      <c r="O228"/>
      <c r="P228"/>
      <c r="Q228"/>
      <c r="R228"/>
    </row>
    <row r="229" spans="1:18" x14ac:dyDescent="0.4">
      <c r="A229"/>
      <c r="B229"/>
      <c r="C229"/>
      <c r="D229"/>
      <c r="E229"/>
      <c r="F229"/>
      <c r="G229"/>
      <c r="H229"/>
      <c r="I229"/>
      <c r="J229"/>
      <c r="K229"/>
      <c r="L229"/>
      <c r="M229"/>
      <c r="N229"/>
      <c r="O229"/>
      <c r="P229"/>
      <c r="Q229"/>
      <c r="R229"/>
    </row>
    <row r="230" spans="1:18" x14ac:dyDescent="0.4">
      <c r="A230"/>
      <c r="B230"/>
      <c r="C230"/>
      <c r="D230"/>
      <c r="E230"/>
      <c r="F230"/>
      <c r="G230"/>
      <c r="H230"/>
      <c r="I230"/>
      <c r="J230"/>
      <c r="K230"/>
      <c r="L230"/>
      <c r="M230"/>
      <c r="N230"/>
      <c r="O230"/>
      <c r="P230"/>
      <c r="Q230"/>
      <c r="R230"/>
    </row>
    <row r="231" spans="1:18" x14ac:dyDescent="0.4">
      <c r="A231"/>
      <c r="B231"/>
      <c r="C231"/>
      <c r="D231"/>
      <c r="E231"/>
      <c r="F231"/>
      <c r="G231"/>
      <c r="H231"/>
      <c r="I231"/>
      <c r="J231"/>
      <c r="K231"/>
      <c r="L231"/>
      <c r="M231"/>
      <c r="N231"/>
      <c r="O231"/>
      <c r="P231"/>
      <c r="Q231"/>
      <c r="R231"/>
    </row>
    <row r="232" spans="1:18" x14ac:dyDescent="0.4">
      <c r="A232"/>
      <c r="B232"/>
      <c r="C232"/>
      <c r="D232"/>
      <c r="E232"/>
      <c r="F232"/>
      <c r="G232"/>
      <c r="H232"/>
      <c r="I232"/>
      <c r="J232"/>
      <c r="K232"/>
      <c r="L232"/>
      <c r="M232"/>
      <c r="N232"/>
      <c r="O232"/>
      <c r="P232"/>
      <c r="Q232"/>
      <c r="R232"/>
    </row>
    <row r="233" spans="1:18" x14ac:dyDescent="0.4">
      <c r="A233"/>
      <c r="B233"/>
      <c r="C233"/>
      <c r="D233"/>
      <c r="E233"/>
      <c r="F233"/>
      <c r="G233"/>
      <c r="H233"/>
      <c r="I233"/>
      <c r="J233"/>
      <c r="K233"/>
      <c r="L233"/>
      <c r="M233"/>
      <c r="N233"/>
      <c r="O233"/>
      <c r="P233"/>
      <c r="Q233"/>
      <c r="R233"/>
    </row>
    <row r="234" spans="1:18" x14ac:dyDescent="0.4">
      <c r="A234"/>
      <c r="B234"/>
      <c r="C234"/>
      <c r="D234"/>
      <c r="E234"/>
      <c r="F234"/>
      <c r="G234"/>
      <c r="H234"/>
      <c r="I234"/>
      <c r="J234"/>
      <c r="K234"/>
      <c r="L234"/>
      <c r="M234"/>
      <c r="N234"/>
      <c r="O234"/>
      <c r="P234"/>
      <c r="Q234"/>
      <c r="R234"/>
    </row>
    <row r="235" spans="1:18" x14ac:dyDescent="0.4">
      <c r="A235"/>
      <c r="B235"/>
      <c r="C235"/>
      <c r="D235"/>
      <c r="E235"/>
      <c r="F235"/>
      <c r="G235"/>
      <c r="H235"/>
      <c r="I235"/>
      <c r="J235"/>
      <c r="K235"/>
      <c r="L235"/>
      <c r="M235"/>
      <c r="N235"/>
      <c r="O235"/>
      <c r="P235"/>
      <c r="Q235"/>
      <c r="R235"/>
    </row>
    <row r="236" spans="1:18" x14ac:dyDescent="0.4">
      <c r="A236"/>
      <c r="B236"/>
      <c r="C236"/>
      <c r="D236"/>
      <c r="E236"/>
      <c r="F236"/>
      <c r="G236"/>
      <c r="H236"/>
      <c r="I236"/>
      <c r="J236"/>
      <c r="K236"/>
      <c r="L236"/>
      <c r="M236"/>
      <c r="N236"/>
      <c r="O236"/>
      <c r="P236"/>
      <c r="Q236"/>
      <c r="R236"/>
    </row>
    <row r="237" spans="1:18" x14ac:dyDescent="0.4">
      <c r="A237"/>
      <c r="B237"/>
      <c r="C237"/>
      <c r="D237"/>
      <c r="E237"/>
      <c r="F237"/>
      <c r="G237"/>
      <c r="H237"/>
      <c r="I237"/>
      <c r="J237"/>
      <c r="K237"/>
      <c r="L237"/>
      <c r="M237"/>
      <c r="N237"/>
      <c r="O237"/>
      <c r="P237"/>
      <c r="Q237"/>
      <c r="R237"/>
    </row>
    <row r="238" spans="1:18" x14ac:dyDescent="0.4">
      <c r="A238"/>
      <c r="B238"/>
      <c r="C238"/>
      <c r="D238"/>
      <c r="E238"/>
      <c r="F238"/>
      <c r="G238"/>
      <c r="H238"/>
      <c r="I238"/>
      <c r="J238"/>
      <c r="K238"/>
      <c r="L238"/>
      <c r="M238"/>
      <c r="N238"/>
      <c r="O238"/>
      <c r="P238"/>
      <c r="Q238"/>
      <c r="R238"/>
    </row>
    <row r="239" spans="1:18" x14ac:dyDescent="0.4">
      <c r="A239"/>
      <c r="B239"/>
      <c r="C239"/>
      <c r="D239"/>
      <c r="E239"/>
      <c r="F239"/>
      <c r="G239"/>
      <c r="H239"/>
      <c r="I239"/>
      <c r="J239"/>
      <c r="K239"/>
      <c r="L239"/>
      <c r="M239"/>
      <c r="N239"/>
      <c r="O239"/>
      <c r="P239"/>
      <c r="Q239"/>
      <c r="R239"/>
    </row>
    <row r="240" spans="1:18" x14ac:dyDescent="0.4">
      <c r="A240"/>
      <c r="B240"/>
      <c r="C240"/>
      <c r="D240"/>
      <c r="E240"/>
      <c r="F240"/>
      <c r="G240"/>
      <c r="H240"/>
      <c r="I240"/>
      <c r="J240"/>
      <c r="K240"/>
      <c r="L240"/>
      <c r="M240"/>
      <c r="N240"/>
      <c r="O240"/>
      <c r="P240"/>
      <c r="Q240"/>
      <c r="R240"/>
    </row>
    <row r="241" spans="1:18" x14ac:dyDescent="0.4">
      <c r="A241"/>
      <c r="B241"/>
      <c r="C241"/>
      <c r="D241"/>
      <c r="E241"/>
      <c r="F241"/>
      <c r="G241"/>
      <c r="H241"/>
      <c r="I241"/>
      <c r="J241"/>
      <c r="K241"/>
      <c r="L241"/>
      <c r="M241"/>
      <c r="N241"/>
      <c r="O241"/>
      <c r="P241"/>
      <c r="Q241"/>
      <c r="R241"/>
    </row>
    <row r="242" spans="1:18" x14ac:dyDescent="0.4">
      <c r="A242"/>
      <c r="B242"/>
      <c r="C242"/>
      <c r="D242"/>
      <c r="E242"/>
      <c r="F242"/>
      <c r="G242"/>
      <c r="H242"/>
      <c r="I242"/>
      <c r="J242"/>
      <c r="K242"/>
      <c r="L242"/>
      <c r="M242"/>
      <c r="N242"/>
      <c r="O242"/>
      <c r="P242"/>
      <c r="Q242"/>
      <c r="R242"/>
    </row>
    <row r="243" spans="1:18" x14ac:dyDescent="0.4">
      <c r="A243"/>
      <c r="B243"/>
      <c r="C243"/>
      <c r="D243"/>
      <c r="E243"/>
      <c r="F243"/>
      <c r="G243"/>
      <c r="H243"/>
      <c r="I243"/>
      <c r="J243"/>
      <c r="K243"/>
      <c r="L243"/>
      <c r="M243"/>
      <c r="N243"/>
      <c r="O243"/>
      <c r="P243"/>
      <c r="Q243"/>
      <c r="R243"/>
    </row>
    <row r="244" spans="1:18" x14ac:dyDescent="0.4">
      <c r="A244"/>
      <c r="B244"/>
      <c r="C244"/>
      <c r="D244"/>
      <c r="E244"/>
      <c r="F244"/>
      <c r="G244"/>
      <c r="H244"/>
      <c r="I244"/>
      <c r="J244"/>
      <c r="K244"/>
      <c r="L244"/>
      <c r="M244"/>
      <c r="N244"/>
      <c r="O244"/>
      <c r="P244"/>
      <c r="Q244"/>
      <c r="R244"/>
    </row>
    <row r="245" spans="1:18" x14ac:dyDescent="0.4">
      <c r="A245"/>
      <c r="B245"/>
      <c r="C245"/>
      <c r="D245"/>
      <c r="E245"/>
      <c r="F245"/>
      <c r="G245"/>
      <c r="H245"/>
      <c r="I245"/>
      <c r="J245"/>
      <c r="K245"/>
      <c r="L245"/>
      <c r="M245"/>
      <c r="N245"/>
      <c r="O245"/>
      <c r="P245"/>
      <c r="Q245"/>
      <c r="R245"/>
    </row>
    <row r="246" spans="1:18" x14ac:dyDescent="0.4">
      <c r="A246"/>
      <c r="B246"/>
      <c r="C246"/>
      <c r="D246"/>
      <c r="E246"/>
      <c r="F246"/>
      <c r="G246"/>
      <c r="H246"/>
      <c r="I246"/>
      <c r="J246"/>
      <c r="K246"/>
      <c r="L246"/>
      <c r="M246"/>
      <c r="N246"/>
      <c r="O246"/>
      <c r="P246"/>
      <c r="Q246"/>
      <c r="R246"/>
    </row>
    <row r="247" spans="1:18" x14ac:dyDescent="0.4">
      <c r="A247"/>
      <c r="B247"/>
      <c r="C247"/>
      <c r="D247"/>
      <c r="E247"/>
      <c r="F247"/>
      <c r="G247"/>
      <c r="H247"/>
      <c r="I247"/>
      <c r="J247"/>
      <c r="K247"/>
      <c r="L247"/>
      <c r="M247"/>
      <c r="N247"/>
      <c r="O247"/>
      <c r="P247"/>
      <c r="Q247"/>
      <c r="R247"/>
    </row>
    <row r="248" spans="1:18" x14ac:dyDescent="0.4">
      <c r="A248"/>
      <c r="B248"/>
      <c r="C248"/>
      <c r="D248"/>
      <c r="E248"/>
      <c r="F248"/>
      <c r="G248"/>
      <c r="H248"/>
      <c r="I248"/>
      <c r="J248"/>
      <c r="K248"/>
      <c r="L248"/>
      <c r="M248"/>
      <c r="N248"/>
      <c r="O248"/>
      <c r="P248"/>
      <c r="Q248"/>
      <c r="R248"/>
    </row>
    <row r="249" spans="1:18" x14ac:dyDescent="0.4">
      <c r="A249"/>
      <c r="B249"/>
      <c r="C249"/>
      <c r="D249"/>
      <c r="E249"/>
      <c r="F249"/>
      <c r="G249"/>
      <c r="H249"/>
      <c r="I249"/>
      <c r="J249"/>
      <c r="K249"/>
      <c r="L249"/>
      <c r="M249"/>
      <c r="N249"/>
      <c r="O249"/>
      <c r="P249"/>
      <c r="Q249"/>
      <c r="R249"/>
    </row>
    <row r="250" spans="1:18" x14ac:dyDescent="0.4">
      <c r="A250"/>
      <c r="B250"/>
      <c r="C250"/>
      <c r="D250"/>
      <c r="E250"/>
      <c r="F250"/>
      <c r="G250"/>
      <c r="H250"/>
      <c r="I250"/>
      <c r="J250"/>
      <c r="K250"/>
      <c r="L250"/>
      <c r="M250"/>
      <c r="N250"/>
      <c r="O250"/>
      <c r="P250"/>
      <c r="Q250"/>
      <c r="R250"/>
    </row>
    <row r="251" spans="1:18" x14ac:dyDescent="0.4">
      <c r="A251"/>
      <c r="B251"/>
      <c r="C251"/>
      <c r="D251"/>
      <c r="E251"/>
      <c r="F251"/>
      <c r="G251"/>
      <c r="H251"/>
      <c r="I251"/>
      <c r="J251"/>
      <c r="K251"/>
      <c r="L251"/>
      <c r="M251"/>
      <c r="N251"/>
      <c r="O251"/>
      <c r="P251"/>
      <c r="Q251"/>
      <c r="R251"/>
    </row>
    <row r="252" spans="1:18" x14ac:dyDescent="0.4">
      <c r="A252"/>
      <c r="B252"/>
      <c r="C252"/>
      <c r="D252"/>
      <c r="E252"/>
      <c r="F252"/>
      <c r="G252"/>
      <c r="H252"/>
      <c r="I252"/>
      <c r="J252"/>
      <c r="K252"/>
      <c r="L252"/>
      <c r="M252"/>
      <c r="N252"/>
      <c r="O252"/>
      <c r="P252"/>
      <c r="Q252"/>
      <c r="R252"/>
    </row>
    <row r="253" spans="1:18" x14ac:dyDescent="0.4">
      <c r="A253"/>
      <c r="B253"/>
      <c r="C253"/>
      <c r="D253"/>
      <c r="E253"/>
      <c r="F253"/>
      <c r="G253"/>
      <c r="H253"/>
      <c r="I253"/>
      <c r="J253"/>
      <c r="K253"/>
      <c r="L253"/>
      <c r="M253"/>
      <c r="N253"/>
      <c r="O253"/>
      <c r="P253"/>
      <c r="Q253"/>
      <c r="R253"/>
    </row>
    <row r="254" spans="1:18" x14ac:dyDescent="0.4">
      <c r="A254"/>
      <c r="B254"/>
      <c r="C254"/>
      <c r="D254"/>
      <c r="E254"/>
      <c r="F254"/>
      <c r="G254"/>
      <c r="H254"/>
      <c r="I254"/>
      <c r="J254"/>
      <c r="K254"/>
      <c r="L254"/>
      <c r="M254"/>
      <c r="N254"/>
      <c r="O254"/>
      <c r="P254"/>
      <c r="Q254"/>
      <c r="R254"/>
    </row>
    <row r="255" spans="1:18" x14ac:dyDescent="0.4">
      <c r="A255"/>
      <c r="B255"/>
      <c r="C255"/>
      <c r="D255"/>
      <c r="E255"/>
      <c r="F255"/>
      <c r="G255"/>
      <c r="H255"/>
      <c r="I255"/>
      <c r="J255"/>
      <c r="K255"/>
      <c r="L255"/>
      <c r="M255"/>
      <c r="N255"/>
      <c r="O255"/>
      <c r="P255"/>
      <c r="Q255"/>
      <c r="R255"/>
    </row>
    <row r="256" spans="1:18" x14ac:dyDescent="0.4">
      <c r="A256"/>
      <c r="B256"/>
      <c r="C256"/>
      <c r="D256"/>
      <c r="E256"/>
      <c r="F256"/>
      <c r="G256"/>
      <c r="H256"/>
      <c r="I256"/>
      <c r="J256"/>
      <c r="K256"/>
      <c r="L256"/>
      <c r="M256"/>
      <c r="N256"/>
      <c r="O256"/>
      <c r="P256"/>
      <c r="Q256"/>
      <c r="R256"/>
    </row>
    <row r="257" spans="1:18" x14ac:dyDescent="0.4">
      <c r="A257"/>
      <c r="B257"/>
      <c r="C257"/>
      <c r="D257"/>
      <c r="E257"/>
      <c r="F257"/>
      <c r="G257"/>
      <c r="H257"/>
      <c r="I257"/>
      <c r="J257"/>
      <c r="K257"/>
      <c r="L257"/>
      <c r="M257"/>
      <c r="N257"/>
      <c r="O257"/>
      <c r="P257"/>
      <c r="Q257"/>
      <c r="R257"/>
    </row>
    <row r="258" spans="1:18" x14ac:dyDescent="0.4">
      <c r="A258"/>
      <c r="B258"/>
      <c r="C258"/>
      <c r="D258"/>
      <c r="E258"/>
      <c r="F258"/>
      <c r="G258"/>
      <c r="H258"/>
      <c r="I258"/>
      <c r="J258"/>
      <c r="K258"/>
      <c r="L258"/>
      <c r="M258"/>
      <c r="N258"/>
      <c r="O258"/>
      <c r="P258"/>
      <c r="Q258"/>
      <c r="R258"/>
    </row>
    <row r="259" spans="1:18" x14ac:dyDescent="0.4">
      <c r="A259"/>
      <c r="B259"/>
      <c r="C259"/>
      <c r="D259"/>
      <c r="E259"/>
      <c r="F259"/>
      <c r="G259"/>
      <c r="H259"/>
      <c r="I259"/>
      <c r="J259"/>
      <c r="K259"/>
      <c r="L259"/>
      <c r="M259"/>
      <c r="N259"/>
      <c r="O259"/>
      <c r="P259"/>
      <c r="Q259"/>
      <c r="R259"/>
    </row>
    <row r="260" spans="1:18" x14ac:dyDescent="0.4">
      <c r="A260"/>
      <c r="B260"/>
      <c r="C260"/>
      <c r="D260"/>
      <c r="E260"/>
      <c r="F260"/>
      <c r="G260"/>
      <c r="H260"/>
      <c r="I260"/>
      <c r="J260"/>
      <c r="K260"/>
      <c r="L260"/>
      <c r="M260"/>
      <c r="N260"/>
      <c r="O260"/>
      <c r="P260"/>
      <c r="Q260"/>
      <c r="R260"/>
    </row>
    <row r="261" spans="1:18" x14ac:dyDescent="0.4">
      <c r="A261"/>
      <c r="B261"/>
      <c r="C261"/>
      <c r="D261"/>
      <c r="E261"/>
      <c r="F261"/>
      <c r="G261"/>
      <c r="H261"/>
      <c r="I261"/>
      <c r="J261"/>
      <c r="K261"/>
      <c r="L261"/>
      <c r="M261"/>
      <c r="N261"/>
      <c r="O261"/>
      <c r="P261"/>
      <c r="Q261"/>
      <c r="R261"/>
    </row>
    <row r="262" spans="1:18" x14ac:dyDescent="0.4">
      <c r="A262"/>
      <c r="B262"/>
      <c r="C262"/>
      <c r="D262"/>
      <c r="E262"/>
      <c r="F262"/>
      <c r="G262"/>
      <c r="H262"/>
      <c r="I262"/>
      <c r="J262"/>
      <c r="K262"/>
      <c r="L262"/>
      <c r="M262"/>
      <c r="N262"/>
      <c r="O262"/>
      <c r="P262"/>
      <c r="Q262"/>
      <c r="R262"/>
    </row>
    <row r="263" spans="1:18" x14ac:dyDescent="0.4">
      <c r="A263"/>
      <c r="B263"/>
      <c r="C263"/>
      <c r="D263"/>
      <c r="E263"/>
      <c r="F263"/>
      <c r="G263"/>
      <c r="H263"/>
      <c r="I263"/>
      <c r="J263"/>
      <c r="K263"/>
      <c r="L263"/>
      <c r="M263"/>
      <c r="N263"/>
      <c r="O263"/>
      <c r="P263"/>
      <c r="Q263"/>
      <c r="R263"/>
    </row>
    <row r="264" spans="1:18" x14ac:dyDescent="0.4">
      <c r="A264"/>
      <c r="B264"/>
      <c r="C264"/>
      <c r="D264"/>
      <c r="E264"/>
      <c r="F264"/>
      <c r="G264"/>
      <c r="H264"/>
      <c r="I264"/>
      <c r="J264"/>
      <c r="K264"/>
      <c r="L264"/>
      <c r="M264"/>
      <c r="N264"/>
      <c r="O264"/>
      <c r="P264"/>
      <c r="Q264"/>
      <c r="R264"/>
    </row>
    <row r="265" spans="1:18" x14ac:dyDescent="0.4">
      <c r="A265"/>
      <c r="B265"/>
      <c r="C265"/>
      <c r="D265"/>
      <c r="E265"/>
      <c r="F265"/>
      <c r="G265"/>
      <c r="H265"/>
      <c r="I265"/>
      <c r="J265"/>
      <c r="K265"/>
      <c r="L265"/>
      <c r="M265"/>
      <c r="N265"/>
      <c r="O265"/>
      <c r="P265"/>
      <c r="Q265"/>
      <c r="R265"/>
    </row>
    <row r="266" spans="1:18" x14ac:dyDescent="0.4">
      <c r="A266"/>
      <c r="B266"/>
      <c r="C266"/>
      <c r="D266"/>
      <c r="E266"/>
      <c r="F266"/>
      <c r="G266"/>
      <c r="H266"/>
      <c r="I266"/>
      <c r="J266"/>
      <c r="K266"/>
      <c r="L266"/>
      <c r="M266"/>
      <c r="N266"/>
      <c r="O266"/>
      <c r="P266"/>
      <c r="Q266"/>
      <c r="R266"/>
    </row>
    <row r="267" spans="1:18" x14ac:dyDescent="0.4">
      <c r="A267"/>
      <c r="B267"/>
      <c r="C267"/>
      <c r="D267"/>
      <c r="E267"/>
      <c r="F267"/>
      <c r="G267"/>
      <c r="H267"/>
      <c r="I267"/>
      <c r="J267"/>
      <c r="K267"/>
      <c r="L267"/>
      <c r="M267"/>
      <c r="N267"/>
      <c r="O267"/>
      <c r="P267"/>
      <c r="Q267"/>
      <c r="R267"/>
    </row>
    <row r="268" spans="1:18" x14ac:dyDescent="0.4">
      <c r="A268"/>
      <c r="B268"/>
      <c r="C268"/>
      <c r="D268"/>
      <c r="E268"/>
      <c r="F268"/>
      <c r="G268"/>
      <c r="H268"/>
      <c r="I268"/>
      <c r="J268"/>
      <c r="K268"/>
      <c r="L268"/>
      <c r="M268"/>
      <c r="N268"/>
      <c r="O268"/>
      <c r="P268"/>
      <c r="Q268"/>
      <c r="R268"/>
    </row>
    <row r="269" spans="1:18" x14ac:dyDescent="0.4">
      <c r="A269"/>
      <c r="B269"/>
      <c r="C269"/>
      <c r="D269"/>
      <c r="E269"/>
      <c r="F269"/>
      <c r="G269"/>
      <c r="H269"/>
      <c r="I269"/>
      <c r="J269"/>
      <c r="K269"/>
      <c r="L269"/>
      <c r="M269"/>
      <c r="N269"/>
      <c r="O269"/>
      <c r="P269"/>
      <c r="Q269"/>
      <c r="R269"/>
    </row>
    <row r="270" spans="1:18" x14ac:dyDescent="0.4">
      <c r="A270"/>
      <c r="B270"/>
      <c r="C270"/>
      <c r="D270"/>
      <c r="E270"/>
      <c r="F270"/>
      <c r="G270"/>
      <c r="H270"/>
      <c r="I270"/>
      <c r="J270"/>
      <c r="K270"/>
      <c r="L270"/>
      <c r="M270"/>
      <c r="N270"/>
      <c r="O270"/>
      <c r="P270"/>
      <c r="Q270"/>
      <c r="R270"/>
    </row>
    <row r="271" spans="1:18" x14ac:dyDescent="0.4">
      <c r="A271"/>
      <c r="B271"/>
      <c r="C271"/>
      <c r="D271"/>
      <c r="E271"/>
      <c r="F271"/>
      <c r="G271"/>
      <c r="H271"/>
      <c r="I271"/>
      <c r="J271"/>
      <c r="K271"/>
      <c r="L271"/>
      <c r="M271"/>
      <c r="N271"/>
      <c r="O271"/>
      <c r="P271"/>
      <c r="Q271"/>
      <c r="R271"/>
    </row>
    <row r="272" spans="1:18" x14ac:dyDescent="0.4">
      <c r="A272"/>
      <c r="B272"/>
      <c r="C272"/>
      <c r="D272"/>
      <c r="E272"/>
      <c r="F272"/>
      <c r="G272"/>
      <c r="H272"/>
      <c r="I272"/>
      <c r="J272"/>
      <c r="K272"/>
      <c r="L272"/>
      <c r="M272"/>
      <c r="N272"/>
      <c r="O272"/>
      <c r="P272"/>
      <c r="Q272"/>
      <c r="R272"/>
    </row>
    <row r="273" spans="1:18" x14ac:dyDescent="0.4">
      <c r="A273"/>
      <c r="B273"/>
      <c r="C273"/>
      <c r="D273"/>
      <c r="E273"/>
      <c r="F273"/>
      <c r="G273"/>
      <c r="H273"/>
      <c r="I273"/>
      <c r="J273"/>
      <c r="K273"/>
      <c r="L273"/>
      <c r="M273"/>
      <c r="N273"/>
      <c r="O273"/>
      <c r="P273"/>
      <c r="Q273"/>
      <c r="R273"/>
    </row>
    <row r="274" spans="1:18" x14ac:dyDescent="0.4">
      <c r="A274"/>
      <c r="B274"/>
      <c r="C274"/>
      <c r="D274"/>
      <c r="E274"/>
      <c r="F274"/>
      <c r="G274"/>
      <c r="H274"/>
      <c r="I274"/>
      <c r="J274"/>
      <c r="K274"/>
      <c r="L274"/>
      <c r="M274"/>
      <c r="N274"/>
      <c r="O274"/>
      <c r="P274"/>
      <c r="Q274"/>
      <c r="R274"/>
    </row>
    <row r="275" spans="1:18" x14ac:dyDescent="0.4">
      <c r="A275"/>
      <c r="B275"/>
      <c r="C275"/>
      <c r="D275"/>
      <c r="E275"/>
      <c r="F275"/>
      <c r="G275"/>
      <c r="H275"/>
      <c r="I275"/>
      <c r="J275"/>
      <c r="K275"/>
      <c r="L275"/>
      <c r="M275"/>
      <c r="N275"/>
      <c r="O275"/>
      <c r="P275"/>
      <c r="Q275"/>
      <c r="R275"/>
    </row>
    <row r="276" spans="1:18" x14ac:dyDescent="0.4">
      <c r="A276"/>
      <c r="B276"/>
      <c r="C276"/>
      <c r="D276"/>
      <c r="E276"/>
      <c r="F276"/>
      <c r="G276"/>
      <c r="H276"/>
      <c r="I276"/>
      <c r="J276"/>
      <c r="K276"/>
      <c r="L276"/>
      <c r="M276"/>
      <c r="N276"/>
      <c r="O276"/>
      <c r="P276"/>
      <c r="Q276"/>
      <c r="R276"/>
    </row>
    <row r="277" spans="1:18" x14ac:dyDescent="0.4">
      <c r="A277"/>
      <c r="B277"/>
      <c r="C277"/>
      <c r="D277"/>
      <c r="E277"/>
      <c r="F277"/>
      <c r="G277"/>
      <c r="H277"/>
      <c r="I277"/>
      <c r="J277"/>
      <c r="K277"/>
      <c r="L277"/>
      <c r="M277"/>
      <c r="N277"/>
      <c r="O277"/>
      <c r="P277"/>
      <c r="Q277"/>
      <c r="R277"/>
    </row>
    <row r="278" spans="1:18" x14ac:dyDescent="0.4">
      <c r="A278"/>
      <c r="B278"/>
      <c r="C278"/>
      <c r="D278"/>
      <c r="E278"/>
      <c r="F278"/>
      <c r="G278"/>
      <c r="H278"/>
      <c r="I278"/>
      <c r="J278"/>
      <c r="K278"/>
      <c r="L278"/>
      <c r="M278"/>
      <c r="N278"/>
      <c r="O278"/>
      <c r="P278"/>
      <c r="Q278"/>
      <c r="R278"/>
    </row>
    <row r="279" spans="1:18" x14ac:dyDescent="0.4">
      <c r="A279"/>
      <c r="B279"/>
      <c r="C279"/>
      <c r="D279"/>
      <c r="E279"/>
      <c r="F279"/>
      <c r="G279"/>
      <c r="H279"/>
      <c r="I279"/>
      <c r="J279"/>
      <c r="K279"/>
      <c r="L279"/>
      <c r="M279"/>
      <c r="N279"/>
      <c r="O279"/>
      <c r="P279"/>
      <c r="Q279"/>
      <c r="R279"/>
    </row>
    <row r="280" spans="1:18" x14ac:dyDescent="0.4">
      <c r="A280"/>
      <c r="B280"/>
      <c r="C280"/>
      <c r="D280"/>
      <c r="E280"/>
      <c r="F280"/>
      <c r="G280"/>
      <c r="H280"/>
      <c r="I280"/>
      <c r="J280"/>
      <c r="K280"/>
      <c r="L280"/>
      <c r="M280"/>
      <c r="N280"/>
      <c r="O280"/>
      <c r="P280"/>
      <c r="Q280"/>
      <c r="R280"/>
    </row>
    <row r="281" spans="1:18" x14ac:dyDescent="0.4">
      <c r="A281"/>
      <c r="B281"/>
      <c r="C281"/>
      <c r="D281"/>
      <c r="E281"/>
      <c r="F281"/>
      <c r="G281"/>
      <c r="H281"/>
      <c r="I281"/>
      <c r="J281"/>
      <c r="K281"/>
      <c r="L281"/>
      <c r="M281"/>
      <c r="N281"/>
      <c r="O281"/>
      <c r="P281"/>
      <c r="Q281"/>
      <c r="R281"/>
    </row>
    <row r="282" spans="1:18" x14ac:dyDescent="0.4">
      <c r="A282"/>
      <c r="B282"/>
      <c r="C282"/>
      <c r="D282"/>
      <c r="E282"/>
      <c r="F282"/>
      <c r="G282"/>
      <c r="H282"/>
      <c r="I282"/>
      <c r="J282"/>
      <c r="K282"/>
      <c r="L282"/>
      <c r="M282"/>
      <c r="N282"/>
      <c r="O282"/>
      <c r="P282"/>
      <c r="Q282"/>
      <c r="R282"/>
    </row>
    <row r="283" spans="1:18" x14ac:dyDescent="0.4">
      <c r="A283"/>
      <c r="B283"/>
      <c r="C283"/>
      <c r="D283"/>
      <c r="E283"/>
      <c r="F283"/>
      <c r="G283"/>
      <c r="H283"/>
      <c r="I283"/>
      <c r="J283"/>
      <c r="K283"/>
      <c r="L283"/>
      <c r="M283"/>
      <c r="N283"/>
      <c r="O283"/>
      <c r="P283"/>
      <c r="Q283"/>
      <c r="R283"/>
    </row>
    <row r="284" spans="1:18" x14ac:dyDescent="0.4">
      <c r="A284"/>
      <c r="B284"/>
      <c r="C284"/>
      <c r="D284"/>
      <c r="E284"/>
      <c r="F284"/>
      <c r="G284"/>
      <c r="H284"/>
      <c r="I284"/>
      <c r="J284"/>
      <c r="K284"/>
      <c r="L284"/>
      <c r="M284"/>
      <c r="N284"/>
      <c r="O284"/>
      <c r="P284"/>
      <c r="Q284"/>
      <c r="R284"/>
    </row>
    <row r="285" spans="1:18" x14ac:dyDescent="0.4">
      <c r="A285"/>
      <c r="B285"/>
      <c r="C285"/>
      <c r="D285"/>
      <c r="E285"/>
      <c r="F285"/>
      <c r="G285"/>
      <c r="H285"/>
      <c r="I285"/>
      <c r="J285"/>
      <c r="K285"/>
      <c r="L285"/>
      <c r="M285"/>
      <c r="N285"/>
      <c r="O285"/>
      <c r="P285"/>
      <c r="Q285"/>
      <c r="R285"/>
    </row>
    <row r="286" spans="1:18" x14ac:dyDescent="0.4">
      <c r="A286"/>
      <c r="B286"/>
      <c r="C286"/>
      <c r="D286"/>
      <c r="E286"/>
      <c r="F286"/>
      <c r="G286"/>
      <c r="H286"/>
      <c r="I286"/>
      <c r="J286"/>
      <c r="K286"/>
      <c r="L286"/>
      <c r="M286"/>
      <c r="N286"/>
      <c r="O286"/>
      <c r="P286"/>
      <c r="Q286"/>
      <c r="R286"/>
    </row>
    <row r="287" spans="1:18" x14ac:dyDescent="0.4">
      <c r="A287"/>
      <c r="B287"/>
      <c r="C287"/>
      <c r="D287"/>
      <c r="E287"/>
      <c r="F287"/>
      <c r="G287"/>
      <c r="H287"/>
      <c r="I287"/>
      <c r="J287"/>
      <c r="K287"/>
      <c r="L287"/>
      <c r="M287"/>
      <c r="N287"/>
      <c r="O287"/>
      <c r="P287"/>
      <c r="Q287"/>
      <c r="R287"/>
    </row>
    <row r="288" spans="1:18" x14ac:dyDescent="0.4">
      <c r="A288"/>
      <c r="B288"/>
      <c r="C288"/>
      <c r="D288"/>
      <c r="E288"/>
      <c r="F288"/>
      <c r="G288"/>
      <c r="H288"/>
      <c r="I288"/>
      <c r="J288"/>
      <c r="K288"/>
      <c r="L288"/>
      <c r="M288"/>
      <c r="N288"/>
      <c r="O288"/>
      <c r="P288"/>
      <c r="Q288"/>
      <c r="R288"/>
    </row>
    <row r="289" spans="1:18" x14ac:dyDescent="0.4">
      <c r="A289"/>
      <c r="B289"/>
      <c r="C289"/>
      <c r="D289"/>
      <c r="E289"/>
      <c r="F289"/>
      <c r="G289"/>
      <c r="H289"/>
      <c r="I289"/>
      <c r="J289"/>
      <c r="K289"/>
      <c r="L289"/>
      <c r="M289"/>
      <c r="N289"/>
      <c r="O289"/>
      <c r="P289"/>
      <c r="Q289"/>
      <c r="R289"/>
    </row>
    <row r="290" spans="1:18" x14ac:dyDescent="0.4">
      <c r="A290"/>
      <c r="B290"/>
      <c r="C290"/>
      <c r="D290"/>
      <c r="E290"/>
      <c r="F290"/>
      <c r="G290"/>
      <c r="H290"/>
      <c r="I290"/>
      <c r="J290"/>
      <c r="K290"/>
      <c r="L290"/>
      <c r="M290"/>
      <c r="N290"/>
      <c r="O290"/>
      <c r="P290"/>
      <c r="Q290"/>
      <c r="R290"/>
    </row>
    <row r="291" spans="1:18" x14ac:dyDescent="0.4">
      <c r="A291"/>
      <c r="B291"/>
      <c r="C291"/>
      <c r="D291"/>
      <c r="E291"/>
      <c r="F291"/>
      <c r="G291"/>
      <c r="H291"/>
      <c r="I291"/>
      <c r="J291"/>
      <c r="K291"/>
      <c r="L291"/>
      <c r="M291"/>
      <c r="N291"/>
      <c r="O291"/>
      <c r="P291"/>
      <c r="Q291"/>
      <c r="R291"/>
    </row>
    <row r="292" spans="1:18" x14ac:dyDescent="0.4">
      <c r="A292"/>
      <c r="B292"/>
      <c r="C292"/>
      <c r="D292"/>
      <c r="E292"/>
      <c r="F292"/>
      <c r="G292"/>
      <c r="H292"/>
      <c r="I292"/>
      <c r="J292"/>
      <c r="K292"/>
      <c r="L292"/>
      <c r="M292"/>
      <c r="N292"/>
      <c r="O292"/>
      <c r="P292"/>
      <c r="Q292"/>
      <c r="R292"/>
    </row>
    <row r="293" spans="1:18" x14ac:dyDescent="0.4">
      <c r="A293"/>
      <c r="B293"/>
      <c r="C293"/>
      <c r="D293"/>
      <c r="E293"/>
      <c r="F293"/>
      <c r="G293"/>
      <c r="H293"/>
      <c r="I293"/>
      <c r="J293"/>
      <c r="K293"/>
      <c r="L293"/>
      <c r="M293"/>
      <c r="N293"/>
      <c r="O293"/>
      <c r="P293"/>
      <c r="Q293"/>
      <c r="R293"/>
    </row>
    <row r="294" spans="1:18" x14ac:dyDescent="0.4">
      <c r="A294"/>
      <c r="B294"/>
      <c r="C294"/>
      <c r="D294"/>
      <c r="E294"/>
      <c r="F294"/>
      <c r="G294"/>
      <c r="H294"/>
      <c r="I294"/>
      <c r="J294"/>
      <c r="K294"/>
      <c r="L294"/>
      <c r="M294"/>
      <c r="N294"/>
      <c r="O294"/>
      <c r="P294"/>
      <c r="Q294"/>
      <c r="R294"/>
    </row>
    <row r="295" spans="1:18" x14ac:dyDescent="0.4">
      <c r="A295"/>
      <c r="B295"/>
      <c r="C295"/>
      <c r="D295"/>
      <c r="E295"/>
      <c r="F295"/>
      <c r="G295"/>
      <c r="H295"/>
      <c r="I295"/>
      <c r="J295"/>
      <c r="K295"/>
      <c r="L295"/>
      <c r="M295"/>
      <c r="N295"/>
      <c r="O295"/>
      <c r="P295"/>
      <c r="Q295"/>
      <c r="R295"/>
    </row>
    <row r="296" spans="1:18" x14ac:dyDescent="0.4">
      <c r="A296"/>
      <c r="B296"/>
      <c r="C296"/>
      <c r="D296"/>
      <c r="E296"/>
      <c r="F296"/>
      <c r="G296"/>
      <c r="H296"/>
      <c r="I296"/>
      <c r="J296"/>
      <c r="K296"/>
      <c r="L296"/>
      <c r="M296"/>
      <c r="N296"/>
      <c r="O296"/>
      <c r="P296"/>
      <c r="Q296"/>
      <c r="R296"/>
    </row>
    <row r="297" spans="1:18" x14ac:dyDescent="0.4">
      <c r="A297"/>
      <c r="B297"/>
      <c r="C297"/>
      <c r="D297"/>
      <c r="E297"/>
      <c r="F297"/>
      <c r="G297"/>
      <c r="H297"/>
      <c r="I297"/>
      <c r="J297"/>
      <c r="K297"/>
      <c r="L297"/>
      <c r="M297"/>
      <c r="N297"/>
      <c r="O297"/>
      <c r="P297"/>
      <c r="Q297"/>
      <c r="R297"/>
    </row>
    <row r="298" spans="1:18" x14ac:dyDescent="0.4">
      <c r="A298"/>
      <c r="B298"/>
      <c r="C298"/>
      <c r="D298"/>
      <c r="E298"/>
      <c r="F298"/>
      <c r="G298"/>
      <c r="H298"/>
      <c r="I298"/>
      <c r="J298"/>
      <c r="K298"/>
      <c r="L298"/>
      <c r="M298"/>
      <c r="N298"/>
      <c r="O298"/>
      <c r="P298"/>
      <c r="Q298"/>
      <c r="R298"/>
    </row>
    <row r="299" spans="1:18" x14ac:dyDescent="0.4">
      <c r="A299"/>
      <c r="B299"/>
      <c r="C299"/>
      <c r="D299"/>
      <c r="E299"/>
      <c r="F299"/>
      <c r="G299"/>
      <c r="H299"/>
      <c r="I299"/>
      <c r="J299"/>
      <c r="K299"/>
      <c r="L299"/>
      <c r="M299"/>
      <c r="N299"/>
      <c r="O299"/>
      <c r="P299"/>
      <c r="Q299"/>
      <c r="R299"/>
    </row>
    <row r="300" spans="1:18" x14ac:dyDescent="0.4">
      <c r="A300"/>
      <c r="B300"/>
      <c r="C300"/>
      <c r="D300"/>
      <c r="E300"/>
      <c r="F300"/>
      <c r="G300"/>
      <c r="H300"/>
      <c r="I300"/>
      <c r="J300"/>
      <c r="K300"/>
      <c r="L300"/>
      <c r="M300"/>
      <c r="N300"/>
      <c r="O300"/>
      <c r="P300"/>
      <c r="Q300"/>
      <c r="R300"/>
    </row>
    <row r="301" spans="1:18" x14ac:dyDescent="0.4">
      <c r="A301"/>
      <c r="B301"/>
      <c r="C301"/>
      <c r="D301"/>
      <c r="E301"/>
      <c r="F301"/>
      <c r="G301"/>
      <c r="H301"/>
      <c r="I301"/>
      <c r="J301"/>
      <c r="K301"/>
      <c r="L301"/>
      <c r="M301"/>
      <c r="N301"/>
      <c r="O301"/>
      <c r="P301"/>
      <c r="Q301"/>
      <c r="R301"/>
    </row>
    <row r="302" spans="1:18" x14ac:dyDescent="0.4">
      <c r="A302"/>
      <c r="B302"/>
      <c r="C302"/>
      <c r="D302"/>
      <c r="E302"/>
      <c r="F302"/>
      <c r="G302"/>
      <c r="H302"/>
      <c r="I302"/>
      <c r="J302"/>
      <c r="K302"/>
      <c r="L302"/>
      <c r="M302"/>
      <c r="N302"/>
      <c r="O302"/>
      <c r="P302"/>
      <c r="Q302"/>
      <c r="R302"/>
    </row>
    <row r="303" spans="1:18" x14ac:dyDescent="0.4">
      <c r="A303"/>
      <c r="B303"/>
      <c r="C303"/>
      <c r="D303"/>
      <c r="E303"/>
      <c r="F303"/>
      <c r="G303"/>
      <c r="H303"/>
      <c r="I303"/>
      <c r="J303"/>
      <c r="K303"/>
      <c r="L303"/>
      <c r="M303"/>
      <c r="N303"/>
      <c r="O303"/>
      <c r="P303"/>
      <c r="Q303"/>
      <c r="R303"/>
    </row>
    <row r="304" spans="1:18" x14ac:dyDescent="0.4">
      <c r="A304"/>
      <c r="B304"/>
      <c r="C304"/>
      <c r="D304"/>
      <c r="E304"/>
      <c r="F304"/>
      <c r="G304"/>
      <c r="H304"/>
      <c r="I304"/>
      <c r="J304"/>
      <c r="K304"/>
      <c r="L304"/>
      <c r="M304"/>
      <c r="N304"/>
      <c r="O304"/>
      <c r="P304"/>
      <c r="Q304"/>
      <c r="R304"/>
    </row>
    <row r="305" spans="1:18" x14ac:dyDescent="0.4">
      <c r="A305"/>
      <c r="B305"/>
      <c r="C305"/>
      <c r="D305"/>
      <c r="E305"/>
      <c r="F305"/>
      <c r="G305"/>
      <c r="H305"/>
      <c r="I305"/>
      <c r="J305"/>
      <c r="K305"/>
      <c r="L305"/>
      <c r="M305"/>
      <c r="N305"/>
      <c r="O305"/>
      <c r="P305"/>
      <c r="Q305"/>
      <c r="R305"/>
    </row>
    <row r="306" spans="1:18" x14ac:dyDescent="0.4">
      <c r="A306"/>
      <c r="B306"/>
      <c r="C306"/>
      <c r="D306"/>
      <c r="E306"/>
      <c r="F306"/>
      <c r="G306"/>
      <c r="H306"/>
      <c r="I306"/>
      <c r="J306"/>
      <c r="K306"/>
      <c r="L306"/>
      <c r="M306"/>
      <c r="N306"/>
      <c r="O306"/>
      <c r="P306"/>
      <c r="Q306"/>
      <c r="R306"/>
    </row>
    <row r="307" spans="1:18" x14ac:dyDescent="0.4">
      <c r="A307"/>
      <c r="B307"/>
      <c r="C307"/>
      <c r="D307"/>
      <c r="E307"/>
      <c r="F307"/>
      <c r="G307"/>
      <c r="H307"/>
      <c r="I307"/>
      <c r="J307"/>
      <c r="K307"/>
      <c r="L307"/>
      <c r="M307"/>
      <c r="N307"/>
      <c r="O307"/>
      <c r="P307"/>
      <c r="Q307"/>
      <c r="R307"/>
    </row>
    <row r="308" spans="1:18" x14ac:dyDescent="0.4">
      <c r="A308"/>
      <c r="B308"/>
      <c r="C308"/>
      <c r="D308"/>
      <c r="E308"/>
      <c r="F308"/>
      <c r="G308"/>
      <c r="H308"/>
      <c r="I308"/>
      <c r="J308"/>
      <c r="K308"/>
      <c r="L308"/>
      <c r="M308"/>
      <c r="N308"/>
      <c r="O308"/>
      <c r="P308"/>
      <c r="Q308"/>
      <c r="R308"/>
    </row>
    <row r="309" spans="1:18" x14ac:dyDescent="0.4">
      <c r="A309"/>
      <c r="B309"/>
      <c r="C309"/>
      <c r="D309"/>
      <c r="E309"/>
      <c r="F309"/>
      <c r="G309"/>
      <c r="H309"/>
      <c r="I309"/>
      <c r="J309"/>
      <c r="K309"/>
      <c r="L309"/>
      <c r="M309"/>
      <c r="N309"/>
      <c r="O309"/>
      <c r="P309"/>
      <c r="Q309"/>
      <c r="R309"/>
    </row>
    <row r="310" spans="1:18" x14ac:dyDescent="0.4">
      <c r="A310"/>
      <c r="B310"/>
      <c r="C310"/>
      <c r="D310"/>
      <c r="E310"/>
      <c r="F310"/>
      <c r="G310"/>
      <c r="H310"/>
      <c r="I310"/>
      <c r="J310"/>
      <c r="K310"/>
      <c r="L310"/>
      <c r="M310"/>
      <c r="N310"/>
      <c r="O310"/>
      <c r="P310"/>
      <c r="Q310"/>
      <c r="R310"/>
    </row>
    <row r="311" spans="1:18" x14ac:dyDescent="0.4">
      <c r="A311"/>
      <c r="B311"/>
      <c r="C311"/>
      <c r="D311"/>
      <c r="E311"/>
      <c r="F311"/>
      <c r="G311"/>
      <c r="H311"/>
      <c r="I311"/>
      <c r="J311"/>
      <c r="K311"/>
      <c r="L311"/>
      <c r="M311"/>
      <c r="N311"/>
      <c r="O311"/>
      <c r="P311"/>
      <c r="Q311"/>
      <c r="R311"/>
    </row>
    <row r="312" spans="1:18" x14ac:dyDescent="0.4">
      <c r="A312"/>
      <c r="B312"/>
      <c r="C312"/>
      <c r="D312"/>
      <c r="E312"/>
      <c r="F312"/>
      <c r="G312"/>
      <c r="H312"/>
      <c r="I312"/>
      <c r="J312"/>
      <c r="K312"/>
      <c r="L312"/>
      <c r="M312"/>
      <c r="N312"/>
      <c r="O312"/>
      <c r="P312"/>
      <c r="Q312"/>
      <c r="R312"/>
    </row>
    <row r="313" spans="1:18" x14ac:dyDescent="0.4">
      <c r="A313"/>
      <c r="B313"/>
      <c r="C313"/>
      <c r="D313"/>
      <c r="E313"/>
      <c r="F313"/>
      <c r="G313"/>
      <c r="H313"/>
      <c r="I313"/>
      <c r="J313"/>
      <c r="K313"/>
      <c r="L313"/>
      <c r="M313"/>
      <c r="N313"/>
      <c r="O313"/>
      <c r="P313"/>
      <c r="Q313"/>
      <c r="R313"/>
    </row>
    <row r="314" spans="1:18" x14ac:dyDescent="0.4">
      <c r="A314"/>
      <c r="B314"/>
      <c r="C314"/>
      <c r="D314"/>
      <c r="E314"/>
      <c r="F314"/>
      <c r="G314"/>
      <c r="H314"/>
      <c r="I314"/>
      <c r="J314"/>
      <c r="K314"/>
      <c r="L314"/>
      <c r="M314"/>
      <c r="N314"/>
      <c r="O314"/>
      <c r="P314"/>
      <c r="Q314"/>
      <c r="R314"/>
    </row>
    <row r="315" spans="1:18" x14ac:dyDescent="0.4">
      <c r="A315"/>
      <c r="B315"/>
      <c r="C315"/>
      <c r="D315"/>
      <c r="E315"/>
      <c r="F315"/>
      <c r="G315"/>
      <c r="H315"/>
      <c r="I315"/>
      <c r="J315"/>
      <c r="K315"/>
      <c r="L315"/>
      <c r="M315"/>
      <c r="N315"/>
      <c r="O315"/>
      <c r="P315"/>
      <c r="Q315"/>
      <c r="R315"/>
    </row>
    <row r="316" spans="1:18" x14ac:dyDescent="0.4">
      <c r="A316"/>
      <c r="B316"/>
      <c r="C316"/>
      <c r="D316"/>
      <c r="E316"/>
      <c r="F316"/>
      <c r="G316"/>
      <c r="H316"/>
      <c r="I316"/>
      <c r="J316"/>
      <c r="K316"/>
      <c r="L316"/>
      <c r="M316"/>
      <c r="N316"/>
      <c r="O316"/>
      <c r="P316"/>
      <c r="Q316"/>
      <c r="R316"/>
    </row>
    <row r="317" spans="1:18" x14ac:dyDescent="0.4">
      <c r="A317"/>
      <c r="B317"/>
      <c r="C317"/>
      <c r="D317"/>
      <c r="E317"/>
      <c r="F317"/>
      <c r="G317"/>
      <c r="H317"/>
      <c r="I317"/>
      <c r="J317"/>
      <c r="K317"/>
      <c r="L317"/>
      <c r="M317"/>
      <c r="N317"/>
      <c r="O317"/>
      <c r="P317"/>
      <c r="Q317"/>
      <c r="R317"/>
    </row>
    <row r="318" spans="1:18" x14ac:dyDescent="0.4">
      <c r="A318"/>
      <c r="B318"/>
      <c r="C318"/>
      <c r="D318"/>
      <c r="E318"/>
      <c r="F318"/>
      <c r="G318"/>
      <c r="H318"/>
      <c r="I318"/>
      <c r="J318"/>
      <c r="K318"/>
      <c r="L318"/>
      <c r="M318"/>
      <c r="N318"/>
      <c r="O318"/>
      <c r="P318"/>
      <c r="Q318"/>
      <c r="R318"/>
    </row>
    <row r="319" spans="1:18" x14ac:dyDescent="0.4">
      <c r="A319"/>
      <c r="B319"/>
      <c r="C319"/>
      <c r="D319"/>
      <c r="E319"/>
      <c r="F319"/>
      <c r="G319"/>
      <c r="H319"/>
      <c r="I319"/>
      <c r="J319"/>
      <c r="K319"/>
      <c r="L319"/>
      <c r="M319"/>
      <c r="N319"/>
      <c r="O319"/>
      <c r="P319"/>
      <c r="Q319"/>
      <c r="R319"/>
    </row>
    <row r="320" spans="1:18" x14ac:dyDescent="0.4">
      <c r="A320"/>
      <c r="B320"/>
      <c r="C320"/>
      <c r="D320"/>
      <c r="E320"/>
      <c r="F320"/>
      <c r="G320"/>
      <c r="H320"/>
      <c r="I320"/>
      <c r="J320"/>
      <c r="K320"/>
      <c r="L320"/>
      <c r="M320"/>
      <c r="N320"/>
      <c r="O320"/>
      <c r="P320"/>
      <c r="Q320"/>
      <c r="R320"/>
    </row>
    <row r="321" spans="1:18" x14ac:dyDescent="0.4">
      <c r="A321"/>
      <c r="B321"/>
      <c r="C321"/>
      <c r="D321"/>
      <c r="E321"/>
      <c r="F321"/>
      <c r="G321"/>
      <c r="H321"/>
      <c r="I321"/>
      <c r="J321"/>
      <c r="K321"/>
      <c r="L321"/>
      <c r="M321"/>
      <c r="N321"/>
      <c r="O321"/>
      <c r="P321"/>
      <c r="Q321"/>
      <c r="R321"/>
    </row>
    <row r="322" spans="1:18" x14ac:dyDescent="0.4">
      <c r="A322"/>
      <c r="B322"/>
      <c r="C322"/>
      <c r="D322"/>
      <c r="E322"/>
      <c r="F322"/>
      <c r="G322"/>
      <c r="H322"/>
      <c r="I322"/>
      <c r="J322"/>
      <c r="K322"/>
      <c r="L322"/>
      <c r="M322"/>
      <c r="N322"/>
      <c r="O322"/>
      <c r="P322"/>
      <c r="Q322"/>
      <c r="R322"/>
    </row>
    <row r="323" spans="1:18" x14ac:dyDescent="0.4">
      <c r="A323"/>
      <c r="B323"/>
      <c r="C323"/>
      <c r="D323"/>
      <c r="E323"/>
      <c r="F323"/>
      <c r="G323"/>
      <c r="H323"/>
      <c r="I323"/>
      <c r="J323"/>
      <c r="K323"/>
      <c r="L323"/>
      <c r="M323"/>
      <c r="N323"/>
      <c r="O323"/>
      <c r="P323"/>
      <c r="Q323"/>
      <c r="R323"/>
    </row>
    <row r="324" spans="1:18" x14ac:dyDescent="0.4">
      <c r="A324"/>
      <c r="B324"/>
      <c r="C324"/>
      <c r="D324"/>
      <c r="E324"/>
      <c r="F324"/>
      <c r="G324"/>
      <c r="H324"/>
      <c r="I324"/>
      <c r="J324"/>
      <c r="K324"/>
      <c r="L324"/>
      <c r="M324"/>
      <c r="N324"/>
      <c r="O324"/>
      <c r="P324"/>
      <c r="Q324"/>
      <c r="R324"/>
    </row>
    <row r="325" spans="1:18" x14ac:dyDescent="0.4">
      <c r="A325"/>
      <c r="B325"/>
      <c r="C325"/>
      <c r="D325"/>
      <c r="E325"/>
      <c r="F325"/>
      <c r="G325"/>
      <c r="H325"/>
      <c r="I325"/>
      <c r="J325"/>
      <c r="K325"/>
      <c r="L325"/>
      <c r="M325"/>
      <c r="N325"/>
      <c r="O325"/>
      <c r="P325"/>
      <c r="Q325"/>
      <c r="R325"/>
    </row>
    <row r="326" spans="1:18" x14ac:dyDescent="0.4">
      <c r="A326"/>
      <c r="B326"/>
      <c r="C326"/>
      <c r="D326"/>
      <c r="E326"/>
      <c r="F326"/>
      <c r="G326"/>
      <c r="H326"/>
      <c r="I326"/>
      <c r="J326"/>
      <c r="K326"/>
      <c r="L326"/>
      <c r="M326"/>
      <c r="N326"/>
      <c r="O326"/>
      <c r="P326"/>
      <c r="Q326"/>
      <c r="R326"/>
    </row>
    <row r="327" spans="1:18" x14ac:dyDescent="0.4">
      <c r="A327"/>
      <c r="B327"/>
      <c r="C327"/>
      <c r="D327"/>
      <c r="E327"/>
      <c r="F327"/>
      <c r="G327"/>
      <c r="H327"/>
      <c r="I327"/>
      <c r="J327"/>
      <c r="K327"/>
      <c r="L327"/>
      <c r="M327"/>
      <c r="N327"/>
      <c r="O327"/>
      <c r="P327"/>
      <c r="Q327"/>
      <c r="R327"/>
    </row>
    <row r="328" spans="1:18" x14ac:dyDescent="0.4">
      <c r="A328"/>
      <c r="B328"/>
      <c r="C328"/>
      <c r="D328"/>
      <c r="E328"/>
      <c r="F328"/>
      <c r="G328"/>
      <c r="H328"/>
      <c r="I328"/>
      <c r="J328"/>
      <c r="K328"/>
      <c r="L328"/>
      <c r="M328"/>
      <c r="N328"/>
      <c r="O328"/>
      <c r="P328"/>
      <c r="Q328"/>
      <c r="R328"/>
    </row>
    <row r="329" spans="1:18" x14ac:dyDescent="0.4">
      <c r="A329"/>
      <c r="B329"/>
      <c r="C329"/>
      <c r="D329"/>
      <c r="E329"/>
      <c r="F329"/>
      <c r="G329"/>
      <c r="H329"/>
      <c r="I329"/>
      <c r="J329"/>
      <c r="K329"/>
      <c r="L329"/>
      <c r="M329"/>
      <c r="N329"/>
      <c r="O329"/>
      <c r="P329"/>
      <c r="Q329"/>
      <c r="R329"/>
    </row>
    <row r="330" spans="1:18" x14ac:dyDescent="0.4">
      <c r="A330"/>
      <c r="B330"/>
      <c r="C330"/>
      <c r="D330"/>
      <c r="E330"/>
      <c r="F330"/>
      <c r="G330"/>
      <c r="H330"/>
      <c r="I330"/>
      <c r="J330"/>
      <c r="K330"/>
      <c r="L330"/>
      <c r="M330"/>
      <c r="N330"/>
      <c r="O330"/>
      <c r="P330"/>
      <c r="Q330"/>
      <c r="R330"/>
    </row>
    <row r="331" spans="1:18" x14ac:dyDescent="0.4">
      <c r="A331"/>
      <c r="B331"/>
      <c r="C331"/>
      <c r="D331"/>
      <c r="E331"/>
      <c r="F331"/>
      <c r="G331"/>
      <c r="H331"/>
      <c r="I331"/>
      <c r="J331"/>
      <c r="K331"/>
      <c r="L331"/>
      <c r="M331"/>
      <c r="N331"/>
      <c r="O331"/>
      <c r="P331"/>
      <c r="Q331"/>
      <c r="R331"/>
    </row>
    <row r="332" spans="1:18" x14ac:dyDescent="0.4">
      <c r="A332"/>
      <c r="B332"/>
      <c r="C332"/>
      <c r="D332"/>
      <c r="E332"/>
      <c r="F332"/>
      <c r="G332"/>
      <c r="H332"/>
      <c r="I332"/>
      <c r="J332"/>
      <c r="K332"/>
      <c r="L332"/>
      <c r="M332"/>
      <c r="N332"/>
      <c r="O332"/>
      <c r="P332"/>
      <c r="Q332"/>
      <c r="R332"/>
    </row>
    <row r="333" spans="1:18" x14ac:dyDescent="0.4">
      <c r="A333"/>
      <c r="B333"/>
      <c r="C333"/>
      <c r="D333"/>
      <c r="E333"/>
      <c r="F333"/>
      <c r="G333"/>
      <c r="H333"/>
      <c r="I333"/>
      <c r="J333"/>
      <c r="K333"/>
      <c r="L333"/>
      <c r="M333"/>
      <c r="N333"/>
      <c r="O333"/>
      <c r="P333"/>
      <c r="Q333"/>
      <c r="R333"/>
    </row>
    <row r="334" spans="1:18" x14ac:dyDescent="0.4">
      <c r="A334"/>
      <c r="B334"/>
      <c r="C334"/>
      <c r="D334"/>
      <c r="E334"/>
      <c r="F334"/>
      <c r="G334"/>
      <c r="H334"/>
      <c r="I334"/>
      <c r="J334"/>
      <c r="K334"/>
      <c r="L334"/>
      <c r="M334"/>
      <c r="N334"/>
      <c r="O334"/>
      <c r="P334"/>
      <c r="Q334"/>
      <c r="R334"/>
    </row>
    <row r="335" spans="1:18" x14ac:dyDescent="0.4">
      <c r="A335"/>
      <c r="B335"/>
      <c r="C335"/>
      <c r="D335"/>
      <c r="E335"/>
      <c r="F335"/>
      <c r="G335"/>
      <c r="H335"/>
      <c r="I335"/>
      <c r="J335"/>
      <c r="K335"/>
      <c r="L335"/>
      <c r="M335"/>
      <c r="N335"/>
      <c r="O335"/>
      <c r="P335"/>
      <c r="Q335"/>
      <c r="R335"/>
    </row>
    <row r="336" spans="1:18" x14ac:dyDescent="0.4">
      <c r="A336"/>
      <c r="B336"/>
      <c r="C336"/>
      <c r="D336"/>
      <c r="E336"/>
      <c r="F336"/>
      <c r="G336"/>
      <c r="H336"/>
      <c r="I336"/>
      <c r="J336"/>
      <c r="K336"/>
      <c r="L336"/>
      <c r="M336"/>
      <c r="N336"/>
      <c r="O336"/>
      <c r="P336"/>
      <c r="Q336"/>
      <c r="R336"/>
    </row>
    <row r="337" spans="1:18" x14ac:dyDescent="0.4">
      <c r="A337"/>
      <c r="B337"/>
      <c r="C337"/>
      <c r="D337"/>
      <c r="E337"/>
      <c r="F337"/>
      <c r="G337"/>
      <c r="H337"/>
      <c r="I337"/>
      <c r="J337"/>
      <c r="K337"/>
      <c r="L337"/>
      <c r="M337"/>
      <c r="N337"/>
      <c r="O337"/>
      <c r="P337"/>
      <c r="Q337"/>
      <c r="R337"/>
    </row>
    <row r="338" spans="1:18" x14ac:dyDescent="0.4">
      <c r="A338"/>
      <c r="B338"/>
      <c r="C338"/>
      <c r="D338"/>
      <c r="E338"/>
      <c r="F338"/>
      <c r="G338"/>
      <c r="H338"/>
      <c r="I338"/>
      <c r="J338"/>
      <c r="K338"/>
      <c r="L338"/>
      <c r="M338"/>
      <c r="N338"/>
      <c r="O338"/>
      <c r="P338"/>
      <c r="Q338"/>
      <c r="R338"/>
    </row>
    <row r="339" spans="1:18" x14ac:dyDescent="0.4">
      <c r="A339"/>
      <c r="B339"/>
      <c r="C339"/>
      <c r="D339"/>
      <c r="E339"/>
      <c r="F339"/>
      <c r="G339"/>
      <c r="H339"/>
      <c r="I339"/>
      <c r="J339"/>
      <c r="K339"/>
      <c r="L339"/>
      <c r="M339"/>
      <c r="N339"/>
      <c r="O339"/>
      <c r="P339"/>
      <c r="Q339"/>
      <c r="R339"/>
    </row>
    <row r="340" spans="1:18" x14ac:dyDescent="0.4">
      <c r="A340"/>
      <c r="B340"/>
      <c r="C340"/>
      <c r="D340"/>
      <c r="E340"/>
      <c r="F340"/>
      <c r="G340"/>
      <c r="H340"/>
      <c r="I340"/>
      <c r="J340"/>
      <c r="K340"/>
      <c r="L340"/>
      <c r="M340"/>
      <c r="N340"/>
      <c r="O340"/>
      <c r="P340"/>
      <c r="Q340"/>
      <c r="R340"/>
    </row>
    <row r="341" spans="1:18" x14ac:dyDescent="0.4">
      <c r="A341"/>
      <c r="B341"/>
      <c r="C341"/>
      <c r="D341"/>
      <c r="E341"/>
      <c r="F341"/>
      <c r="G341"/>
      <c r="H341"/>
      <c r="I341"/>
      <c r="J341"/>
      <c r="K341"/>
      <c r="L341"/>
      <c r="M341"/>
      <c r="N341"/>
      <c r="O341"/>
      <c r="P341"/>
      <c r="Q341"/>
      <c r="R341"/>
    </row>
    <row r="342" spans="1:18" x14ac:dyDescent="0.4">
      <c r="A342"/>
      <c r="B342"/>
      <c r="C342"/>
      <c r="D342"/>
      <c r="E342"/>
      <c r="F342"/>
      <c r="G342"/>
      <c r="H342"/>
      <c r="I342"/>
      <c r="J342"/>
      <c r="K342"/>
      <c r="L342"/>
      <c r="M342"/>
      <c r="N342"/>
      <c r="O342"/>
      <c r="P342"/>
      <c r="Q342"/>
      <c r="R342"/>
    </row>
    <row r="343" spans="1:18" x14ac:dyDescent="0.4">
      <c r="A343"/>
      <c r="B343"/>
      <c r="C343"/>
      <c r="D343"/>
      <c r="E343"/>
      <c r="F343"/>
      <c r="G343"/>
      <c r="H343"/>
      <c r="I343"/>
      <c r="J343"/>
      <c r="K343"/>
      <c r="L343"/>
      <c r="M343"/>
      <c r="N343"/>
      <c r="O343"/>
      <c r="P343"/>
      <c r="Q343"/>
      <c r="R343"/>
    </row>
    <row r="344" spans="1:18" x14ac:dyDescent="0.4">
      <c r="A344"/>
      <c r="B344"/>
      <c r="C344"/>
      <c r="D344"/>
      <c r="E344"/>
      <c r="F344"/>
      <c r="G344"/>
      <c r="H344"/>
      <c r="I344"/>
      <c r="J344"/>
      <c r="K344"/>
      <c r="L344"/>
      <c r="M344"/>
      <c r="N344"/>
      <c r="O344"/>
      <c r="P344"/>
      <c r="Q344"/>
      <c r="R344"/>
    </row>
    <row r="345" spans="1:18" x14ac:dyDescent="0.4">
      <c r="A345"/>
      <c r="B345"/>
      <c r="C345"/>
      <c r="D345"/>
      <c r="E345"/>
      <c r="F345"/>
      <c r="G345"/>
      <c r="H345"/>
      <c r="I345"/>
      <c r="J345"/>
      <c r="K345"/>
      <c r="L345"/>
      <c r="M345"/>
      <c r="N345"/>
      <c r="O345"/>
      <c r="P345"/>
      <c r="Q345"/>
      <c r="R345"/>
    </row>
    <row r="346" spans="1:18" x14ac:dyDescent="0.4">
      <c r="A346"/>
      <c r="B346"/>
      <c r="C346"/>
      <c r="D346"/>
      <c r="E346"/>
      <c r="F346"/>
      <c r="G346"/>
      <c r="H346"/>
      <c r="I346"/>
      <c r="J346"/>
      <c r="K346"/>
      <c r="L346"/>
      <c r="M346"/>
      <c r="N346"/>
      <c r="O346"/>
      <c r="P346"/>
      <c r="Q346"/>
      <c r="R346"/>
    </row>
    <row r="347" spans="1:18" x14ac:dyDescent="0.4">
      <c r="A347"/>
      <c r="B347"/>
      <c r="C347"/>
      <c r="D347"/>
      <c r="E347"/>
      <c r="F347"/>
      <c r="G347"/>
      <c r="H347"/>
      <c r="I347"/>
      <c r="J347"/>
      <c r="K347"/>
      <c r="L347"/>
      <c r="M347"/>
      <c r="N347"/>
      <c r="O347"/>
      <c r="P347"/>
      <c r="Q347"/>
      <c r="R347"/>
    </row>
    <row r="348" spans="1:18" x14ac:dyDescent="0.4">
      <c r="A348"/>
      <c r="B348"/>
      <c r="C348"/>
      <c r="D348"/>
      <c r="E348"/>
      <c r="F348"/>
      <c r="G348"/>
      <c r="H348"/>
      <c r="I348"/>
      <c r="J348"/>
      <c r="K348"/>
      <c r="L348"/>
      <c r="M348"/>
      <c r="N348"/>
      <c r="O348"/>
      <c r="P348"/>
      <c r="Q348"/>
      <c r="R348"/>
    </row>
    <row r="349" spans="1:18" x14ac:dyDescent="0.4">
      <c r="A349"/>
      <c r="B349"/>
      <c r="C349"/>
      <c r="D349"/>
      <c r="E349"/>
      <c r="F349"/>
      <c r="G349"/>
      <c r="H349"/>
      <c r="I349"/>
      <c r="J349"/>
      <c r="K349"/>
      <c r="L349"/>
      <c r="M349"/>
      <c r="N349"/>
      <c r="O349"/>
      <c r="P349"/>
      <c r="Q349"/>
      <c r="R349"/>
    </row>
    <row r="350" spans="1:18" x14ac:dyDescent="0.4">
      <c r="A350"/>
      <c r="B350"/>
      <c r="C350"/>
      <c r="D350"/>
      <c r="E350"/>
      <c r="F350"/>
      <c r="G350"/>
      <c r="H350"/>
      <c r="I350"/>
      <c r="J350"/>
      <c r="K350"/>
      <c r="L350"/>
      <c r="M350"/>
      <c r="N350"/>
      <c r="O350"/>
      <c r="P350"/>
      <c r="Q350"/>
      <c r="R350"/>
    </row>
    <row r="351" spans="1:18" x14ac:dyDescent="0.4">
      <c r="A351"/>
      <c r="B351"/>
      <c r="C351"/>
      <c r="D351"/>
      <c r="E351"/>
      <c r="F351"/>
      <c r="G351"/>
      <c r="H351"/>
      <c r="I351"/>
      <c r="J351"/>
      <c r="K351"/>
      <c r="L351"/>
      <c r="M351"/>
      <c r="N351"/>
      <c r="O351"/>
      <c r="P351"/>
      <c r="Q351"/>
      <c r="R351"/>
    </row>
    <row r="352" spans="1:18" x14ac:dyDescent="0.4">
      <c r="A352"/>
      <c r="B352"/>
      <c r="C352"/>
      <c r="D352"/>
      <c r="E352"/>
      <c r="F352"/>
      <c r="G352"/>
      <c r="H352"/>
      <c r="I352"/>
      <c r="J352"/>
      <c r="K352"/>
      <c r="L352"/>
      <c r="M352"/>
      <c r="N352"/>
      <c r="O352"/>
      <c r="P352"/>
      <c r="Q352"/>
      <c r="R352"/>
    </row>
    <row r="353" spans="1:18" x14ac:dyDescent="0.4">
      <c r="A353"/>
      <c r="B353"/>
      <c r="C353"/>
      <c r="D353"/>
      <c r="E353"/>
      <c r="F353"/>
      <c r="G353"/>
      <c r="H353"/>
      <c r="I353"/>
      <c r="J353"/>
      <c r="K353"/>
      <c r="L353"/>
      <c r="M353"/>
      <c r="N353"/>
      <c r="O353"/>
      <c r="P353"/>
      <c r="Q353"/>
      <c r="R353"/>
    </row>
    <row r="354" spans="1:18" x14ac:dyDescent="0.4">
      <c r="A354"/>
      <c r="B354"/>
      <c r="C354"/>
      <c r="D354"/>
      <c r="E354"/>
      <c r="F354"/>
      <c r="G354"/>
      <c r="H354"/>
      <c r="I354"/>
      <c r="J354"/>
      <c r="K354"/>
      <c r="L354"/>
      <c r="M354"/>
      <c r="N354"/>
      <c r="O354"/>
      <c r="P354"/>
      <c r="Q354"/>
      <c r="R354"/>
    </row>
    <row r="355" spans="1:18" x14ac:dyDescent="0.4">
      <c r="A355"/>
      <c r="B355"/>
      <c r="C355"/>
      <c r="D355"/>
      <c r="E355"/>
      <c r="F355"/>
      <c r="G355"/>
      <c r="H355"/>
      <c r="I355"/>
      <c r="J355"/>
      <c r="K355"/>
      <c r="L355"/>
      <c r="M355"/>
      <c r="N355"/>
      <c r="O355"/>
      <c r="P355"/>
      <c r="Q355"/>
      <c r="R355"/>
    </row>
    <row r="356" spans="1:18" x14ac:dyDescent="0.4">
      <c r="A356"/>
      <c r="B356"/>
      <c r="C356"/>
      <c r="D356"/>
      <c r="E356"/>
      <c r="F356"/>
      <c r="G356"/>
      <c r="H356"/>
      <c r="I356"/>
      <c r="J356"/>
      <c r="K356"/>
      <c r="L356"/>
      <c r="M356"/>
      <c r="N356"/>
      <c r="O356"/>
      <c r="P356"/>
      <c r="Q356"/>
      <c r="R356"/>
    </row>
    <row r="357" spans="1:18" x14ac:dyDescent="0.4">
      <c r="A357"/>
      <c r="B357"/>
      <c r="C357"/>
      <c r="D357"/>
      <c r="E357"/>
      <c r="F357"/>
      <c r="G357"/>
      <c r="H357"/>
      <c r="I357"/>
      <c r="J357"/>
      <c r="K357"/>
      <c r="L357"/>
      <c r="M357"/>
      <c r="N357"/>
      <c r="O357"/>
      <c r="P357"/>
      <c r="Q357"/>
      <c r="R357"/>
    </row>
    <row r="358" spans="1:18" x14ac:dyDescent="0.4">
      <c r="A358"/>
      <c r="B358"/>
      <c r="C358"/>
      <c r="D358"/>
      <c r="E358"/>
      <c r="F358"/>
      <c r="G358"/>
      <c r="H358"/>
      <c r="I358"/>
      <c r="J358"/>
      <c r="K358"/>
      <c r="L358"/>
      <c r="M358"/>
      <c r="N358"/>
      <c r="O358"/>
      <c r="P358"/>
      <c r="Q358"/>
      <c r="R358"/>
    </row>
    <row r="359" spans="1:18" x14ac:dyDescent="0.4">
      <c r="A359"/>
      <c r="B359"/>
      <c r="C359"/>
      <c r="D359"/>
      <c r="E359"/>
      <c r="F359"/>
      <c r="G359"/>
      <c r="H359"/>
      <c r="I359"/>
      <c r="J359"/>
      <c r="K359"/>
      <c r="L359"/>
      <c r="M359"/>
      <c r="N359"/>
      <c r="O359"/>
      <c r="P359"/>
      <c r="Q359"/>
      <c r="R359"/>
    </row>
    <row r="360" spans="1:18" x14ac:dyDescent="0.4">
      <c r="A360"/>
      <c r="B360"/>
      <c r="C360"/>
      <c r="D360"/>
      <c r="E360"/>
      <c r="F360"/>
      <c r="G360"/>
      <c r="H360"/>
      <c r="I360"/>
      <c r="J360"/>
      <c r="K360"/>
      <c r="L360"/>
      <c r="M360"/>
      <c r="N360"/>
      <c r="O360"/>
      <c r="P360"/>
      <c r="Q360"/>
      <c r="R360"/>
    </row>
    <row r="361" spans="1:18" x14ac:dyDescent="0.4">
      <c r="A361"/>
      <c r="B361"/>
      <c r="C361"/>
      <c r="D361"/>
      <c r="E361"/>
      <c r="F361"/>
      <c r="G361"/>
      <c r="H361"/>
      <c r="I361"/>
      <c r="J361"/>
      <c r="K361"/>
      <c r="L361"/>
      <c r="M361"/>
      <c r="N361"/>
      <c r="O361"/>
      <c r="P361"/>
      <c r="Q361"/>
      <c r="R361"/>
    </row>
    <row r="362" spans="1:18" x14ac:dyDescent="0.4">
      <c r="A362"/>
      <c r="B362"/>
      <c r="C362"/>
      <c r="D362"/>
      <c r="E362"/>
      <c r="F362"/>
      <c r="G362"/>
      <c r="H362"/>
      <c r="I362"/>
      <c r="J362"/>
      <c r="K362"/>
      <c r="L362"/>
      <c r="M362"/>
      <c r="N362"/>
      <c r="O362"/>
      <c r="P362"/>
      <c r="Q362"/>
      <c r="R362"/>
    </row>
    <row r="363" spans="1:18" x14ac:dyDescent="0.4">
      <c r="A363"/>
      <c r="B363"/>
      <c r="C363"/>
      <c r="D363"/>
      <c r="E363"/>
      <c r="F363"/>
      <c r="G363"/>
      <c r="H363"/>
      <c r="I363"/>
      <c r="J363"/>
      <c r="K363"/>
      <c r="L363"/>
      <c r="M363"/>
      <c r="N363"/>
      <c r="O363"/>
      <c r="P363"/>
      <c r="Q363"/>
      <c r="R363"/>
    </row>
    <row r="364" spans="1:18" x14ac:dyDescent="0.4">
      <c r="A364"/>
      <c r="B364"/>
      <c r="C364"/>
      <c r="D364"/>
      <c r="E364"/>
      <c r="F364"/>
      <c r="G364"/>
      <c r="H364"/>
      <c r="I364"/>
      <c r="J364"/>
      <c r="K364"/>
      <c r="L364"/>
      <c r="M364"/>
      <c r="N364"/>
      <c r="O364"/>
      <c r="P364"/>
      <c r="Q364"/>
      <c r="R364"/>
    </row>
    <row r="365" spans="1:18" x14ac:dyDescent="0.4">
      <c r="A365"/>
      <c r="B365"/>
      <c r="C365"/>
      <c r="D365"/>
      <c r="E365"/>
      <c r="F365"/>
      <c r="G365"/>
      <c r="H365"/>
      <c r="I365"/>
      <c r="J365"/>
      <c r="K365"/>
      <c r="L365"/>
      <c r="M365"/>
      <c r="N365"/>
      <c r="O365"/>
      <c r="P365"/>
      <c r="Q365"/>
      <c r="R365"/>
    </row>
    <row r="366" spans="1:18" x14ac:dyDescent="0.4">
      <c r="A366"/>
      <c r="B366"/>
      <c r="C366"/>
      <c r="D366"/>
      <c r="E366"/>
      <c r="F366"/>
      <c r="G366"/>
      <c r="H366"/>
      <c r="I366"/>
      <c r="J366"/>
      <c r="K366"/>
      <c r="L366"/>
      <c r="M366"/>
      <c r="N366"/>
      <c r="O366"/>
      <c r="P366"/>
      <c r="Q366"/>
      <c r="R366"/>
    </row>
    <row r="367" spans="1:18" x14ac:dyDescent="0.4">
      <c r="A367"/>
      <c r="B367"/>
      <c r="C367"/>
      <c r="D367"/>
      <c r="E367"/>
      <c r="F367"/>
      <c r="G367"/>
      <c r="H367"/>
      <c r="I367"/>
      <c r="J367"/>
      <c r="K367"/>
      <c r="L367"/>
      <c r="M367"/>
      <c r="N367"/>
      <c r="O367"/>
      <c r="P367"/>
      <c r="Q367"/>
      <c r="R367"/>
    </row>
    <row r="368" spans="1:18" x14ac:dyDescent="0.4">
      <c r="A368"/>
      <c r="B368"/>
      <c r="C368"/>
      <c r="D368"/>
      <c r="E368"/>
      <c r="F368"/>
      <c r="G368"/>
      <c r="H368"/>
      <c r="I368"/>
      <c r="J368"/>
      <c r="K368"/>
      <c r="L368"/>
      <c r="M368"/>
      <c r="N368"/>
      <c r="O368"/>
      <c r="P368"/>
      <c r="Q368"/>
      <c r="R368"/>
    </row>
    <row r="369" spans="1:18" x14ac:dyDescent="0.4">
      <c r="A369"/>
      <c r="B369"/>
      <c r="C369"/>
      <c r="D369"/>
      <c r="E369"/>
      <c r="F369"/>
      <c r="G369"/>
      <c r="H369"/>
      <c r="I369"/>
      <c r="J369"/>
      <c r="K369"/>
      <c r="L369"/>
      <c r="M369"/>
      <c r="N369"/>
      <c r="O369"/>
      <c r="P369"/>
      <c r="Q369"/>
      <c r="R369"/>
    </row>
    <row r="370" spans="1:18" x14ac:dyDescent="0.4">
      <c r="A370"/>
      <c r="B370"/>
      <c r="C370"/>
      <c r="D370"/>
      <c r="E370"/>
      <c r="F370"/>
      <c r="G370"/>
      <c r="H370"/>
      <c r="I370"/>
      <c r="J370"/>
      <c r="K370"/>
      <c r="L370"/>
      <c r="M370"/>
      <c r="N370"/>
      <c r="O370"/>
      <c r="P370"/>
      <c r="Q370"/>
      <c r="R370"/>
    </row>
    <row r="371" spans="1:18" x14ac:dyDescent="0.4">
      <c r="A371"/>
      <c r="B371"/>
      <c r="C371"/>
      <c r="D371"/>
      <c r="E371"/>
      <c r="F371"/>
      <c r="G371"/>
      <c r="H371"/>
      <c r="I371"/>
      <c r="J371"/>
      <c r="K371"/>
      <c r="L371"/>
      <c r="M371"/>
      <c r="N371"/>
      <c r="O371"/>
      <c r="P371"/>
      <c r="Q371"/>
      <c r="R371"/>
    </row>
    <row r="372" spans="1:18" x14ac:dyDescent="0.4">
      <c r="A372"/>
      <c r="B372"/>
      <c r="C372"/>
      <c r="D372"/>
      <c r="E372"/>
      <c r="F372"/>
      <c r="G372"/>
      <c r="H372"/>
      <c r="I372"/>
      <c r="J372"/>
      <c r="K372"/>
      <c r="L372"/>
      <c r="M372"/>
      <c r="N372"/>
      <c r="O372"/>
      <c r="P372"/>
      <c r="Q372"/>
      <c r="R372"/>
    </row>
    <row r="373" spans="1:18" x14ac:dyDescent="0.4">
      <c r="A373"/>
      <c r="B373"/>
      <c r="C373"/>
      <c r="D373"/>
      <c r="E373"/>
      <c r="F373"/>
      <c r="G373"/>
      <c r="H373"/>
      <c r="I373"/>
      <c r="J373"/>
      <c r="K373"/>
      <c r="L373"/>
      <c r="M373"/>
      <c r="N373"/>
      <c r="O373"/>
      <c r="P373"/>
      <c r="Q373"/>
      <c r="R373"/>
    </row>
    <row r="374" spans="1:18" x14ac:dyDescent="0.4">
      <c r="A374"/>
      <c r="B374"/>
      <c r="C374"/>
      <c r="D374"/>
      <c r="E374"/>
      <c r="F374"/>
      <c r="G374"/>
      <c r="H374"/>
      <c r="I374"/>
      <c r="J374"/>
      <c r="K374"/>
      <c r="L374"/>
      <c r="M374"/>
      <c r="N374"/>
      <c r="O374"/>
      <c r="P374"/>
      <c r="Q374"/>
      <c r="R374"/>
    </row>
    <row r="375" spans="1:18" x14ac:dyDescent="0.4">
      <c r="A375"/>
      <c r="B375"/>
      <c r="C375"/>
      <c r="D375"/>
      <c r="E375"/>
      <c r="F375"/>
      <c r="G375"/>
      <c r="H375"/>
      <c r="I375"/>
      <c r="J375"/>
      <c r="K375"/>
      <c r="L375"/>
      <c r="M375"/>
      <c r="N375"/>
      <c r="O375"/>
      <c r="P375"/>
      <c r="Q375"/>
      <c r="R375"/>
    </row>
    <row r="376" spans="1:18" x14ac:dyDescent="0.4">
      <c r="A376"/>
      <c r="B376"/>
      <c r="C376"/>
      <c r="D376"/>
      <c r="E376"/>
      <c r="F376"/>
      <c r="G376"/>
      <c r="H376"/>
      <c r="I376"/>
      <c r="J376"/>
      <c r="K376"/>
      <c r="L376"/>
      <c r="M376"/>
      <c r="N376"/>
      <c r="O376"/>
      <c r="P376"/>
      <c r="Q376"/>
      <c r="R376"/>
    </row>
    <row r="377" spans="1:18" x14ac:dyDescent="0.4">
      <c r="A377"/>
      <c r="B377"/>
      <c r="C377"/>
      <c r="D377"/>
      <c r="E377"/>
      <c r="F377"/>
      <c r="G377"/>
      <c r="H377"/>
      <c r="I377"/>
      <c r="J377"/>
      <c r="K377"/>
      <c r="L377"/>
      <c r="M377"/>
      <c r="N377"/>
      <c r="O377"/>
      <c r="P377"/>
      <c r="Q377"/>
      <c r="R377"/>
    </row>
    <row r="378" spans="1:18" x14ac:dyDescent="0.4">
      <c r="A378"/>
      <c r="B378"/>
      <c r="C378"/>
      <c r="D378"/>
      <c r="E378"/>
      <c r="F378"/>
      <c r="G378"/>
      <c r="H378"/>
      <c r="I378"/>
      <c r="J378"/>
      <c r="K378"/>
      <c r="L378"/>
      <c r="M378"/>
      <c r="N378"/>
      <c r="O378"/>
      <c r="P378"/>
      <c r="Q378"/>
      <c r="R378"/>
    </row>
    <row r="379" spans="1:18" x14ac:dyDescent="0.4">
      <c r="A379"/>
      <c r="B379"/>
      <c r="C379"/>
      <c r="D379"/>
      <c r="E379"/>
      <c r="F379"/>
      <c r="G379"/>
      <c r="H379"/>
      <c r="I379"/>
      <c r="J379"/>
      <c r="K379"/>
      <c r="L379"/>
      <c r="M379"/>
      <c r="N379"/>
      <c r="O379"/>
      <c r="P379"/>
      <c r="Q379"/>
      <c r="R379"/>
    </row>
    <row r="380" spans="1:18" x14ac:dyDescent="0.4">
      <c r="A380"/>
      <c r="B380"/>
      <c r="C380"/>
      <c r="D380"/>
      <c r="E380"/>
      <c r="F380"/>
      <c r="G380"/>
      <c r="H380"/>
      <c r="I380"/>
      <c r="J380"/>
      <c r="K380"/>
      <c r="L380"/>
      <c r="M380"/>
      <c r="N380"/>
      <c r="O380"/>
      <c r="P380"/>
      <c r="Q380"/>
      <c r="R380"/>
    </row>
    <row r="381" spans="1:18" x14ac:dyDescent="0.4">
      <c r="A381"/>
      <c r="B381"/>
      <c r="C381"/>
      <c r="D381"/>
      <c r="E381"/>
      <c r="F381"/>
      <c r="G381"/>
      <c r="H381"/>
      <c r="I381"/>
      <c r="J381"/>
      <c r="K381"/>
      <c r="L381"/>
      <c r="M381"/>
      <c r="N381"/>
      <c r="O381"/>
      <c r="P381"/>
      <c r="Q381"/>
      <c r="R381"/>
    </row>
    <row r="382" spans="1:18" x14ac:dyDescent="0.4">
      <c r="A382"/>
      <c r="B382"/>
      <c r="C382"/>
      <c r="D382"/>
      <c r="E382"/>
      <c r="F382"/>
      <c r="G382"/>
      <c r="H382"/>
      <c r="I382"/>
      <c r="J382"/>
      <c r="K382"/>
      <c r="L382"/>
      <c r="M382"/>
      <c r="N382"/>
      <c r="O382"/>
      <c r="P382"/>
      <c r="Q382"/>
      <c r="R382"/>
    </row>
    <row r="383" spans="1:18" x14ac:dyDescent="0.4">
      <c r="A383"/>
      <c r="B383"/>
      <c r="C383"/>
      <c r="D383"/>
      <c r="E383"/>
      <c r="F383"/>
      <c r="G383"/>
      <c r="H383"/>
      <c r="I383"/>
      <c r="J383"/>
      <c r="K383"/>
      <c r="L383"/>
      <c r="M383"/>
      <c r="N383"/>
      <c r="O383"/>
      <c r="P383"/>
      <c r="Q383"/>
      <c r="R383"/>
    </row>
    <row r="384" spans="1:18" x14ac:dyDescent="0.4">
      <c r="A384"/>
      <c r="B384"/>
      <c r="C384"/>
      <c r="D384"/>
      <c r="E384"/>
      <c r="F384"/>
      <c r="G384"/>
      <c r="H384"/>
      <c r="I384"/>
      <c r="J384"/>
      <c r="K384"/>
      <c r="L384"/>
      <c r="M384"/>
      <c r="N384"/>
      <c r="O384"/>
      <c r="P384"/>
      <c r="Q384"/>
      <c r="R384"/>
    </row>
    <row r="385" spans="1:18" x14ac:dyDescent="0.4">
      <c r="A385"/>
      <c r="B385"/>
      <c r="C385"/>
      <c r="D385"/>
      <c r="E385"/>
      <c r="F385"/>
      <c r="G385"/>
      <c r="H385"/>
      <c r="I385"/>
      <c r="J385"/>
      <c r="K385"/>
      <c r="L385"/>
      <c r="M385"/>
      <c r="N385"/>
      <c r="O385"/>
      <c r="P385"/>
      <c r="Q385"/>
      <c r="R385"/>
    </row>
    <row r="386" spans="1:18" x14ac:dyDescent="0.4">
      <c r="A386"/>
      <c r="B386"/>
      <c r="C386"/>
      <c r="D386"/>
      <c r="E386"/>
      <c r="F386"/>
      <c r="G386"/>
      <c r="H386"/>
      <c r="I386"/>
      <c r="J386"/>
      <c r="K386"/>
      <c r="L386"/>
      <c r="M386"/>
      <c r="N386"/>
      <c r="O386"/>
      <c r="P386"/>
      <c r="Q386"/>
      <c r="R386"/>
    </row>
    <row r="387" spans="1:18" x14ac:dyDescent="0.4">
      <c r="A387"/>
      <c r="B387"/>
      <c r="C387"/>
      <c r="D387"/>
      <c r="E387"/>
      <c r="F387"/>
      <c r="G387"/>
      <c r="H387"/>
      <c r="I387"/>
      <c r="J387"/>
      <c r="K387"/>
      <c r="L387"/>
      <c r="M387"/>
      <c r="N387"/>
      <c r="O387"/>
      <c r="P387"/>
      <c r="Q387"/>
      <c r="R387"/>
    </row>
    <row r="388" spans="1:18" x14ac:dyDescent="0.4">
      <c r="A388"/>
      <c r="B388"/>
      <c r="C388"/>
      <c r="D388"/>
      <c r="E388"/>
      <c r="F388"/>
      <c r="G388"/>
      <c r="H388"/>
      <c r="I388"/>
      <c r="J388"/>
      <c r="K388"/>
      <c r="L388"/>
      <c r="M388"/>
      <c r="N388"/>
      <c r="O388"/>
      <c r="P388"/>
      <c r="Q388"/>
      <c r="R388"/>
    </row>
    <row r="389" spans="1:18" x14ac:dyDescent="0.4">
      <c r="A389"/>
      <c r="B389"/>
      <c r="C389"/>
      <c r="D389"/>
      <c r="E389"/>
      <c r="F389"/>
      <c r="G389"/>
      <c r="H389"/>
      <c r="I389"/>
      <c r="J389"/>
      <c r="K389"/>
      <c r="L389"/>
      <c r="M389"/>
      <c r="N389"/>
      <c r="O389"/>
      <c r="P389"/>
      <c r="Q389"/>
      <c r="R389"/>
    </row>
    <row r="390" spans="1:18" x14ac:dyDescent="0.4">
      <c r="A390"/>
      <c r="B390"/>
      <c r="C390"/>
      <c r="D390"/>
      <c r="E390"/>
      <c r="F390"/>
      <c r="G390"/>
      <c r="H390"/>
      <c r="I390"/>
      <c r="J390"/>
      <c r="K390"/>
      <c r="L390"/>
      <c r="M390"/>
      <c r="N390"/>
      <c r="O390"/>
      <c r="P390"/>
      <c r="Q390"/>
      <c r="R390"/>
    </row>
    <row r="391" spans="1:18" x14ac:dyDescent="0.4">
      <c r="A391"/>
      <c r="B391"/>
      <c r="C391"/>
      <c r="D391"/>
      <c r="E391"/>
      <c r="F391"/>
      <c r="G391"/>
      <c r="H391"/>
      <c r="I391"/>
      <c r="J391"/>
      <c r="K391"/>
      <c r="L391"/>
      <c r="M391"/>
      <c r="N391"/>
      <c r="O391"/>
      <c r="P391"/>
      <c r="Q391"/>
      <c r="R391"/>
    </row>
    <row r="392" spans="1:18" x14ac:dyDescent="0.4">
      <c r="A392"/>
      <c r="B392"/>
      <c r="C392"/>
      <c r="D392"/>
      <c r="E392"/>
      <c r="F392"/>
      <c r="G392"/>
      <c r="H392"/>
      <c r="I392"/>
      <c r="J392"/>
      <c r="K392"/>
      <c r="L392"/>
      <c r="M392"/>
      <c r="N392"/>
      <c r="O392"/>
      <c r="P392"/>
      <c r="Q392"/>
      <c r="R392"/>
    </row>
    <row r="393" spans="1:18" x14ac:dyDescent="0.4">
      <c r="A393"/>
      <c r="B393"/>
      <c r="C393"/>
      <c r="D393"/>
      <c r="E393"/>
      <c r="F393"/>
      <c r="G393"/>
      <c r="H393"/>
      <c r="I393"/>
      <c r="J393"/>
      <c r="K393"/>
      <c r="L393"/>
      <c r="M393"/>
      <c r="N393"/>
      <c r="O393"/>
      <c r="P393"/>
      <c r="Q393"/>
      <c r="R393"/>
    </row>
    <row r="394" spans="1:18" x14ac:dyDescent="0.4">
      <c r="A394"/>
      <c r="B394"/>
      <c r="C394"/>
      <c r="D394"/>
      <c r="E394"/>
      <c r="F394"/>
      <c r="G394"/>
      <c r="H394"/>
      <c r="I394"/>
      <c r="J394"/>
      <c r="K394"/>
      <c r="L394"/>
      <c r="M394"/>
      <c r="N394"/>
      <c r="O394"/>
      <c r="P394"/>
      <c r="Q394"/>
      <c r="R394"/>
    </row>
    <row r="395" spans="1:18" x14ac:dyDescent="0.4">
      <c r="A395"/>
      <c r="B395"/>
      <c r="C395"/>
      <c r="D395"/>
      <c r="E395"/>
      <c r="F395"/>
      <c r="G395"/>
      <c r="H395"/>
      <c r="I395"/>
      <c r="J395"/>
      <c r="K395"/>
      <c r="L395"/>
      <c r="M395"/>
      <c r="N395"/>
      <c r="O395"/>
      <c r="P395"/>
      <c r="Q395"/>
      <c r="R395"/>
    </row>
    <row r="396" spans="1:18" x14ac:dyDescent="0.4">
      <c r="A396"/>
      <c r="B396"/>
      <c r="C396"/>
      <c r="D396"/>
      <c r="E396"/>
      <c r="F396"/>
      <c r="G396"/>
      <c r="H396"/>
      <c r="I396"/>
      <c r="J396"/>
      <c r="K396"/>
      <c r="L396"/>
      <c r="M396"/>
      <c r="N396"/>
      <c r="O396"/>
      <c r="P396"/>
      <c r="Q396"/>
      <c r="R396"/>
    </row>
    <row r="397" spans="1:18" x14ac:dyDescent="0.4">
      <c r="A397"/>
      <c r="B397"/>
      <c r="C397"/>
      <c r="D397"/>
      <c r="E397"/>
      <c r="F397"/>
      <c r="G397"/>
      <c r="H397"/>
      <c r="I397"/>
      <c r="J397"/>
      <c r="K397"/>
      <c r="L397"/>
      <c r="M397"/>
      <c r="N397"/>
      <c r="O397"/>
      <c r="P397"/>
      <c r="Q397"/>
      <c r="R397"/>
    </row>
    <row r="398" spans="1:18" x14ac:dyDescent="0.4">
      <c r="A398"/>
      <c r="B398"/>
      <c r="C398"/>
      <c r="D398"/>
      <c r="E398"/>
      <c r="F398"/>
      <c r="G398"/>
      <c r="H398"/>
      <c r="I398"/>
      <c r="J398"/>
      <c r="K398"/>
      <c r="L398"/>
      <c r="M398"/>
      <c r="N398"/>
      <c r="O398"/>
      <c r="P398"/>
      <c r="Q398"/>
      <c r="R398"/>
    </row>
    <row r="399" spans="1:18" x14ac:dyDescent="0.4">
      <c r="A399"/>
      <c r="B399"/>
      <c r="C399"/>
      <c r="D399"/>
      <c r="E399"/>
      <c r="F399"/>
      <c r="G399"/>
      <c r="H399"/>
      <c r="I399"/>
      <c r="J399"/>
      <c r="K399"/>
      <c r="L399"/>
      <c r="M399"/>
      <c r="N399"/>
      <c r="O399"/>
      <c r="P399"/>
      <c r="Q399"/>
      <c r="R399"/>
    </row>
    <row r="400" spans="1:18" x14ac:dyDescent="0.4">
      <c r="A400"/>
      <c r="B400"/>
      <c r="C400"/>
      <c r="D400"/>
      <c r="E400"/>
      <c r="F400"/>
      <c r="G400"/>
      <c r="H400"/>
      <c r="I400"/>
      <c r="J400"/>
      <c r="K400"/>
      <c r="L400"/>
      <c r="M400"/>
      <c r="N400"/>
      <c r="O400"/>
      <c r="P400"/>
      <c r="Q400"/>
      <c r="R400"/>
    </row>
    <row r="401" spans="1:18" x14ac:dyDescent="0.4">
      <c r="A401"/>
      <c r="B401"/>
      <c r="C401"/>
      <c r="D401"/>
      <c r="E401"/>
      <c r="F401"/>
      <c r="G401"/>
      <c r="H401"/>
      <c r="I401"/>
      <c r="J401"/>
      <c r="K401"/>
      <c r="L401"/>
      <c r="M401"/>
      <c r="N401"/>
      <c r="O401"/>
      <c r="P401"/>
      <c r="Q401"/>
      <c r="R401"/>
    </row>
    <row r="402" spans="1:18" x14ac:dyDescent="0.4">
      <c r="A402"/>
      <c r="B402"/>
      <c r="C402"/>
      <c r="D402"/>
      <c r="E402"/>
      <c r="F402"/>
      <c r="G402"/>
      <c r="H402"/>
      <c r="I402"/>
      <c r="J402"/>
      <c r="K402"/>
      <c r="L402"/>
      <c r="M402"/>
      <c r="N402"/>
      <c r="O402"/>
      <c r="P402"/>
      <c r="Q402"/>
      <c r="R402"/>
    </row>
    <row r="403" spans="1:18" x14ac:dyDescent="0.4">
      <c r="A403"/>
      <c r="B403"/>
      <c r="C403"/>
      <c r="D403"/>
      <c r="E403"/>
      <c r="F403"/>
      <c r="G403"/>
      <c r="H403"/>
      <c r="I403"/>
      <c r="J403"/>
      <c r="K403"/>
      <c r="L403"/>
      <c r="M403"/>
      <c r="N403"/>
      <c r="O403"/>
      <c r="P403"/>
      <c r="Q403"/>
      <c r="R403"/>
    </row>
    <row r="404" spans="1:18" x14ac:dyDescent="0.4">
      <c r="A404"/>
      <c r="B404"/>
      <c r="C404"/>
      <c r="D404"/>
      <c r="E404"/>
      <c r="F404"/>
      <c r="G404"/>
      <c r="H404"/>
      <c r="I404"/>
      <c r="J404"/>
      <c r="K404"/>
      <c r="L404"/>
      <c r="M404"/>
      <c r="N404"/>
      <c r="O404"/>
      <c r="P404"/>
      <c r="Q404"/>
      <c r="R404"/>
    </row>
    <row r="405" spans="1:18" x14ac:dyDescent="0.4">
      <c r="A405"/>
      <c r="B405"/>
      <c r="C405"/>
      <c r="D405"/>
      <c r="E405"/>
      <c r="F405"/>
      <c r="G405"/>
      <c r="H405"/>
      <c r="I405"/>
      <c r="J405"/>
      <c r="K405"/>
      <c r="L405"/>
      <c r="M405"/>
      <c r="N405"/>
      <c r="O405"/>
      <c r="P405"/>
      <c r="Q405"/>
      <c r="R405"/>
    </row>
    <row r="406" spans="1:18" x14ac:dyDescent="0.4">
      <c r="A406"/>
      <c r="B406"/>
      <c r="C406"/>
      <c r="D406"/>
      <c r="E406"/>
      <c r="F406"/>
      <c r="G406"/>
      <c r="H406"/>
      <c r="I406"/>
      <c r="J406"/>
      <c r="K406"/>
      <c r="L406"/>
      <c r="M406"/>
      <c r="N406"/>
      <c r="O406"/>
      <c r="P406"/>
      <c r="Q406"/>
      <c r="R406"/>
    </row>
    <row r="407" spans="1:18" x14ac:dyDescent="0.4">
      <c r="A407"/>
      <c r="B407"/>
      <c r="C407"/>
      <c r="D407"/>
      <c r="E407"/>
      <c r="F407"/>
      <c r="G407"/>
      <c r="H407"/>
      <c r="I407"/>
      <c r="J407"/>
      <c r="K407"/>
      <c r="L407"/>
      <c r="M407"/>
      <c r="N407"/>
      <c r="O407"/>
      <c r="P407"/>
      <c r="Q407"/>
      <c r="R407"/>
    </row>
    <row r="408" spans="1:18" x14ac:dyDescent="0.4">
      <c r="A408"/>
      <c r="B408"/>
      <c r="C408"/>
      <c r="D408"/>
      <c r="E408"/>
      <c r="F408"/>
      <c r="G408"/>
      <c r="H408"/>
      <c r="I408"/>
      <c r="J408"/>
      <c r="K408"/>
      <c r="L408"/>
      <c r="M408"/>
      <c r="N408"/>
      <c r="O408"/>
      <c r="P408"/>
      <c r="Q408"/>
      <c r="R408"/>
    </row>
    <row r="409" spans="1:18" x14ac:dyDescent="0.4">
      <c r="A409"/>
      <c r="B409"/>
      <c r="C409"/>
      <c r="D409"/>
      <c r="E409"/>
      <c r="F409"/>
      <c r="G409"/>
      <c r="H409"/>
      <c r="I409"/>
      <c r="J409"/>
      <c r="K409"/>
      <c r="L409"/>
      <c r="M409"/>
      <c r="N409"/>
      <c r="O409"/>
      <c r="P409"/>
      <c r="Q409"/>
      <c r="R409"/>
    </row>
    <row r="410" spans="1:18" x14ac:dyDescent="0.4">
      <c r="A410"/>
      <c r="B410"/>
      <c r="C410"/>
      <c r="D410"/>
      <c r="E410"/>
      <c r="F410"/>
      <c r="G410"/>
      <c r="H410"/>
      <c r="I410"/>
      <c r="J410"/>
      <c r="K410"/>
      <c r="L410"/>
      <c r="M410"/>
      <c r="N410"/>
      <c r="O410"/>
      <c r="P410"/>
      <c r="Q410"/>
      <c r="R410"/>
    </row>
    <row r="411" spans="1:18" x14ac:dyDescent="0.4">
      <c r="A411"/>
      <c r="B411"/>
      <c r="C411"/>
      <c r="D411"/>
      <c r="E411"/>
      <c r="F411"/>
      <c r="G411"/>
      <c r="H411"/>
      <c r="I411"/>
      <c r="J411"/>
      <c r="K411"/>
      <c r="L411"/>
      <c r="M411"/>
      <c r="N411"/>
      <c r="O411"/>
      <c r="P411"/>
      <c r="Q411"/>
      <c r="R411"/>
    </row>
    <row r="412" spans="1:18" x14ac:dyDescent="0.4">
      <c r="A412"/>
      <c r="B412"/>
      <c r="C412"/>
      <c r="D412"/>
      <c r="E412"/>
      <c r="F412"/>
      <c r="G412"/>
      <c r="H412"/>
      <c r="I412"/>
      <c r="J412"/>
      <c r="K412"/>
      <c r="L412"/>
      <c r="M412"/>
      <c r="N412"/>
      <c r="O412"/>
      <c r="P412"/>
      <c r="Q412"/>
      <c r="R412"/>
    </row>
    <row r="413" spans="1:18" x14ac:dyDescent="0.4">
      <c r="A413"/>
      <c r="B413"/>
      <c r="C413"/>
      <c r="D413"/>
      <c r="E413"/>
      <c r="F413"/>
      <c r="G413"/>
      <c r="H413"/>
      <c r="I413"/>
      <c r="J413"/>
      <c r="K413"/>
      <c r="L413"/>
      <c r="M413"/>
      <c r="N413"/>
      <c r="O413"/>
      <c r="P413"/>
      <c r="Q413"/>
      <c r="R413"/>
    </row>
    <row r="414" spans="1:18" x14ac:dyDescent="0.4">
      <c r="A414"/>
      <c r="B414"/>
      <c r="C414"/>
      <c r="D414"/>
      <c r="E414"/>
      <c r="F414"/>
      <c r="G414"/>
      <c r="H414"/>
      <c r="I414"/>
      <c r="J414"/>
      <c r="K414"/>
      <c r="L414"/>
      <c r="M414"/>
      <c r="N414"/>
      <c r="O414"/>
      <c r="P414"/>
      <c r="Q414"/>
      <c r="R414"/>
    </row>
    <row r="415" spans="1:18" x14ac:dyDescent="0.4">
      <c r="A415"/>
      <c r="B415"/>
      <c r="C415"/>
      <c r="D415"/>
      <c r="E415"/>
      <c r="F415"/>
      <c r="G415"/>
      <c r="H415"/>
      <c r="I415"/>
      <c r="J415"/>
      <c r="K415"/>
      <c r="L415"/>
      <c r="M415"/>
      <c r="N415"/>
      <c r="O415"/>
      <c r="P415"/>
      <c r="Q415"/>
      <c r="R415"/>
    </row>
    <row r="416" spans="1:18" x14ac:dyDescent="0.4">
      <c r="A416"/>
      <c r="B416"/>
      <c r="C416"/>
      <c r="D416"/>
      <c r="E416"/>
      <c r="F416"/>
      <c r="G416"/>
      <c r="H416"/>
      <c r="I416"/>
      <c r="J416"/>
      <c r="K416"/>
      <c r="L416"/>
      <c r="M416"/>
      <c r="N416"/>
      <c r="O416"/>
      <c r="P416"/>
      <c r="Q416"/>
      <c r="R416"/>
    </row>
    <row r="417" spans="1:18" x14ac:dyDescent="0.4">
      <c r="A417"/>
      <c r="B417"/>
      <c r="C417"/>
      <c r="D417"/>
      <c r="E417"/>
      <c r="F417"/>
      <c r="G417"/>
      <c r="H417"/>
      <c r="I417"/>
      <c r="J417"/>
      <c r="K417"/>
      <c r="L417"/>
      <c r="M417"/>
      <c r="N417"/>
      <c r="O417"/>
      <c r="P417"/>
      <c r="Q417"/>
      <c r="R417"/>
    </row>
    <row r="418" spans="1:18" x14ac:dyDescent="0.4">
      <c r="A418"/>
      <c r="B418"/>
      <c r="C418"/>
      <c r="D418"/>
      <c r="E418"/>
      <c r="F418"/>
      <c r="G418"/>
      <c r="H418"/>
      <c r="I418"/>
      <c r="J418"/>
      <c r="K418"/>
      <c r="L418"/>
      <c r="M418"/>
      <c r="N418"/>
      <c r="O418"/>
      <c r="P418"/>
      <c r="Q418"/>
      <c r="R418"/>
    </row>
    <row r="419" spans="1:18" x14ac:dyDescent="0.4">
      <c r="A419"/>
      <c r="B419"/>
      <c r="C419"/>
      <c r="D419"/>
      <c r="E419"/>
      <c r="F419"/>
      <c r="G419"/>
      <c r="H419"/>
      <c r="I419"/>
      <c r="J419"/>
      <c r="K419"/>
      <c r="L419"/>
      <c r="M419"/>
      <c r="N419"/>
      <c r="O419"/>
      <c r="P419"/>
      <c r="Q419"/>
      <c r="R419"/>
    </row>
    <row r="420" spans="1:18" x14ac:dyDescent="0.4">
      <c r="A420"/>
      <c r="B420"/>
      <c r="C420"/>
      <c r="D420"/>
      <c r="E420"/>
      <c r="F420"/>
      <c r="G420"/>
      <c r="H420"/>
      <c r="I420"/>
      <c r="J420"/>
      <c r="K420"/>
      <c r="L420"/>
      <c r="M420"/>
      <c r="N420"/>
      <c r="O420"/>
      <c r="P420"/>
      <c r="Q420"/>
      <c r="R420"/>
    </row>
    <row r="421" spans="1:18" x14ac:dyDescent="0.4">
      <c r="A421"/>
      <c r="B421"/>
      <c r="C421"/>
      <c r="D421"/>
      <c r="E421"/>
      <c r="F421"/>
      <c r="G421"/>
      <c r="H421"/>
      <c r="I421"/>
      <c r="J421"/>
      <c r="K421"/>
      <c r="L421"/>
      <c r="M421"/>
      <c r="N421"/>
      <c r="O421"/>
      <c r="P421"/>
      <c r="Q421"/>
      <c r="R421"/>
    </row>
    <row r="422" spans="1:18" x14ac:dyDescent="0.4">
      <c r="A422"/>
      <c r="B422"/>
      <c r="C422"/>
      <c r="D422"/>
      <c r="E422"/>
      <c r="F422"/>
      <c r="G422"/>
      <c r="H422"/>
      <c r="I422"/>
      <c r="J422"/>
      <c r="K422"/>
      <c r="L422"/>
      <c r="M422"/>
      <c r="N422"/>
      <c r="O422"/>
      <c r="P422"/>
      <c r="Q422"/>
      <c r="R422"/>
    </row>
    <row r="423" spans="1:18" x14ac:dyDescent="0.4">
      <c r="A423"/>
      <c r="B423"/>
      <c r="C423"/>
      <c r="D423"/>
      <c r="E423"/>
      <c r="F423"/>
      <c r="G423"/>
      <c r="H423"/>
      <c r="I423"/>
      <c r="J423"/>
      <c r="K423"/>
      <c r="L423"/>
      <c r="M423"/>
      <c r="N423"/>
      <c r="O423"/>
      <c r="P423"/>
      <c r="Q423"/>
      <c r="R423"/>
    </row>
    <row r="424" spans="1:18" x14ac:dyDescent="0.4">
      <c r="A424"/>
      <c r="B424"/>
      <c r="C424"/>
      <c r="D424"/>
      <c r="E424"/>
      <c r="F424"/>
      <c r="G424"/>
      <c r="H424"/>
      <c r="I424"/>
      <c r="J424"/>
      <c r="K424"/>
      <c r="L424"/>
      <c r="M424"/>
      <c r="N424"/>
      <c r="O424"/>
      <c r="P424"/>
      <c r="Q424"/>
      <c r="R424"/>
    </row>
    <row r="425" spans="1:18" x14ac:dyDescent="0.4">
      <c r="A425"/>
      <c r="B425"/>
      <c r="C425"/>
      <c r="D425"/>
      <c r="E425"/>
      <c r="F425"/>
      <c r="G425"/>
      <c r="H425"/>
      <c r="I425"/>
      <c r="J425"/>
      <c r="K425"/>
      <c r="L425"/>
      <c r="M425"/>
      <c r="N425"/>
      <c r="O425"/>
      <c r="P425"/>
      <c r="Q425"/>
      <c r="R425"/>
    </row>
    <row r="426" spans="1:18" x14ac:dyDescent="0.4">
      <c r="A426"/>
      <c r="B426"/>
      <c r="C426"/>
      <c r="D426"/>
      <c r="E426"/>
      <c r="F426"/>
      <c r="G426"/>
      <c r="H426"/>
      <c r="I426"/>
      <c r="J426"/>
      <c r="K426"/>
      <c r="L426"/>
      <c r="M426"/>
      <c r="N426"/>
      <c r="O426"/>
      <c r="P426"/>
      <c r="Q426"/>
      <c r="R426"/>
    </row>
    <row r="427" spans="1:18" x14ac:dyDescent="0.4">
      <c r="A427"/>
      <c r="B427"/>
      <c r="C427"/>
      <c r="D427"/>
      <c r="E427"/>
      <c r="F427"/>
      <c r="G427"/>
      <c r="H427"/>
      <c r="I427"/>
      <c r="J427"/>
      <c r="K427"/>
      <c r="L427"/>
      <c r="M427"/>
      <c r="N427"/>
      <c r="O427"/>
      <c r="P427"/>
      <c r="Q427"/>
      <c r="R427"/>
    </row>
    <row r="428" spans="1:18" x14ac:dyDescent="0.4">
      <c r="A428"/>
      <c r="B428"/>
      <c r="C428"/>
      <c r="D428"/>
      <c r="E428"/>
      <c r="F428"/>
      <c r="G428"/>
      <c r="H428"/>
      <c r="I428"/>
      <c r="J428"/>
      <c r="K428"/>
      <c r="L428"/>
      <c r="M428"/>
      <c r="N428"/>
      <c r="O428"/>
      <c r="P428"/>
      <c r="Q428"/>
      <c r="R428"/>
    </row>
    <row r="429" spans="1:18" x14ac:dyDescent="0.4">
      <c r="A429"/>
      <c r="B429"/>
      <c r="C429"/>
      <c r="D429"/>
      <c r="E429"/>
      <c r="F429"/>
      <c r="G429"/>
      <c r="H429"/>
      <c r="I429"/>
      <c r="J429"/>
      <c r="K429"/>
      <c r="L429"/>
      <c r="M429"/>
      <c r="N429"/>
      <c r="O429"/>
      <c r="P429"/>
      <c r="Q429"/>
      <c r="R429"/>
    </row>
    <row r="430" spans="1:18" x14ac:dyDescent="0.4">
      <c r="A430"/>
      <c r="B430"/>
      <c r="C430"/>
      <c r="D430"/>
      <c r="E430"/>
      <c r="F430"/>
      <c r="G430"/>
      <c r="H430"/>
      <c r="I430"/>
      <c r="J430"/>
      <c r="K430"/>
      <c r="L430"/>
      <c r="M430"/>
      <c r="N430"/>
      <c r="O430"/>
      <c r="P430"/>
      <c r="Q430"/>
      <c r="R430"/>
    </row>
    <row r="431" spans="1:18" x14ac:dyDescent="0.4">
      <c r="A431"/>
      <c r="B431"/>
      <c r="C431"/>
      <c r="D431"/>
      <c r="E431"/>
      <c r="F431"/>
      <c r="G431"/>
      <c r="H431"/>
      <c r="I431"/>
      <c r="J431"/>
      <c r="K431"/>
      <c r="L431"/>
      <c r="M431"/>
      <c r="N431"/>
      <c r="O431"/>
      <c r="P431"/>
      <c r="Q431"/>
      <c r="R431"/>
    </row>
    <row r="432" spans="1:18" x14ac:dyDescent="0.4">
      <c r="A432"/>
      <c r="B432"/>
      <c r="C432"/>
      <c r="D432"/>
      <c r="E432"/>
      <c r="F432"/>
      <c r="G432"/>
      <c r="H432"/>
      <c r="I432"/>
      <c r="J432"/>
      <c r="K432"/>
      <c r="L432"/>
      <c r="M432"/>
      <c r="N432"/>
      <c r="O432"/>
      <c r="P432"/>
      <c r="Q432"/>
      <c r="R432"/>
    </row>
    <row r="433" spans="1:18" x14ac:dyDescent="0.4">
      <c r="A433"/>
      <c r="B433"/>
      <c r="C433"/>
      <c r="D433"/>
      <c r="E433"/>
      <c r="F433"/>
      <c r="G433"/>
      <c r="H433"/>
      <c r="I433"/>
      <c r="J433"/>
      <c r="K433"/>
      <c r="L433"/>
      <c r="M433"/>
      <c r="N433"/>
      <c r="O433"/>
      <c r="P433"/>
      <c r="Q433"/>
      <c r="R433"/>
    </row>
    <row r="434" spans="1:18" x14ac:dyDescent="0.4">
      <c r="A434"/>
      <c r="B434"/>
      <c r="C434"/>
      <c r="D434"/>
      <c r="E434"/>
      <c r="F434"/>
      <c r="G434"/>
      <c r="H434"/>
      <c r="I434"/>
      <c r="J434"/>
      <c r="K434"/>
      <c r="L434"/>
      <c r="M434"/>
      <c r="N434"/>
      <c r="O434"/>
      <c r="P434"/>
      <c r="Q434"/>
      <c r="R434"/>
    </row>
    <row r="435" spans="1:18" x14ac:dyDescent="0.4">
      <c r="A435"/>
      <c r="B435"/>
      <c r="C435"/>
      <c r="D435"/>
      <c r="E435"/>
      <c r="F435"/>
      <c r="G435"/>
      <c r="H435"/>
      <c r="I435"/>
      <c r="J435"/>
      <c r="K435"/>
      <c r="L435"/>
      <c r="M435"/>
      <c r="N435"/>
      <c r="O435"/>
      <c r="P435"/>
      <c r="Q435"/>
      <c r="R435"/>
    </row>
    <row r="436" spans="1:18" x14ac:dyDescent="0.4">
      <c r="A436"/>
      <c r="B436"/>
      <c r="C436"/>
      <c r="D436"/>
      <c r="E436"/>
      <c r="F436"/>
      <c r="G436"/>
      <c r="H436"/>
      <c r="I436"/>
      <c r="J436"/>
      <c r="K436"/>
      <c r="L436"/>
      <c r="M436"/>
      <c r="N436"/>
      <c r="O436"/>
      <c r="P436"/>
      <c r="Q436"/>
      <c r="R436"/>
    </row>
    <row r="437" spans="1:18" x14ac:dyDescent="0.4">
      <c r="A437"/>
      <c r="B437"/>
      <c r="C437"/>
      <c r="D437"/>
      <c r="E437"/>
      <c r="F437"/>
      <c r="G437"/>
      <c r="H437"/>
      <c r="I437"/>
      <c r="J437"/>
      <c r="K437"/>
      <c r="L437"/>
      <c r="M437"/>
      <c r="N437"/>
      <c r="O437"/>
      <c r="P437"/>
      <c r="Q437"/>
      <c r="R437"/>
    </row>
    <row r="438" spans="1:18" x14ac:dyDescent="0.4">
      <c r="A438"/>
      <c r="B438"/>
      <c r="C438"/>
      <c r="D438"/>
      <c r="E438"/>
      <c r="F438"/>
      <c r="G438"/>
      <c r="H438"/>
      <c r="I438"/>
      <c r="J438"/>
      <c r="K438"/>
      <c r="L438"/>
      <c r="M438"/>
      <c r="N438"/>
      <c r="O438"/>
      <c r="P438"/>
      <c r="Q438"/>
      <c r="R438"/>
    </row>
    <row r="439" spans="1:18" x14ac:dyDescent="0.4">
      <c r="A439"/>
      <c r="B439"/>
      <c r="C439"/>
      <c r="D439"/>
      <c r="E439"/>
      <c r="F439"/>
      <c r="G439"/>
      <c r="H439"/>
      <c r="I439"/>
      <c r="J439"/>
      <c r="K439"/>
      <c r="L439"/>
      <c r="M439"/>
      <c r="N439"/>
      <c r="O439"/>
      <c r="P439"/>
      <c r="Q439"/>
      <c r="R439"/>
    </row>
    <row r="440" spans="1:18" x14ac:dyDescent="0.4">
      <c r="A440"/>
      <c r="B440"/>
      <c r="C440"/>
      <c r="D440"/>
      <c r="E440"/>
      <c r="F440"/>
      <c r="G440"/>
      <c r="H440"/>
      <c r="I440"/>
      <c r="J440"/>
      <c r="K440"/>
      <c r="L440"/>
      <c r="M440"/>
      <c r="N440"/>
      <c r="O440"/>
      <c r="P440"/>
      <c r="Q440"/>
      <c r="R440"/>
    </row>
    <row r="441" spans="1:18" x14ac:dyDescent="0.4">
      <c r="A441"/>
      <c r="B441"/>
      <c r="C441"/>
      <c r="D441"/>
      <c r="E441"/>
      <c r="F441"/>
      <c r="G441"/>
      <c r="H441"/>
      <c r="I441"/>
      <c r="J441"/>
      <c r="K441"/>
      <c r="L441"/>
      <c r="M441"/>
      <c r="N441"/>
      <c r="O441"/>
      <c r="P441"/>
      <c r="Q441"/>
      <c r="R441"/>
    </row>
    <row r="442" spans="1:18" x14ac:dyDescent="0.4">
      <c r="A442"/>
      <c r="B442"/>
      <c r="C442"/>
      <c r="D442"/>
      <c r="E442"/>
      <c r="F442"/>
      <c r="G442"/>
      <c r="H442"/>
      <c r="I442"/>
      <c r="J442"/>
      <c r="K442"/>
      <c r="L442"/>
      <c r="M442"/>
      <c r="N442"/>
      <c r="O442"/>
      <c r="P442"/>
      <c r="Q442"/>
      <c r="R442"/>
    </row>
    <row r="443" spans="1:18" x14ac:dyDescent="0.4">
      <c r="A443"/>
      <c r="B443"/>
      <c r="C443"/>
      <c r="D443"/>
      <c r="E443"/>
      <c r="F443"/>
      <c r="G443"/>
      <c r="H443"/>
      <c r="I443"/>
      <c r="J443"/>
      <c r="K443"/>
      <c r="L443"/>
      <c r="M443"/>
      <c r="N443"/>
      <c r="O443"/>
      <c r="P443"/>
      <c r="Q443"/>
      <c r="R443"/>
    </row>
    <row r="444" spans="1:18" x14ac:dyDescent="0.4">
      <c r="A444"/>
      <c r="B444"/>
      <c r="C444"/>
      <c r="D444"/>
      <c r="E444"/>
      <c r="F444"/>
      <c r="G444"/>
      <c r="H444"/>
      <c r="I444"/>
      <c r="J444"/>
      <c r="K444"/>
      <c r="L444"/>
      <c r="M444"/>
      <c r="N444"/>
      <c r="O444"/>
      <c r="P444"/>
      <c r="Q444"/>
      <c r="R444"/>
    </row>
    <row r="445" spans="1:18" x14ac:dyDescent="0.4">
      <c r="A445"/>
      <c r="B445"/>
      <c r="C445"/>
      <c r="D445"/>
      <c r="E445"/>
      <c r="F445"/>
      <c r="G445"/>
      <c r="H445"/>
      <c r="I445"/>
      <c r="J445"/>
      <c r="K445"/>
      <c r="L445"/>
      <c r="M445"/>
      <c r="N445"/>
      <c r="O445"/>
      <c r="P445"/>
      <c r="Q445"/>
      <c r="R445"/>
    </row>
    <row r="446" spans="1:18" x14ac:dyDescent="0.4">
      <c r="A446"/>
      <c r="B446"/>
      <c r="C446"/>
      <c r="D446"/>
      <c r="E446"/>
      <c r="F446"/>
      <c r="G446"/>
      <c r="H446"/>
      <c r="I446"/>
      <c r="J446"/>
      <c r="K446"/>
      <c r="L446"/>
      <c r="M446"/>
      <c r="N446"/>
      <c r="O446"/>
      <c r="P446"/>
      <c r="Q446"/>
      <c r="R446"/>
    </row>
    <row r="447" spans="1:18" x14ac:dyDescent="0.4">
      <c r="A447"/>
      <c r="B447"/>
      <c r="C447"/>
      <c r="D447"/>
      <c r="E447"/>
      <c r="F447"/>
      <c r="G447"/>
      <c r="H447"/>
      <c r="I447"/>
      <c r="J447"/>
      <c r="K447"/>
      <c r="L447"/>
      <c r="M447"/>
      <c r="N447"/>
      <c r="O447"/>
      <c r="P447"/>
      <c r="Q447"/>
      <c r="R447"/>
    </row>
    <row r="448" spans="1:18" x14ac:dyDescent="0.4">
      <c r="A448"/>
      <c r="B448"/>
      <c r="C448"/>
      <c r="D448"/>
      <c r="E448"/>
      <c r="F448"/>
      <c r="G448"/>
      <c r="H448"/>
      <c r="I448"/>
      <c r="J448"/>
      <c r="K448"/>
      <c r="L448"/>
      <c r="M448"/>
      <c r="N448"/>
      <c r="O448"/>
      <c r="P448"/>
      <c r="Q448"/>
      <c r="R448"/>
    </row>
    <row r="449" spans="1:18" x14ac:dyDescent="0.4">
      <c r="A449"/>
      <c r="B449"/>
      <c r="C449"/>
      <c r="D449"/>
      <c r="E449"/>
      <c r="F449"/>
      <c r="G449"/>
      <c r="H449"/>
      <c r="I449"/>
      <c r="J449"/>
      <c r="K449"/>
      <c r="L449"/>
      <c r="M449"/>
      <c r="N449"/>
      <c r="O449"/>
      <c r="P449"/>
      <c r="Q449"/>
      <c r="R449"/>
    </row>
    <row r="450" spans="1:18" x14ac:dyDescent="0.4">
      <c r="A450"/>
      <c r="B450"/>
      <c r="C450"/>
      <c r="D450"/>
      <c r="E450"/>
      <c r="F450"/>
      <c r="G450"/>
      <c r="H450"/>
      <c r="I450"/>
      <c r="J450"/>
      <c r="K450"/>
      <c r="L450"/>
      <c r="M450"/>
      <c r="N450"/>
      <c r="O450"/>
      <c r="P450"/>
      <c r="Q450"/>
      <c r="R450"/>
    </row>
    <row r="451" spans="1:18" x14ac:dyDescent="0.4">
      <c r="A451"/>
      <c r="B451"/>
      <c r="C451"/>
      <c r="D451"/>
      <c r="E451"/>
      <c r="F451"/>
      <c r="G451"/>
      <c r="H451"/>
      <c r="I451"/>
      <c r="J451"/>
      <c r="K451"/>
      <c r="L451"/>
      <c r="M451"/>
      <c r="N451"/>
      <c r="O451"/>
      <c r="P451"/>
      <c r="Q451"/>
      <c r="R451"/>
    </row>
    <row r="452" spans="1:18" x14ac:dyDescent="0.4">
      <c r="A452"/>
      <c r="B452"/>
      <c r="C452"/>
      <c r="D452"/>
      <c r="E452"/>
      <c r="F452"/>
      <c r="G452"/>
      <c r="H452"/>
      <c r="I452"/>
      <c r="J452"/>
      <c r="K452"/>
      <c r="L452"/>
      <c r="M452"/>
      <c r="N452"/>
      <c r="O452"/>
      <c r="P452"/>
      <c r="Q452"/>
      <c r="R452"/>
    </row>
    <row r="453" spans="1:18" x14ac:dyDescent="0.4">
      <c r="A453"/>
      <c r="B453"/>
      <c r="C453"/>
      <c r="D453"/>
      <c r="E453"/>
      <c r="F453"/>
      <c r="G453"/>
      <c r="H453"/>
      <c r="I453"/>
      <c r="J453"/>
      <c r="K453"/>
      <c r="L453"/>
      <c r="M453"/>
      <c r="N453"/>
      <c r="O453"/>
      <c r="P453"/>
      <c r="Q453"/>
      <c r="R453"/>
    </row>
    <row r="454" spans="1:18" x14ac:dyDescent="0.4">
      <c r="A454"/>
      <c r="B454"/>
      <c r="C454"/>
      <c r="D454"/>
      <c r="E454"/>
      <c r="F454"/>
      <c r="G454"/>
      <c r="H454"/>
      <c r="I454"/>
      <c r="J454"/>
      <c r="K454"/>
      <c r="L454"/>
      <c r="M454"/>
      <c r="N454"/>
      <c r="O454"/>
      <c r="P454"/>
      <c r="Q454"/>
      <c r="R454"/>
    </row>
    <row r="455" spans="1:18" x14ac:dyDescent="0.4">
      <c r="A455"/>
      <c r="B455"/>
      <c r="C455"/>
      <c r="D455"/>
      <c r="E455"/>
      <c r="F455"/>
      <c r="G455"/>
      <c r="H455"/>
      <c r="I455"/>
      <c r="J455"/>
      <c r="K455"/>
      <c r="L455"/>
      <c r="M455"/>
      <c r="N455"/>
      <c r="O455"/>
      <c r="P455"/>
      <c r="Q455"/>
      <c r="R455"/>
    </row>
    <row r="456" spans="1:18" x14ac:dyDescent="0.4">
      <c r="A456"/>
      <c r="B456"/>
      <c r="C456"/>
      <c r="D456"/>
      <c r="E456"/>
      <c r="F456"/>
      <c r="G456"/>
      <c r="H456"/>
      <c r="I456"/>
      <c r="J456"/>
      <c r="K456"/>
      <c r="L456"/>
      <c r="M456"/>
      <c r="N456"/>
      <c r="O456"/>
      <c r="P456"/>
      <c r="Q456"/>
      <c r="R456"/>
    </row>
    <row r="457" spans="1:18" x14ac:dyDescent="0.4">
      <c r="A457"/>
      <c r="B457"/>
      <c r="C457"/>
      <c r="D457"/>
      <c r="E457"/>
      <c r="F457"/>
      <c r="G457"/>
      <c r="H457"/>
      <c r="I457"/>
      <c r="J457"/>
      <c r="K457"/>
      <c r="L457"/>
      <c r="M457"/>
      <c r="N457"/>
      <c r="O457"/>
      <c r="P457"/>
      <c r="Q457"/>
      <c r="R457"/>
    </row>
    <row r="458" spans="1:18" x14ac:dyDescent="0.4">
      <c r="A458"/>
      <c r="B458"/>
      <c r="C458"/>
      <c r="D458"/>
      <c r="E458"/>
      <c r="F458"/>
      <c r="G458"/>
      <c r="H458"/>
      <c r="I458"/>
      <c r="J458"/>
      <c r="K458"/>
      <c r="L458"/>
      <c r="M458"/>
      <c r="N458"/>
      <c r="O458"/>
      <c r="P458"/>
      <c r="Q458"/>
      <c r="R458"/>
    </row>
    <row r="459" spans="1:18" x14ac:dyDescent="0.4">
      <c r="A459"/>
      <c r="B459"/>
      <c r="C459"/>
      <c r="D459"/>
      <c r="E459"/>
      <c r="F459"/>
      <c r="G459"/>
      <c r="H459"/>
      <c r="I459"/>
      <c r="J459"/>
      <c r="K459"/>
      <c r="L459"/>
      <c r="M459"/>
      <c r="N459"/>
      <c r="O459"/>
      <c r="P459"/>
      <c r="Q459"/>
      <c r="R459"/>
    </row>
    <row r="460" spans="1:18" x14ac:dyDescent="0.4">
      <c r="A460"/>
      <c r="B460"/>
      <c r="C460"/>
      <c r="D460"/>
      <c r="E460"/>
      <c r="F460"/>
      <c r="G460"/>
      <c r="H460"/>
      <c r="I460"/>
      <c r="J460"/>
      <c r="K460"/>
      <c r="L460"/>
      <c r="M460"/>
      <c r="N460"/>
      <c r="O460"/>
      <c r="P460"/>
      <c r="Q460"/>
      <c r="R460"/>
    </row>
    <row r="461" spans="1:18" x14ac:dyDescent="0.4">
      <c r="A461"/>
      <c r="B461"/>
      <c r="C461"/>
      <c r="D461"/>
      <c r="E461"/>
      <c r="F461"/>
      <c r="G461"/>
      <c r="H461"/>
      <c r="I461"/>
      <c r="J461"/>
      <c r="K461"/>
      <c r="L461"/>
      <c r="M461"/>
      <c r="N461"/>
      <c r="O461"/>
      <c r="P461"/>
      <c r="Q461"/>
      <c r="R461"/>
    </row>
    <row r="462" spans="1:18" x14ac:dyDescent="0.4">
      <c r="A462"/>
      <c r="B462"/>
      <c r="C462"/>
      <c r="D462"/>
      <c r="E462"/>
      <c r="F462"/>
      <c r="G462"/>
      <c r="H462"/>
      <c r="I462"/>
      <c r="J462"/>
      <c r="K462"/>
      <c r="L462"/>
      <c r="M462"/>
      <c r="N462"/>
      <c r="O462"/>
      <c r="P462"/>
      <c r="Q462"/>
      <c r="R462"/>
    </row>
    <row r="463" spans="1:18" x14ac:dyDescent="0.4">
      <c r="A463"/>
      <c r="B463"/>
      <c r="C463"/>
      <c r="D463"/>
      <c r="E463"/>
      <c r="F463"/>
      <c r="G463"/>
      <c r="H463"/>
      <c r="I463"/>
      <c r="J463"/>
      <c r="K463"/>
      <c r="L463"/>
      <c r="M463"/>
      <c r="N463"/>
      <c r="O463"/>
      <c r="P463"/>
      <c r="Q463"/>
      <c r="R463"/>
    </row>
    <row r="464" spans="1:18" x14ac:dyDescent="0.4">
      <c r="A464"/>
      <c r="B464"/>
      <c r="C464"/>
      <c r="D464"/>
      <c r="E464"/>
      <c r="F464"/>
      <c r="G464"/>
      <c r="H464"/>
      <c r="I464"/>
      <c r="J464"/>
      <c r="K464"/>
      <c r="L464"/>
      <c r="M464"/>
      <c r="N464"/>
      <c r="O464"/>
      <c r="P464"/>
      <c r="Q464"/>
      <c r="R464"/>
    </row>
    <row r="465" spans="1:18" x14ac:dyDescent="0.4">
      <c r="A465"/>
      <c r="B465"/>
      <c r="C465"/>
      <c r="D465"/>
      <c r="E465"/>
      <c r="F465"/>
      <c r="G465"/>
      <c r="H465"/>
      <c r="I465"/>
      <c r="J465"/>
      <c r="K465"/>
      <c r="L465"/>
      <c r="M465"/>
      <c r="N465"/>
      <c r="O465"/>
      <c r="P465"/>
      <c r="Q465"/>
      <c r="R465"/>
    </row>
    <row r="466" spans="1:18" x14ac:dyDescent="0.4">
      <c r="A466"/>
      <c r="B466"/>
      <c r="C466"/>
      <c r="D466"/>
      <c r="E466"/>
      <c r="F466"/>
      <c r="G466"/>
      <c r="H466"/>
      <c r="I466"/>
      <c r="J466"/>
      <c r="K466"/>
      <c r="L466"/>
      <c r="M466"/>
      <c r="N466"/>
      <c r="O466"/>
      <c r="P466"/>
      <c r="Q466"/>
      <c r="R466"/>
    </row>
    <row r="467" spans="1:18" x14ac:dyDescent="0.4">
      <c r="A467"/>
      <c r="B467"/>
      <c r="C467"/>
      <c r="D467"/>
      <c r="E467"/>
      <c r="F467"/>
      <c r="G467"/>
      <c r="H467"/>
      <c r="I467"/>
      <c r="J467"/>
      <c r="K467"/>
      <c r="L467"/>
      <c r="M467"/>
      <c r="N467"/>
      <c r="O467"/>
      <c r="P467"/>
      <c r="Q467"/>
      <c r="R467"/>
    </row>
    <row r="468" spans="1:18" x14ac:dyDescent="0.4">
      <c r="A468"/>
      <c r="B468"/>
      <c r="C468"/>
      <c r="D468"/>
      <c r="E468"/>
      <c r="F468"/>
      <c r="G468"/>
      <c r="H468"/>
      <c r="I468"/>
      <c r="J468"/>
      <c r="K468"/>
      <c r="L468"/>
      <c r="M468"/>
      <c r="N468"/>
      <c r="O468"/>
      <c r="P468"/>
      <c r="Q468"/>
      <c r="R468"/>
    </row>
    <row r="469" spans="1:18" x14ac:dyDescent="0.4">
      <c r="A469"/>
      <c r="B469"/>
      <c r="C469"/>
      <c r="D469"/>
      <c r="E469"/>
      <c r="F469"/>
      <c r="G469"/>
      <c r="H469"/>
      <c r="I469"/>
      <c r="J469"/>
      <c r="K469"/>
      <c r="L469"/>
      <c r="M469"/>
      <c r="N469"/>
      <c r="O469"/>
      <c r="P469"/>
      <c r="Q469"/>
      <c r="R469"/>
    </row>
    <row r="470" spans="1:18" x14ac:dyDescent="0.4">
      <c r="A470"/>
      <c r="B470"/>
      <c r="C470"/>
      <c r="D470"/>
      <c r="E470"/>
      <c r="F470"/>
      <c r="G470"/>
      <c r="H470"/>
      <c r="I470"/>
      <c r="J470"/>
      <c r="K470"/>
      <c r="L470"/>
      <c r="M470"/>
      <c r="N470"/>
      <c r="O470"/>
      <c r="P470"/>
      <c r="Q470"/>
      <c r="R470"/>
    </row>
    <row r="471" spans="1:18" x14ac:dyDescent="0.4">
      <c r="A471"/>
      <c r="B471"/>
      <c r="C471"/>
      <c r="D471"/>
      <c r="E471"/>
      <c r="F471"/>
      <c r="G471"/>
      <c r="H471"/>
      <c r="I471"/>
      <c r="J471"/>
      <c r="K471"/>
      <c r="L471"/>
      <c r="M471"/>
      <c r="N471"/>
      <c r="O471"/>
      <c r="P471"/>
      <c r="Q471"/>
      <c r="R471"/>
    </row>
    <row r="472" spans="1:18" x14ac:dyDescent="0.4">
      <c r="A472"/>
      <c r="B472"/>
      <c r="C472"/>
      <c r="D472"/>
      <c r="E472"/>
      <c r="F472"/>
      <c r="G472"/>
      <c r="H472"/>
      <c r="I472"/>
      <c r="J472"/>
      <c r="K472"/>
      <c r="L472"/>
      <c r="M472"/>
      <c r="N472"/>
      <c r="O472"/>
      <c r="P472"/>
      <c r="Q472"/>
      <c r="R472"/>
    </row>
    <row r="473" spans="1:18" x14ac:dyDescent="0.4">
      <c r="A473"/>
      <c r="B473"/>
      <c r="C473"/>
      <c r="D473"/>
      <c r="E473"/>
      <c r="F473"/>
      <c r="G473"/>
      <c r="H473"/>
      <c r="I473"/>
      <c r="J473"/>
      <c r="K473"/>
      <c r="L473"/>
      <c r="M473"/>
      <c r="N473"/>
      <c r="O473"/>
      <c r="P473"/>
      <c r="Q473"/>
      <c r="R473"/>
    </row>
    <row r="474" spans="1:18" x14ac:dyDescent="0.4">
      <c r="A474"/>
      <c r="B474"/>
      <c r="C474"/>
      <c r="D474"/>
      <c r="E474"/>
      <c r="F474"/>
      <c r="G474"/>
      <c r="H474"/>
      <c r="I474"/>
      <c r="J474"/>
      <c r="K474"/>
      <c r="L474"/>
      <c r="M474"/>
      <c r="N474"/>
      <c r="O474"/>
      <c r="P474"/>
      <c r="Q474"/>
      <c r="R474"/>
    </row>
    <row r="475" spans="1:18" x14ac:dyDescent="0.4">
      <c r="A475"/>
      <c r="B475"/>
      <c r="C475"/>
      <c r="D475"/>
      <c r="E475"/>
      <c r="F475"/>
      <c r="G475"/>
      <c r="H475"/>
      <c r="I475"/>
      <c r="J475"/>
      <c r="K475"/>
      <c r="L475"/>
      <c r="M475"/>
      <c r="N475"/>
      <c r="O475"/>
      <c r="P475"/>
      <c r="Q475"/>
      <c r="R475"/>
    </row>
    <row r="476" spans="1:18" x14ac:dyDescent="0.4">
      <c r="A476"/>
      <c r="B476"/>
      <c r="C476"/>
      <c r="D476"/>
      <c r="E476"/>
      <c r="F476"/>
      <c r="G476"/>
      <c r="H476"/>
      <c r="I476"/>
      <c r="J476"/>
      <c r="K476"/>
      <c r="L476"/>
      <c r="M476"/>
      <c r="N476"/>
      <c r="O476"/>
      <c r="P476"/>
      <c r="Q476"/>
      <c r="R476"/>
    </row>
    <row r="477" spans="1:18" x14ac:dyDescent="0.4">
      <c r="A477"/>
      <c r="B477"/>
      <c r="C477"/>
      <c r="D477"/>
      <c r="E477"/>
      <c r="F477"/>
      <c r="G477"/>
      <c r="H477"/>
      <c r="I477"/>
      <c r="J477"/>
      <c r="K477"/>
      <c r="L477"/>
      <c r="M477"/>
      <c r="N477"/>
      <c r="O477"/>
      <c r="P477"/>
      <c r="Q477"/>
      <c r="R477"/>
    </row>
    <row r="478" spans="1:18" x14ac:dyDescent="0.4">
      <c r="A478"/>
      <c r="B478"/>
      <c r="C478"/>
      <c r="D478"/>
      <c r="E478"/>
      <c r="F478"/>
      <c r="G478"/>
      <c r="H478"/>
      <c r="I478"/>
      <c r="J478"/>
      <c r="K478"/>
      <c r="L478"/>
      <c r="M478"/>
      <c r="N478"/>
      <c r="O478"/>
      <c r="P478"/>
      <c r="Q478"/>
      <c r="R478"/>
    </row>
    <row r="479" spans="1:18" x14ac:dyDescent="0.4">
      <c r="A479"/>
      <c r="B479"/>
      <c r="C479"/>
      <c r="D479"/>
      <c r="E479"/>
      <c r="F479"/>
      <c r="G479"/>
      <c r="H479"/>
      <c r="I479"/>
      <c r="J479"/>
      <c r="K479"/>
      <c r="L479"/>
      <c r="M479"/>
      <c r="N479"/>
      <c r="O479"/>
      <c r="P479"/>
      <c r="Q479"/>
      <c r="R479"/>
    </row>
    <row r="480" spans="1:18" x14ac:dyDescent="0.4">
      <c r="A480"/>
      <c r="B480"/>
      <c r="C480"/>
      <c r="D480"/>
      <c r="E480"/>
      <c r="F480"/>
      <c r="G480"/>
      <c r="H480"/>
      <c r="I480"/>
      <c r="J480"/>
      <c r="K480"/>
      <c r="L480"/>
      <c r="M480"/>
      <c r="N480"/>
      <c r="O480"/>
      <c r="P480"/>
      <c r="Q480"/>
      <c r="R480"/>
    </row>
    <row r="481" spans="1:18" x14ac:dyDescent="0.4">
      <c r="A481"/>
      <c r="B481"/>
      <c r="C481"/>
      <c r="D481"/>
      <c r="E481"/>
      <c r="F481"/>
      <c r="G481"/>
      <c r="H481"/>
      <c r="I481"/>
      <c r="J481"/>
      <c r="K481"/>
      <c r="L481"/>
      <c r="M481"/>
      <c r="N481"/>
      <c r="O481"/>
      <c r="P481"/>
      <c r="Q481"/>
      <c r="R481"/>
    </row>
    <row r="482" spans="1:18" x14ac:dyDescent="0.4">
      <c r="A482"/>
      <c r="B482"/>
      <c r="C482"/>
      <c r="D482"/>
      <c r="E482"/>
      <c r="F482"/>
      <c r="G482"/>
      <c r="H482"/>
      <c r="I482"/>
      <c r="J482"/>
      <c r="K482"/>
      <c r="L482"/>
      <c r="M482"/>
      <c r="N482"/>
      <c r="O482"/>
      <c r="P482"/>
      <c r="Q482"/>
      <c r="R482"/>
    </row>
    <row r="483" spans="1:18" x14ac:dyDescent="0.4">
      <c r="A483"/>
      <c r="B483"/>
      <c r="C483"/>
      <c r="D483"/>
      <c r="E483"/>
      <c r="F483"/>
      <c r="G483"/>
      <c r="H483"/>
      <c r="I483"/>
      <c r="J483"/>
      <c r="K483"/>
      <c r="L483"/>
      <c r="M483"/>
      <c r="N483"/>
      <c r="O483"/>
      <c r="P483"/>
      <c r="Q483"/>
      <c r="R483"/>
    </row>
    <row r="484" spans="1:18" x14ac:dyDescent="0.4">
      <c r="A484"/>
      <c r="B484"/>
      <c r="C484"/>
      <c r="D484"/>
      <c r="E484"/>
      <c r="F484"/>
      <c r="G484"/>
      <c r="H484"/>
      <c r="I484"/>
      <c r="J484"/>
      <c r="K484"/>
      <c r="L484"/>
      <c r="M484"/>
      <c r="N484"/>
      <c r="O484"/>
      <c r="P484"/>
      <c r="Q484"/>
      <c r="R484"/>
    </row>
    <row r="485" spans="1:18" x14ac:dyDescent="0.4">
      <c r="A485"/>
      <c r="B485"/>
      <c r="C485"/>
      <c r="D485"/>
      <c r="E485"/>
      <c r="F485"/>
      <c r="G485"/>
      <c r="H485"/>
      <c r="I485"/>
      <c r="J485"/>
      <c r="K485"/>
      <c r="L485"/>
      <c r="M485"/>
      <c r="N485"/>
      <c r="O485"/>
      <c r="P485"/>
      <c r="Q485"/>
      <c r="R485"/>
    </row>
    <row r="486" spans="1:18" x14ac:dyDescent="0.4">
      <c r="A486"/>
      <c r="B486"/>
      <c r="C486"/>
      <c r="D486"/>
      <c r="E486"/>
      <c r="F486"/>
      <c r="G486"/>
      <c r="H486"/>
      <c r="I486"/>
      <c r="J486"/>
      <c r="K486"/>
      <c r="L486"/>
      <c r="M486"/>
      <c r="N486"/>
      <c r="O486"/>
      <c r="P486"/>
      <c r="Q486"/>
      <c r="R486"/>
    </row>
    <row r="487" spans="1:18" x14ac:dyDescent="0.4">
      <c r="A487"/>
      <c r="B487"/>
      <c r="C487"/>
      <c r="D487"/>
      <c r="E487"/>
      <c r="F487"/>
      <c r="G487"/>
      <c r="H487"/>
      <c r="I487"/>
      <c r="J487"/>
      <c r="K487"/>
      <c r="L487"/>
      <c r="M487"/>
      <c r="N487"/>
      <c r="O487"/>
      <c r="P487"/>
      <c r="Q487"/>
      <c r="R487"/>
    </row>
    <row r="488" spans="1:18" x14ac:dyDescent="0.4">
      <c r="A488"/>
      <c r="B488"/>
      <c r="C488"/>
      <c r="D488"/>
      <c r="E488"/>
      <c r="F488"/>
      <c r="G488"/>
      <c r="H488"/>
      <c r="I488"/>
      <c r="J488"/>
      <c r="K488"/>
      <c r="L488"/>
      <c r="M488"/>
      <c r="N488"/>
      <c r="O488"/>
      <c r="P488"/>
      <c r="Q488"/>
      <c r="R488"/>
    </row>
    <row r="489" spans="1:18" x14ac:dyDescent="0.4">
      <c r="A489"/>
      <c r="B489"/>
      <c r="C489"/>
      <c r="D489"/>
      <c r="E489"/>
      <c r="F489"/>
      <c r="G489"/>
      <c r="H489"/>
      <c r="I489"/>
      <c r="J489"/>
      <c r="K489"/>
      <c r="L489"/>
      <c r="M489"/>
      <c r="N489"/>
      <c r="O489"/>
      <c r="P489"/>
      <c r="Q489"/>
      <c r="R489"/>
    </row>
    <row r="490" spans="1:18" x14ac:dyDescent="0.4">
      <c r="A490"/>
      <c r="B490"/>
      <c r="C490"/>
      <c r="D490"/>
      <c r="E490"/>
      <c r="F490"/>
      <c r="G490"/>
      <c r="H490"/>
      <c r="I490"/>
      <c r="J490"/>
      <c r="K490"/>
      <c r="L490"/>
      <c r="M490"/>
      <c r="N490"/>
      <c r="O490"/>
      <c r="P490"/>
      <c r="Q490"/>
      <c r="R490"/>
    </row>
    <row r="491" spans="1:18" x14ac:dyDescent="0.4">
      <c r="A491"/>
      <c r="B491"/>
      <c r="C491"/>
      <c r="D491"/>
      <c r="E491"/>
      <c r="F491"/>
      <c r="G491"/>
      <c r="H491"/>
      <c r="I491"/>
      <c r="J491"/>
      <c r="K491"/>
      <c r="L491"/>
      <c r="M491"/>
      <c r="N491"/>
      <c r="O491"/>
      <c r="P491"/>
      <c r="Q491"/>
      <c r="R491"/>
    </row>
    <row r="492" spans="1:18" x14ac:dyDescent="0.4">
      <c r="A492"/>
      <c r="B492"/>
      <c r="C492"/>
      <c r="D492"/>
      <c r="E492"/>
      <c r="F492"/>
      <c r="G492"/>
      <c r="H492"/>
      <c r="I492"/>
      <c r="J492"/>
      <c r="K492"/>
      <c r="L492"/>
      <c r="M492"/>
      <c r="N492"/>
      <c r="O492"/>
      <c r="P492"/>
      <c r="Q492"/>
      <c r="R492"/>
    </row>
    <row r="493" spans="1:18" x14ac:dyDescent="0.4">
      <c r="A493"/>
      <c r="B493"/>
      <c r="C493"/>
      <c r="D493"/>
      <c r="E493"/>
      <c r="F493"/>
      <c r="G493"/>
      <c r="H493"/>
      <c r="I493"/>
      <c r="J493"/>
      <c r="K493"/>
      <c r="L493"/>
      <c r="M493"/>
      <c r="N493"/>
      <c r="O493"/>
      <c r="P493"/>
      <c r="Q493"/>
      <c r="R493"/>
    </row>
    <row r="494" spans="1:18" x14ac:dyDescent="0.4">
      <c r="A494"/>
      <c r="B494"/>
      <c r="C494"/>
      <c r="D494"/>
      <c r="E494"/>
      <c r="F494"/>
      <c r="G494"/>
      <c r="H494"/>
      <c r="I494"/>
      <c r="J494"/>
      <c r="K494"/>
      <c r="L494"/>
      <c r="M494"/>
      <c r="N494"/>
      <c r="O494"/>
      <c r="P494"/>
      <c r="Q494"/>
      <c r="R494"/>
    </row>
    <row r="495" spans="1:18" x14ac:dyDescent="0.4">
      <c r="A495"/>
      <c r="B495"/>
      <c r="C495"/>
      <c r="D495"/>
      <c r="E495"/>
      <c r="F495"/>
      <c r="G495"/>
      <c r="H495"/>
      <c r="I495"/>
      <c r="J495"/>
      <c r="K495"/>
      <c r="L495"/>
      <c r="M495"/>
      <c r="N495"/>
      <c r="O495"/>
      <c r="P495"/>
      <c r="Q495"/>
      <c r="R495"/>
    </row>
    <row r="496" spans="1:18" x14ac:dyDescent="0.4">
      <c r="A496"/>
      <c r="B496"/>
      <c r="C496"/>
      <c r="D496"/>
      <c r="E496"/>
      <c r="F496"/>
      <c r="G496"/>
      <c r="H496"/>
      <c r="I496"/>
      <c r="J496"/>
      <c r="K496"/>
      <c r="L496"/>
      <c r="M496"/>
      <c r="N496"/>
      <c r="O496"/>
      <c r="P496"/>
      <c r="Q496"/>
      <c r="R496"/>
    </row>
    <row r="497" spans="1:18" x14ac:dyDescent="0.4">
      <c r="A497"/>
      <c r="B497"/>
      <c r="C497"/>
      <c r="D497"/>
      <c r="E497"/>
      <c r="F497"/>
      <c r="G497"/>
      <c r="H497"/>
      <c r="I497"/>
      <c r="J497"/>
      <c r="K497"/>
      <c r="L497"/>
      <c r="M497"/>
      <c r="N497"/>
      <c r="O497"/>
      <c r="P497"/>
      <c r="Q497"/>
      <c r="R497"/>
    </row>
    <row r="498" spans="1:18" x14ac:dyDescent="0.4">
      <c r="A498"/>
      <c r="B498"/>
      <c r="C498"/>
      <c r="D498"/>
      <c r="E498"/>
      <c r="F498"/>
      <c r="G498"/>
      <c r="H498"/>
      <c r="I498"/>
      <c r="J498"/>
      <c r="K498"/>
      <c r="L498"/>
      <c r="M498"/>
      <c r="N498"/>
      <c r="O498"/>
      <c r="P498"/>
      <c r="Q498"/>
      <c r="R498"/>
    </row>
    <row r="499" spans="1:18" x14ac:dyDescent="0.4">
      <c r="A499"/>
      <c r="B499"/>
      <c r="C499"/>
      <c r="D499"/>
      <c r="E499"/>
      <c r="F499"/>
      <c r="G499"/>
      <c r="H499"/>
      <c r="I499"/>
      <c r="J499"/>
      <c r="K499"/>
      <c r="L499"/>
      <c r="M499"/>
      <c r="N499"/>
      <c r="O499"/>
      <c r="P499"/>
      <c r="Q499"/>
      <c r="R499"/>
    </row>
    <row r="500" spans="1:18" x14ac:dyDescent="0.4">
      <c r="A500"/>
      <c r="B500"/>
      <c r="C500"/>
      <c r="D500"/>
      <c r="E500"/>
      <c r="F500"/>
      <c r="G500"/>
      <c r="H500"/>
      <c r="I500"/>
      <c r="J500"/>
      <c r="K500"/>
      <c r="L500"/>
      <c r="M500"/>
      <c r="N500"/>
      <c r="O500"/>
      <c r="P500"/>
      <c r="Q500"/>
      <c r="R500"/>
    </row>
    <row r="501" spans="1:18" x14ac:dyDescent="0.4">
      <c r="A501"/>
      <c r="B501"/>
      <c r="C501"/>
      <c r="D501"/>
      <c r="E501"/>
      <c r="F501"/>
      <c r="G501"/>
      <c r="H501"/>
      <c r="I501"/>
      <c r="J501"/>
      <c r="K501"/>
      <c r="L501"/>
      <c r="M501"/>
      <c r="N501"/>
      <c r="O501"/>
      <c r="P501"/>
      <c r="Q501"/>
      <c r="R501"/>
    </row>
    <row r="502" spans="1:18" x14ac:dyDescent="0.4">
      <c r="A502"/>
      <c r="B502"/>
      <c r="C502"/>
      <c r="D502"/>
      <c r="E502"/>
      <c r="F502"/>
      <c r="G502"/>
      <c r="H502"/>
      <c r="I502"/>
      <c r="J502"/>
      <c r="K502"/>
      <c r="L502"/>
      <c r="M502"/>
      <c r="N502"/>
      <c r="O502"/>
      <c r="P502"/>
      <c r="Q502"/>
      <c r="R502"/>
    </row>
    <row r="503" spans="1:18" x14ac:dyDescent="0.4">
      <c r="A503"/>
      <c r="B503"/>
      <c r="C503"/>
      <c r="D503"/>
      <c r="E503"/>
      <c r="F503"/>
      <c r="G503"/>
      <c r="H503"/>
      <c r="I503"/>
      <c r="J503"/>
      <c r="K503"/>
      <c r="L503"/>
      <c r="M503"/>
      <c r="N503"/>
      <c r="O503"/>
      <c r="P503"/>
      <c r="Q503"/>
      <c r="R503"/>
    </row>
    <row r="504" spans="1:18" x14ac:dyDescent="0.4">
      <c r="A504"/>
      <c r="B504"/>
      <c r="C504"/>
      <c r="D504"/>
      <c r="E504"/>
      <c r="F504"/>
      <c r="G504"/>
      <c r="H504"/>
      <c r="I504"/>
      <c r="J504"/>
      <c r="K504"/>
      <c r="L504"/>
      <c r="M504"/>
      <c r="N504"/>
      <c r="O504"/>
      <c r="P504"/>
      <c r="Q504"/>
      <c r="R504"/>
    </row>
    <row r="505" spans="1:18" x14ac:dyDescent="0.4">
      <c r="A505"/>
      <c r="B505"/>
      <c r="C505"/>
      <c r="D505"/>
      <c r="E505"/>
      <c r="F505"/>
      <c r="G505"/>
      <c r="H505"/>
      <c r="I505"/>
      <c r="J505"/>
      <c r="K505"/>
      <c r="L505"/>
      <c r="M505"/>
      <c r="N505"/>
      <c r="O505"/>
      <c r="P505"/>
      <c r="Q505"/>
      <c r="R505"/>
    </row>
    <row r="506" spans="1:18" x14ac:dyDescent="0.4">
      <c r="A506"/>
      <c r="B506"/>
      <c r="C506"/>
      <c r="D506"/>
      <c r="E506"/>
      <c r="F506"/>
      <c r="G506"/>
      <c r="H506"/>
      <c r="I506"/>
      <c r="J506"/>
      <c r="K506"/>
      <c r="L506"/>
      <c r="M506"/>
      <c r="N506"/>
      <c r="O506"/>
      <c r="P506"/>
      <c r="Q506"/>
      <c r="R506"/>
    </row>
    <row r="507" spans="1:18" x14ac:dyDescent="0.4">
      <c r="A507"/>
      <c r="B507"/>
      <c r="C507"/>
      <c r="D507"/>
      <c r="E507"/>
      <c r="F507"/>
      <c r="G507"/>
      <c r="H507"/>
      <c r="I507"/>
      <c r="J507"/>
      <c r="K507"/>
      <c r="L507"/>
      <c r="M507"/>
      <c r="N507"/>
      <c r="O507"/>
      <c r="P507"/>
      <c r="Q507"/>
      <c r="R507"/>
    </row>
    <row r="508" spans="1:18" x14ac:dyDescent="0.4">
      <c r="A508"/>
      <c r="B508"/>
      <c r="C508"/>
      <c r="D508"/>
      <c r="E508"/>
      <c r="F508"/>
      <c r="G508"/>
      <c r="H508"/>
      <c r="I508"/>
      <c r="J508"/>
      <c r="K508"/>
      <c r="L508"/>
      <c r="M508"/>
      <c r="N508"/>
      <c r="O508"/>
      <c r="P508"/>
      <c r="Q508"/>
      <c r="R508"/>
    </row>
    <row r="509" spans="1:18" x14ac:dyDescent="0.4">
      <c r="A509"/>
      <c r="B509"/>
      <c r="C509"/>
      <c r="D509"/>
      <c r="E509"/>
      <c r="F509"/>
      <c r="G509"/>
      <c r="H509"/>
      <c r="I509"/>
      <c r="J509"/>
      <c r="K509"/>
      <c r="L509"/>
      <c r="M509"/>
      <c r="N509"/>
      <c r="O509"/>
      <c r="P509"/>
      <c r="Q509"/>
      <c r="R509"/>
    </row>
    <row r="510" spans="1:18" x14ac:dyDescent="0.4">
      <c r="A510"/>
      <c r="B510"/>
      <c r="C510"/>
      <c r="D510"/>
      <c r="E510"/>
      <c r="F510"/>
      <c r="G510"/>
      <c r="H510"/>
      <c r="I510"/>
      <c r="J510"/>
      <c r="K510"/>
      <c r="L510"/>
      <c r="M510"/>
      <c r="N510"/>
      <c r="O510"/>
      <c r="P510"/>
      <c r="Q510"/>
      <c r="R510"/>
    </row>
    <row r="511" spans="1:18" x14ac:dyDescent="0.4">
      <c r="A511"/>
      <c r="B511"/>
      <c r="C511"/>
      <c r="D511"/>
      <c r="E511"/>
      <c r="F511"/>
      <c r="G511"/>
      <c r="H511"/>
      <c r="I511"/>
      <c r="J511"/>
      <c r="K511"/>
      <c r="L511"/>
      <c r="M511"/>
      <c r="N511"/>
      <c r="O511"/>
      <c r="P511"/>
      <c r="Q511"/>
      <c r="R511"/>
    </row>
    <row r="512" spans="1:18" x14ac:dyDescent="0.4">
      <c r="A512"/>
      <c r="B512"/>
      <c r="C512"/>
      <c r="D512"/>
      <c r="E512"/>
      <c r="F512"/>
      <c r="G512"/>
      <c r="H512"/>
      <c r="I512"/>
      <c r="J512"/>
      <c r="K512"/>
      <c r="L512"/>
      <c r="M512"/>
      <c r="N512"/>
      <c r="O512"/>
      <c r="P512"/>
      <c r="Q512"/>
      <c r="R512"/>
    </row>
    <row r="513" spans="1:18" x14ac:dyDescent="0.4">
      <c r="A513"/>
      <c r="B513"/>
      <c r="C513"/>
      <c r="D513"/>
      <c r="E513"/>
      <c r="F513"/>
      <c r="G513"/>
      <c r="H513"/>
      <c r="I513"/>
      <c r="J513"/>
      <c r="K513"/>
      <c r="L513"/>
      <c r="M513"/>
      <c r="N513"/>
      <c r="O513"/>
      <c r="P513"/>
      <c r="Q513"/>
      <c r="R513"/>
    </row>
    <row r="514" spans="1:18" x14ac:dyDescent="0.4">
      <c r="A514"/>
      <c r="B514"/>
      <c r="C514"/>
      <c r="D514"/>
      <c r="E514"/>
      <c r="F514"/>
      <c r="G514"/>
      <c r="H514"/>
      <c r="I514"/>
      <c r="J514"/>
      <c r="K514"/>
      <c r="L514"/>
      <c r="M514"/>
      <c r="N514"/>
      <c r="O514"/>
      <c r="P514"/>
      <c r="Q514"/>
      <c r="R514"/>
    </row>
    <row r="515" spans="1:18" x14ac:dyDescent="0.4">
      <c r="A515"/>
      <c r="B515"/>
      <c r="C515"/>
      <c r="D515"/>
      <c r="E515"/>
      <c r="F515"/>
      <c r="G515"/>
      <c r="H515"/>
      <c r="I515"/>
      <c r="J515"/>
      <c r="K515"/>
      <c r="L515"/>
      <c r="M515"/>
      <c r="N515"/>
      <c r="O515"/>
      <c r="P515"/>
      <c r="Q515"/>
      <c r="R515"/>
    </row>
    <row r="516" spans="1:18" x14ac:dyDescent="0.4">
      <c r="A516"/>
      <c r="B516"/>
      <c r="C516"/>
      <c r="D516"/>
      <c r="E516"/>
      <c r="F516"/>
      <c r="G516"/>
      <c r="H516"/>
      <c r="I516"/>
      <c r="J516"/>
      <c r="K516"/>
      <c r="L516"/>
      <c r="M516"/>
      <c r="N516"/>
      <c r="O516"/>
      <c r="P516"/>
      <c r="Q516"/>
      <c r="R516"/>
    </row>
    <row r="517" spans="1:18" x14ac:dyDescent="0.4">
      <c r="A517"/>
      <c r="B517"/>
      <c r="C517"/>
      <c r="D517"/>
      <c r="E517"/>
      <c r="F517"/>
      <c r="G517"/>
      <c r="H517"/>
      <c r="I517"/>
      <c r="J517"/>
      <c r="K517"/>
      <c r="L517"/>
      <c r="M517"/>
      <c r="N517"/>
      <c r="O517"/>
      <c r="P517"/>
      <c r="Q517"/>
      <c r="R517"/>
    </row>
    <row r="518" spans="1:18" x14ac:dyDescent="0.4">
      <c r="A518"/>
      <c r="B518"/>
      <c r="C518"/>
      <c r="D518"/>
      <c r="E518"/>
      <c r="F518"/>
      <c r="G518"/>
      <c r="H518"/>
      <c r="I518"/>
      <c r="J518"/>
      <c r="K518"/>
      <c r="L518"/>
      <c r="M518"/>
      <c r="N518"/>
      <c r="O518"/>
      <c r="P518"/>
      <c r="Q518"/>
      <c r="R518"/>
    </row>
    <row r="519" spans="1:18" x14ac:dyDescent="0.4">
      <c r="A519"/>
      <c r="B519"/>
      <c r="C519"/>
      <c r="D519"/>
      <c r="E519"/>
      <c r="F519"/>
      <c r="G519"/>
      <c r="H519"/>
      <c r="I519"/>
      <c r="J519"/>
      <c r="K519"/>
      <c r="L519"/>
      <c r="M519"/>
      <c r="N519"/>
      <c r="O519"/>
      <c r="P519"/>
      <c r="Q519"/>
      <c r="R519"/>
    </row>
    <row r="520" spans="1:18" x14ac:dyDescent="0.4">
      <c r="A520"/>
      <c r="B520"/>
      <c r="C520"/>
      <c r="D520"/>
      <c r="E520"/>
      <c r="F520"/>
      <c r="G520"/>
      <c r="H520"/>
      <c r="I520"/>
      <c r="J520"/>
      <c r="K520"/>
      <c r="L520"/>
      <c r="M520"/>
      <c r="N520"/>
      <c r="O520"/>
      <c r="P520"/>
      <c r="Q520"/>
      <c r="R520"/>
    </row>
    <row r="521" spans="1:18" x14ac:dyDescent="0.4">
      <c r="A521"/>
      <c r="B521"/>
      <c r="C521"/>
      <c r="D521"/>
      <c r="E521"/>
      <c r="F521"/>
      <c r="G521"/>
      <c r="H521"/>
      <c r="I521"/>
      <c r="J521"/>
      <c r="K521"/>
      <c r="L521"/>
      <c r="M521"/>
      <c r="N521"/>
      <c r="O521"/>
      <c r="P521"/>
      <c r="Q521"/>
      <c r="R521"/>
    </row>
    <row r="522" spans="1:18" x14ac:dyDescent="0.4">
      <c r="A522"/>
      <c r="B522"/>
      <c r="C522"/>
      <c r="D522"/>
      <c r="E522"/>
      <c r="F522"/>
      <c r="G522"/>
      <c r="H522"/>
      <c r="I522"/>
      <c r="J522"/>
      <c r="K522"/>
      <c r="L522"/>
      <c r="M522"/>
      <c r="N522"/>
      <c r="O522"/>
      <c r="P522"/>
      <c r="Q522"/>
      <c r="R522"/>
    </row>
    <row r="523" spans="1:18" x14ac:dyDescent="0.4">
      <c r="A523"/>
      <c r="B523"/>
      <c r="C523"/>
      <c r="D523"/>
      <c r="E523"/>
      <c r="F523"/>
      <c r="G523"/>
      <c r="H523"/>
      <c r="I523"/>
      <c r="J523"/>
      <c r="K523"/>
      <c r="L523"/>
      <c r="M523"/>
      <c r="N523"/>
      <c r="O523"/>
      <c r="P523"/>
      <c r="Q523"/>
      <c r="R523"/>
    </row>
    <row r="524" spans="1:18" x14ac:dyDescent="0.4">
      <c r="A524"/>
      <c r="B524"/>
      <c r="C524"/>
      <c r="D524"/>
      <c r="E524"/>
      <c r="F524"/>
      <c r="G524"/>
      <c r="H524"/>
      <c r="I524"/>
      <c r="J524"/>
      <c r="K524"/>
      <c r="L524"/>
      <c r="M524"/>
      <c r="N524"/>
      <c r="O524"/>
      <c r="P524"/>
      <c r="Q524"/>
      <c r="R524"/>
    </row>
    <row r="525" spans="1:18" x14ac:dyDescent="0.4">
      <c r="A525"/>
      <c r="B525"/>
      <c r="C525"/>
      <c r="D525"/>
      <c r="E525"/>
      <c r="F525"/>
      <c r="G525"/>
      <c r="H525"/>
      <c r="I525"/>
      <c r="J525"/>
      <c r="K525"/>
      <c r="L525"/>
      <c r="M525"/>
      <c r="N525"/>
      <c r="O525"/>
      <c r="P525"/>
      <c r="Q525"/>
      <c r="R525"/>
    </row>
    <row r="526" spans="1:18" x14ac:dyDescent="0.4">
      <c r="A526"/>
      <c r="B526"/>
      <c r="C526"/>
      <c r="D526"/>
      <c r="E526"/>
      <c r="F526"/>
      <c r="G526"/>
      <c r="H526"/>
      <c r="I526"/>
      <c r="J526"/>
      <c r="K526"/>
      <c r="L526"/>
      <c r="M526"/>
      <c r="N526"/>
      <c r="O526"/>
      <c r="P526"/>
      <c r="Q526"/>
      <c r="R526"/>
    </row>
    <row r="527" spans="1:18" x14ac:dyDescent="0.4">
      <c r="A527"/>
      <c r="B527"/>
      <c r="C527"/>
      <c r="D527"/>
      <c r="E527"/>
      <c r="F527"/>
      <c r="G527"/>
      <c r="H527"/>
      <c r="I527"/>
      <c r="J527"/>
      <c r="K527"/>
      <c r="L527"/>
      <c r="M527"/>
      <c r="N527"/>
      <c r="O527"/>
      <c r="P527"/>
      <c r="Q527"/>
      <c r="R527"/>
    </row>
    <row r="528" spans="1:18" x14ac:dyDescent="0.4">
      <c r="A528"/>
      <c r="B528"/>
      <c r="C528"/>
      <c r="D528"/>
      <c r="E528"/>
      <c r="F528"/>
      <c r="G528"/>
      <c r="H528"/>
      <c r="I528"/>
      <c r="J528"/>
      <c r="K528"/>
      <c r="L528"/>
      <c r="M528"/>
      <c r="N528"/>
      <c r="O528"/>
      <c r="P528"/>
      <c r="Q528"/>
      <c r="R528"/>
    </row>
    <row r="529" spans="1:18" x14ac:dyDescent="0.4">
      <c r="A529"/>
      <c r="B529"/>
      <c r="C529"/>
      <c r="D529"/>
      <c r="E529"/>
      <c r="F529"/>
      <c r="G529"/>
      <c r="H529"/>
      <c r="I529"/>
      <c r="J529"/>
      <c r="K529"/>
      <c r="L529"/>
      <c r="M529"/>
      <c r="N529"/>
      <c r="O529"/>
      <c r="P529"/>
      <c r="Q529"/>
      <c r="R529"/>
    </row>
    <row r="530" spans="1:18" x14ac:dyDescent="0.4">
      <c r="A530"/>
      <c r="B530"/>
      <c r="C530"/>
      <c r="D530"/>
      <c r="E530"/>
      <c r="F530"/>
      <c r="G530"/>
      <c r="H530"/>
      <c r="I530"/>
      <c r="J530"/>
      <c r="K530"/>
      <c r="L530"/>
      <c r="M530"/>
      <c r="N530"/>
      <c r="O530"/>
      <c r="P530"/>
      <c r="Q530"/>
      <c r="R530"/>
    </row>
    <row r="531" spans="1:18" x14ac:dyDescent="0.4">
      <c r="A531"/>
      <c r="B531"/>
      <c r="C531"/>
      <c r="D531"/>
      <c r="E531"/>
      <c r="F531"/>
      <c r="G531"/>
      <c r="H531"/>
      <c r="I531"/>
      <c r="J531"/>
      <c r="K531"/>
      <c r="L531"/>
      <c r="M531"/>
      <c r="N531"/>
      <c r="O531"/>
      <c r="P531"/>
      <c r="Q531"/>
      <c r="R531"/>
    </row>
    <row r="532" spans="1:18" x14ac:dyDescent="0.4">
      <c r="A532"/>
      <c r="B532"/>
      <c r="C532"/>
      <c r="D532"/>
      <c r="E532"/>
      <c r="F532"/>
      <c r="G532"/>
      <c r="H532"/>
      <c r="I532"/>
      <c r="J532"/>
      <c r="K532"/>
      <c r="L532"/>
      <c r="M532"/>
      <c r="N532"/>
      <c r="O532"/>
      <c r="P532"/>
      <c r="Q532"/>
      <c r="R532"/>
    </row>
    <row r="533" spans="1:18" x14ac:dyDescent="0.4">
      <c r="A533"/>
      <c r="B533"/>
      <c r="C533"/>
      <c r="D533"/>
      <c r="E533"/>
      <c r="F533"/>
      <c r="G533"/>
      <c r="H533"/>
      <c r="I533"/>
      <c r="J533"/>
      <c r="K533"/>
      <c r="L533"/>
      <c r="M533"/>
      <c r="N533"/>
      <c r="O533"/>
      <c r="P533"/>
      <c r="Q533"/>
      <c r="R533"/>
    </row>
    <row r="534" spans="1:18" x14ac:dyDescent="0.4">
      <c r="A534"/>
      <c r="B534"/>
      <c r="C534"/>
      <c r="D534"/>
      <c r="E534"/>
      <c r="F534"/>
      <c r="G534"/>
      <c r="H534"/>
      <c r="I534"/>
      <c r="J534"/>
      <c r="K534"/>
      <c r="L534"/>
      <c r="M534"/>
      <c r="N534"/>
      <c r="O534"/>
      <c r="P534"/>
      <c r="Q534"/>
      <c r="R534"/>
    </row>
    <row r="535" spans="1:18" x14ac:dyDescent="0.4">
      <c r="A535"/>
      <c r="B535"/>
      <c r="C535"/>
      <c r="D535"/>
      <c r="E535"/>
      <c r="F535"/>
      <c r="G535"/>
      <c r="H535"/>
      <c r="I535"/>
      <c r="J535"/>
      <c r="K535"/>
      <c r="L535"/>
      <c r="M535"/>
      <c r="N535"/>
      <c r="O535"/>
      <c r="P535"/>
      <c r="Q535"/>
      <c r="R535"/>
    </row>
    <row r="536" spans="1:18" x14ac:dyDescent="0.4">
      <c r="A536"/>
      <c r="B536"/>
      <c r="C536"/>
      <c r="D536"/>
      <c r="E536"/>
      <c r="F536"/>
      <c r="G536"/>
      <c r="H536"/>
      <c r="I536"/>
      <c r="J536"/>
      <c r="K536"/>
      <c r="L536"/>
      <c r="M536"/>
      <c r="N536"/>
      <c r="O536"/>
      <c r="P536"/>
      <c r="Q536"/>
      <c r="R536"/>
    </row>
    <row r="537" spans="1:18" x14ac:dyDescent="0.4">
      <c r="A537"/>
      <c r="B537"/>
      <c r="C537"/>
      <c r="D537"/>
      <c r="E537"/>
      <c r="F537"/>
      <c r="G537"/>
      <c r="H537"/>
      <c r="I537"/>
      <c r="J537"/>
      <c r="K537"/>
      <c r="L537"/>
      <c r="M537"/>
      <c r="N537"/>
      <c r="O537"/>
      <c r="P537"/>
      <c r="Q537"/>
      <c r="R537"/>
    </row>
    <row r="538" spans="1:18" x14ac:dyDescent="0.4">
      <c r="A538"/>
      <c r="B538"/>
      <c r="C538"/>
      <c r="D538"/>
      <c r="E538"/>
      <c r="F538"/>
      <c r="G538"/>
      <c r="H538"/>
      <c r="I538"/>
      <c r="J538"/>
      <c r="K538"/>
      <c r="L538"/>
      <c r="M538"/>
      <c r="N538"/>
      <c r="O538"/>
      <c r="P538"/>
      <c r="Q538"/>
      <c r="R538"/>
    </row>
    <row r="539" spans="1:18" x14ac:dyDescent="0.4">
      <c r="A539"/>
      <c r="B539"/>
      <c r="C539"/>
      <c r="D539"/>
      <c r="E539"/>
      <c r="F539"/>
      <c r="G539"/>
      <c r="H539"/>
      <c r="I539"/>
      <c r="J539"/>
      <c r="K539"/>
      <c r="L539"/>
      <c r="M539"/>
      <c r="N539"/>
      <c r="O539"/>
      <c r="P539"/>
      <c r="Q539"/>
      <c r="R539"/>
    </row>
    <row r="540" spans="1:18" x14ac:dyDescent="0.4">
      <c r="A540"/>
      <c r="B540"/>
      <c r="C540"/>
      <c r="D540"/>
      <c r="E540"/>
      <c r="F540"/>
      <c r="G540"/>
      <c r="H540"/>
      <c r="I540"/>
      <c r="J540"/>
      <c r="K540"/>
      <c r="L540"/>
      <c r="M540"/>
      <c r="N540"/>
      <c r="O540"/>
      <c r="P540"/>
      <c r="Q540"/>
      <c r="R540"/>
    </row>
    <row r="541" spans="1:18" x14ac:dyDescent="0.4">
      <c r="A541"/>
      <c r="B541"/>
      <c r="C541"/>
      <c r="D541"/>
      <c r="E541"/>
      <c r="F541"/>
      <c r="G541"/>
      <c r="H541"/>
      <c r="I541"/>
      <c r="J541"/>
      <c r="K541"/>
      <c r="L541"/>
      <c r="M541"/>
      <c r="N541"/>
      <c r="O541"/>
      <c r="P541"/>
      <c r="Q541"/>
      <c r="R541"/>
    </row>
    <row r="542" spans="1:18" x14ac:dyDescent="0.4">
      <c r="A542"/>
      <c r="B542"/>
      <c r="C542"/>
      <c r="D542"/>
      <c r="E542"/>
      <c r="F542"/>
      <c r="G542"/>
      <c r="H542"/>
      <c r="I542"/>
      <c r="J542"/>
      <c r="K542"/>
      <c r="L542"/>
      <c r="M542"/>
      <c r="N542"/>
      <c r="O542"/>
      <c r="P542"/>
      <c r="Q542"/>
      <c r="R542"/>
    </row>
    <row r="543" spans="1:18" x14ac:dyDescent="0.4">
      <c r="A543"/>
      <c r="B543"/>
      <c r="C543"/>
      <c r="D543"/>
      <c r="E543"/>
      <c r="F543"/>
      <c r="G543"/>
      <c r="H543"/>
      <c r="I543"/>
      <c r="J543"/>
      <c r="K543"/>
      <c r="L543"/>
      <c r="M543"/>
      <c r="N543"/>
      <c r="O543"/>
      <c r="P543"/>
      <c r="Q543"/>
      <c r="R543"/>
    </row>
    <row r="544" spans="1:18" x14ac:dyDescent="0.4">
      <c r="A544"/>
      <c r="B544"/>
      <c r="C544"/>
      <c r="D544"/>
      <c r="E544"/>
      <c r="F544"/>
      <c r="G544"/>
      <c r="H544"/>
      <c r="I544"/>
      <c r="J544"/>
      <c r="K544"/>
      <c r="L544"/>
      <c r="M544"/>
      <c r="N544"/>
      <c r="O544"/>
      <c r="P544"/>
      <c r="Q544"/>
      <c r="R544"/>
    </row>
    <row r="545" spans="1:18" x14ac:dyDescent="0.4">
      <c r="A545"/>
      <c r="B545"/>
      <c r="C545"/>
      <c r="D545"/>
      <c r="E545"/>
      <c r="F545"/>
      <c r="G545"/>
      <c r="H545"/>
      <c r="I545"/>
      <c r="J545"/>
      <c r="K545"/>
      <c r="L545"/>
      <c r="M545"/>
      <c r="N545"/>
      <c r="O545"/>
      <c r="P545"/>
      <c r="Q545"/>
      <c r="R545"/>
    </row>
    <row r="546" spans="1:18" x14ac:dyDescent="0.4">
      <c r="A546"/>
      <c r="B546"/>
      <c r="C546"/>
      <c r="D546"/>
      <c r="E546"/>
      <c r="F546"/>
      <c r="G546"/>
      <c r="H546"/>
      <c r="I546"/>
      <c r="J546"/>
      <c r="K546"/>
      <c r="L546"/>
      <c r="M546"/>
      <c r="N546"/>
      <c r="O546"/>
      <c r="P546"/>
      <c r="Q546"/>
      <c r="R546"/>
    </row>
    <row r="547" spans="1:18" x14ac:dyDescent="0.4">
      <c r="A547"/>
      <c r="B547"/>
      <c r="C547"/>
      <c r="D547"/>
      <c r="E547"/>
      <c r="F547"/>
      <c r="G547"/>
      <c r="H547"/>
      <c r="I547"/>
      <c r="J547"/>
      <c r="K547"/>
      <c r="L547"/>
      <c r="M547"/>
      <c r="N547"/>
      <c r="O547"/>
      <c r="P547"/>
      <c r="Q547"/>
      <c r="R547"/>
    </row>
    <row r="548" spans="1:18" x14ac:dyDescent="0.4">
      <c r="A548"/>
      <c r="B548"/>
      <c r="C548"/>
      <c r="D548"/>
      <c r="E548"/>
      <c r="F548"/>
      <c r="G548"/>
      <c r="H548"/>
      <c r="I548"/>
      <c r="J548"/>
      <c r="K548"/>
      <c r="L548"/>
      <c r="M548"/>
      <c r="N548"/>
      <c r="O548"/>
      <c r="P548"/>
      <c r="Q548"/>
      <c r="R548"/>
    </row>
    <row r="549" spans="1:18" x14ac:dyDescent="0.4">
      <c r="A549"/>
      <c r="B549"/>
      <c r="C549"/>
      <c r="D549"/>
      <c r="E549"/>
      <c r="F549"/>
      <c r="G549"/>
      <c r="H549"/>
      <c r="I549"/>
      <c r="J549"/>
      <c r="K549"/>
      <c r="L549"/>
      <c r="M549"/>
      <c r="N549"/>
      <c r="O549"/>
      <c r="P549"/>
      <c r="Q549"/>
      <c r="R549"/>
    </row>
    <row r="550" spans="1:18" x14ac:dyDescent="0.4">
      <c r="A550"/>
      <c r="B550"/>
      <c r="C550"/>
      <c r="D550"/>
      <c r="E550"/>
      <c r="F550"/>
      <c r="G550"/>
      <c r="H550"/>
      <c r="I550"/>
      <c r="J550"/>
      <c r="K550"/>
      <c r="L550"/>
      <c r="M550"/>
      <c r="N550"/>
      <c r="O550"/>
      <c r="P550"/>
      <c r="Q550"/>
      <c r="R550"/>
    </row>
    <row r="551" spans="1:18" x14ac:dyDescent="0.4">
      <c r="A551"/>
      <c r="B551"/>
      <c r="C551"/>
      <c r="D551"/>
      <c r="E551"/>
      <c r="F551"/>
      <c r="G551"/>
      <c r="H551"/>
      <c r="I551"/>
      <c r="J551"/>
      <c r="K551"/>
      <c r="L551"/>
      <c r="M551"/>
      <c r="N551"/>
      <c r="O551"/>
      <c r="P551"/>
      <c r="Q551"/>
      <c r="R551"/>
    </row>
    <row r="552" spans="1:18" x14ac:dyDescent="0.4">
      <c r="A552"/>
      <c r="B552"/>
      <c r="C552"/>
      <c r="D552"/>
      <c r="E552"/>
      <c r="F552"/>
      <c r="G552"/>
      <c r="H552"/>
      <c r="I552"/>
      <c r="J552"/>
      <c r="K552"/>
      <c r="L552"/>
      <c r="M552"/>
      <c r="N552"/>
      <c r="O552"/>
      <c r="P552"/>
      <c r="Q552"/>
      <c r="R552"/>
    </row>
    <row r="553" spans="1:18" x14ac:dyDescent="0.4">
      <c r="A553"/>
      <c r="B553"/>
      <c r="C553"/>
      <c r="D553"/>
      <c r="E553"/>
      <c r="F553"/>
      <c r="G553"/>
      <c r="H553"/>
      <c r="I553"/>
      <c r="J553"/>
      <c r="K553"/>
      <c r="L553"/>
      <c r="M553"/>
      <c r="N553"/>
      <c r="O553"/>
      <c r="P553"/>
      <c r="Q553"/>
      <c r="R553"/>
    </row>
    <row r="554" spans="1:18" x14ac:dyDescent="0.4">
      <c r="A554"/>
      <c r="B554"/>
      <c r="C554"/>
      <c r="D554"/>
      <c r="E554"/>
      <c r="F554"/>
      <c r="G554"/>
      <c r="H554"/>
      <c r="I554"/>
      <c r="J554"/>
      <c r="K554"/>
      <c r="L554"/>
      <c r="M554"/>
      <c r="N554"/>
      <c r="O554"/>
      <c r="P554"/>
      <c r="Q554"/>
      <c r="R554"/>
    </row>
    <row r="555" spans="1:18" x14ac:dyDescent="0.4">
      <c r="A555"/>
      <c r="B555"/>
      <c r="C555"/>
      <c r="D555"/>
      <c r="E555"/>
      <c r="F555"/>
      <c r="G555"/>
      <c r="H555"/>
      <c r="I555"/>
      <c r="J555"/>
      <c r="K555"/>
      <c r="L555"/>
      <c r="M555"/>
      <c r="N555"/>
      <c r="O555"/>
      <c r="P555"/>
      <c r="Q555"/>
      <c r="R555"/>
    </row>
    <row r="556" spans="1:18" x14ac:dyDescent="0.4">
      <c r="A556"/>
      <c r="B556"/>
      <c r="C556"/>
      <c r="D556"/>
      <c r="E556"/>
      <c r="F556"/>
      <c r="G556"/>
      <c r="H556"/>
      <c r="I556"/>
      <c r="J556"/>
      <c r="K556"/>
      <c r="L556"/>
      <c r="M556"/>
      <c r="N556"/>
      <c r="O556"/>
      <c r="P556"/>
      <c r="Q556"/>
      <c r="R556"/>
    </row>
    <row r="557" spans="1:18" x14ac:dyDescent="0.4">
      <c r="A557"/>
      <c r="B557"/>
      <c r="C557"/>
      <c r="D557"/>
      <c r="E557"/>
      <c r="F557"/>
      <c r="G557"/>
      <c r="H557"/>
      <c r="I557"/>
      <c r="J557"/>
      <c r="K557"/>
      <c r="L557"/>
      <c r="M557"/>
      <c r="N557"/>
      <c r="O557"/>
      <c r="P557"/>
      <c r="Q557"/>
      <c r="R557"/>
    </row>
    <row r="558" spans="1:18" x14ac:dyDescent="0.4">
      <c r="A558"/>
      <c r="B558"/>
      <c r="C558"/>
      <c r="D558"/>
      <c r="E558"/>
      <c r="F558"/>
      <c r="G558"/>
      <c r="H558"/>
      <c r="I558"/>
      <c r="J558"/>
      <c r="K558"/>
      <c r="L558"/>
      <c r="M558"/>
      <c r="N558"/>
      <c r="O558"/>
      <c r="P558"/>
      <c r="Q558"/>
      <c r="R558"/>
    </row>
    <row r="559" spans="1:18" x14ac:dyDescent="0.4">
      <c r="A559"/>
      <c r="B559"/>
      <c r="C559"/>
      <c r="D559"/>
      <c r="E559"/>
      <c r="F559"/>
      <c r="G559"/>
      <c r="H559"/>
      <c r="I559"/>
      <c r="J559"/>
      <c r="K559"/>
      <c r="L559"/>
      <c r="M559"/>
      <c r="N559"/>
      <c r="O559"/>
      <c r="P559"/>
      <c r="Q559"/>
      <c r="R559"/>
    </row>
    <row r="560" spans="1:18" x14ac:dyDescent="0.4">
      <c r="A560"/>
      <c r="B560"/>
      <c r="C560"/>
      <c r="D560"/>
      <c r="E560"/>
      <c r="F560"/>
      <c r="G560"/>
      <c r="H560"/>
      <c r="I560"/>
      <c r="J560"/>
      <c r="K560"/>
      <c r="L560"/>
      <c r="M560"/>
      <c r="N560"/>
      <c r="O560"/>
      <c r="P560"/>
      <c r="Q560"/>
      <c r="R560"/>
    </row>
    <row r="561" spans="1:18" x14ac:dyDescent="0.4">
      <c r="A561"/>
      <c r="B561"/>
      <c r="C561"/>
      <c r="D561"/>
      <c r="E561"/>
      <c r="F561"/>
      <c r="G561"/>
      <c r="H561"/>
      <c r="I561"/>
      <c r="J561"/>
      <c r="K561"/>
      <c r="L561"/>
      <c r="M561"/>
      <c r="N561"/>
      <c r="O561"/>
      <c r="P561"/>
      <c r="Q561"/>
      <c r="R561"/>
    </row>
    <row r="562" spans="1:18" x14ac:dyDescent="0.4">
      <c r="A562"/>
      <c r="B562"/>
      <c r="C562"/>
      <c r="D562"/>
      <c r="E562"/>
      <c r="F562"/>
      <c r="G562"/>
      <c r="H562"/>
      <c r="I562"/>
      <c r="J562"/>
      <c r="K562"/>
      <c r="L562"/>
      <c r="M562"/>
      <c r="N562"/>
      <c r="O562"/>
      <c r="P562"/>
      <c r="Q562"/>
      <c r="R562"/>
    </row>
    <row r="563" spans="1:18" x14ac:dyDescent="0.4">
      <c r="A563"/>
      <c r="B563"/>
      <c r="C563"/>
      <c r="D563"/>
      <c r="E563"/>
      <c r="F563"/>
      <c r="G563"/>
      <c r="H563"/>
      <c r="I563"/>
      <c r="J563"/>
      <c r="K563"/>
      <c r="L563"/>
      <c r="M563"/>
      <c r="N563"/>
      <c r="O563"/>
      <c r="P563"/>
      <c r="Q563"/>
      <c r="R563"/>
    </row>
    <row r="564" spans="1:18" x14ac:dyDescent="0.4">
      <c r="A564"/>
      <c r="B564"/>
      <c r="C564"/>
      <c r="D564"/>
      <c r="E564"/>
      <c r="F564"/>
      <c r="G564"/>
      <c r="H564"/>
      <c r="I564"/>
      <c r="J564"/>
      <c r="K564"/>
      <c r="L564"/>
      <c r="M564"/>
      <c r="N564"/>
      <c r="O564"/>
      <c r="P564"/>
      <c r="Q564"/>
      <c r="R564"/>
    </row>
    <row r="565" spans="1:18" x14ac:dyDescent="0.4">
      <c r="A565"/>
      <c r="B565"/>
      <c r="C565"/>
      <c r="D565"/>
      <c r="E565"/>
      <c r="F565"/>
      <c r="G565"/>
      <c r="H565"/>
      <c r="I565"/>
      <c r="J565"/>
      <c r="K565"/>
      <c r="L565"/>
      <c r="M565"/>
      <c r="N565"/>
      <c r="O565"/>
      <c r="P565"/>
      <c r="Q565"/>
      <c r="R565"/>
    </row>
    <row r="566" spans="1:18" x14ac:dyDescent="0.4">
      <c r="A566"/>
      <c r="B566"/>
      <c r="C566"/>
      <c r="D566"/>
      <c r="E566"/>
      <c r="F566"/>
      <c r="G566"/>
      <c r="H566"/>
      <c r="I566"/>
      <c r="J566"/>
      <c r="K566"/>
      <c r="L566"/>
      <c r="M566"/>
      <c r="N566"/>
      <c r="O566"/>
      <c r="P566"/>
      <c r="Q566"/>
      <c r="R566"/>
    </row>
    <row r="567" spans="1:18" x14ac:dyDescent="0.4">
      <c r="A567"/>
      <c r="B567"/>
      <c r="C567"/>
      <c r="D567"/>
      <c r="E567"/>
      <c r="F567"/>
      <c r="G567"/>
      <c r="H567"/>
      <c r="I567"/>
      <c r="J567"/>
      <c r="K567"/>
      <c r="L567"/>
      <c r="M567"/>
      <c r="N567"/>
      <c r="O567"/>
      <c r="P567"/>
      <c r="Q567"/>
      <c r="R567"/>
    </row>
    <row r="568" spans="1:18" x14ac:dyDescent="0.4">
      <c r="A568"/>
      <c r="B568"/>
      <c r="C568"/>
      <c r="D568"/>
      <c r="E568"/>
      <c r="F568"/>
      <c r="G568"/>
      <c r="H568"/>
      <c r="I568"/>
      <c r="J568"/>
      <c r="K568"/>
      <c r="L568"/>
      <c r="M568"/>
      <c r="N568"/>
      <c r="O568"/>
      <c r="P568"/>
      <c r="Q568"/>
      <c r="R568"/>
    </row>
    <row r="569" spans="1:18" x14ac:dyDescent="0.4">
      <c r="A569"/>
      <c r="B569"/>
      <c r="C569"/>
      <c r="D569"/>
      <c r="E569"/>
      <c r="F569"/>
      <c r="G569"/>
      <c r="H569"/>
      <c r="I569"/>
      <c r="J569"/>
      <c r="K569"/>
      <c r="L569"/>
      <c r="M569"/>
      <c r="N569"/>
      <c r="O569"/>
      <c r="P569"/>
      <c r="Q569"/>
      <c r="R569"/>
    </row>
    <row r="570" spans="1:18" x14ac:dyDescent="0.4">
      <c r="A570"/>
      <c r="B570"/>
      <c r="C570"/>
      <c r="D570"/>
      <c r="E570"/>
      <c r="F570"/>
      <c r="G570"/>
      <c r="H570"/>
      <c r="I570"/>
      <c r="J570"/>
      <c r="K570"/>
      <c r="L570"/>
      <c r="M570"/>
      <c r="N570"/>
      <c r="O570"/>
      <c r="P570"/>
      <c r="Q570"/>
      <c r="R570"/>
    </row>
    <row r="571" spans="1:18" x14ac:dyDescent="0.4">
      <c r="A571"/>
      <c r="B571"/>
      <c r="C571"/>
      <c r="D571"/>
      <c r="E571"/>
      <c r="F571"/>
      <c r="G571"/>
      <c r="H571"/>
      <c r="I571"/>
      <c r="J571"/>
      <c r="K571"/>
      <c r="L571"/>
      <c r="M571"/>
      <c r="N571"/>
      <c r="O571"/>
      <c r="P571"/>
      <c r="Q571"/>
      <c r="R571"/>
    </row>
    <row r="572" spans="1:18" x14ac:dyDescent="0.4">
      <c r="A572"/>
      <c r="B572"/>
      <c r="C572"/>
      <c r="D572"/>
      <c r="E572"/>
      <c r="F572"/>
      <c r="G572"/>
      <c r="H572"/>
      <c r="I572"/>
      <c r="J572"/>
      <c r="K572"/>
      <c r="L572"/>
      <c r="M572"/>
      <c r="N572"/>
      <c r="O572"/>
      <c r="P572"/>
      <c r="Q572"/>
      <c r="R572"/>
    </row>
    <row r="573" spans="1:18" x14ac:dyDescent="0.4">
      <c r="A573"/>
      <c r="B573"/>
      <c r="C573"/>
      <c r="D573"/>
      <c r="E573"/>
      <c r="F573"/>
      <c r="G573"/>
      <c r="H573"/>
      <c r="I573"/>
      <c r="J573"/>
      <c r="K573"/>
      <c r="L573"/>
      <c r="M573"/>
      <c r="N573"/>
      <c r="O573"/>
      <c r="P573"/>
      <c r="Q573"/>
      <c r="R573"/>
    </row>
    <row r="574" spans="1:18" x14ac:dyDescent="0.4">
      <c r="A574"/>
      <c r="B574"/>
      <c r="C574"/>
      <c r="D574"/>
      <c r="E574"/>
      <c r="F574"/>
      <c r="G574"/>
      <c r="H574"/>
      <c r="I574"/>
      <c r="J574"/>
      <c r="K574"/>
      <c r="L574"/>
      <c r="M574"/>
      <c r="N574"/>
      <c r="O574"/>
      <c r="P574"/>
      <c r="Q574"/>
      <c r="R574"/>
    </row>
    <row r="575" spans="1:18" x14ac:dyDescent="0.4">
      <c r="A575"/>
      <c r="B575"/>
      <c r="C575"/>
      <c r="D575"/>
      <c r="E575"/>
      <c r="F575"/>
      <c r="G575"/>
      <c r="H575"/>
      <c r="I575"/>
      <c r="J575"/>
      <c r="K575"/>
      <c r="L575"/>
      <c r="M575"/>
      <c r="N575"/>
      <c r="O575"/>
      <c r="P575"/>
      <c r="Q575"/>
      <c r="R575"/>
    </row>
    <row r="576" spans="1:18" x14ac:dyDescent="0.4">
      <c r="A576"/>
      <c r="B576"/>
      <c r="C576"/>
      <c r="D576"/>
      <c r="E576"/>
      <c r="F576"/>
      <c r="G576"/>
      <c r="H576"/>
      <c r="I576"/>
      <c r="J576"/>
      <c r="K576"/>
      <c r="L576"/>
      <c r="M576"/>
      <c r="N576"/>
      <c r="O576"/>
      <c r="P576"/>
      <c r="Q576"/>
      <c r="R576"/>
    </row>
    <row r="577" spans="1:18" x14ac:dyDescent="0.4">
      <c r="A577"/>
      <c r="B577"/>
      <c r="C577"/>
      <c r="D577"/>
      <c r="E577"/>
      <c r="F577"/>
      <c r="G577"/>
      <c r="H577"/>
      <c r="I577"/>
      <c r="J577"/>
      <c r="K577"/>
      <c r="L577"/>
      <c r="M577"/>
      <c r="N577"/>
      <c r="O577"/>
      <c r="P577"/>
      <c r="Q577"/>
      <c r="R577"/>
    </row>
    <row r="578" spans="1:18" x14ac:dyDescent="0.4">
      <c r="A578"/>
      <c r="B578"/>
      <c r="C578"/>
      <c r="D578"/>
      <c r="E578"/>
      <c r="F578"/>
      <c r="G578"/>
      <c r="H578"/>
      <c r="I578"/>
      <c r="J578"/>
      <c r="K578"/>
      <c r="L578"/>
      <c r="M578"/>
      <c r="N578"/>
      <c r="O578"/>
      <c r="P578"/>
      <c r="Q578"/>
      <c r="R578"/>
    </row>
    <row r="579" spans="1:18" x14ac:dyDescent="0.4">
      <c r="A579"/>
      <c r="B579"/>
      <c r="C579"/>
      <c r="D579"/>
      <c r="E579"/>
      <c r="F579"/>
      <c r="G579"/>
      <c r="H579"/>
      <c r="I579"/>
      <c r="J579"/>
      <c r="K579"/>
      <c r="L579"/>
      <c r="M579"/>
      <c r="N579"/>
      <c r="O579"/>
      <c r="P579"/>
      <c r="Q579"/>
      <c r="R579"/>
    </row>
    <row r="580" spans="1:18" x14ac:dyDescent="0.4">
      <c r="A580"/>
      <c r="B580"/>
      <c r="C580"/>
      <c r="D580"/>
      <c r="E580"/>
      <c r="F580"/>
      <c r="G580"/>
      <c r="H580"/>
      <c r="I580"/>
      <c r="J580"/>
      <c r="K580"/>
      <c r="L580"/>
      <c r="M580"/>
      <c r="N580"/>
      <c r="O580"/>
      <c r="P580"/>
      <c r="Q580"/>
      <c r="R580"/>
    </row>
    <row r="581" spans="1:18" x14ac:dyDescent="0.4">
      <c r="A581"/>
      <c r="B581"/>
      <c r="C581"/>
      <c r="D581"/>
      <c r="E581"/>
      <c r="F581"/>
      <c r="G581"/>
      <c r="H581"/>
      <c r="I581"/>
      <c r="J581"/>
      <c r="K581"/>
      <c r="L581"/>
      <c r="M581"/>
      <c r="N581"/>
      <c r="O581"/>
      <c r="P581"/>
      <c r="Q581"/>
      <c r="R581"/>
    </row>
    <row r="582" spans="1:18" x14ac:dyDescent="0.4">
      <c r="A582"/>
      <c r="B582"/>
      <c r="C582"/>
      <c r="D582"/>
      <c r="E582"/>
      <c r="F582"/>
      <c r="G582"/>
      <c r="H582"/>
      <c r="I582"/>
      <c r="J582"/>
      <c r="K582"/>
      <c r="L582"/>
      <c r="M582"/>
      <c r="N582"/>
      <c r="O582"/>
      <c r="P582"/>
      <c r="Q582"/>
      <c r="R582"/>
    </row>
    <row r="583" spans="1:18" x14ac:dyDescent="0.4">
      <c r="A583"/>
      <c r="B583"/>
      <c r="C583"/>
      <c r="D583"/>
      <c r="E583"/>
      <c r="F583"/>
      <c r="G583"/>
      <c r="H583"/>
      <c r="I583"/>
      <c r="J583"/>
      <c r="K583"/>
      <c r="L583"/>
      <c r="M583"/>
      <c r="N583"/>
      <c r="O583"/>
      <c r="P583"/>
      <c r="Q583"/>
      <c r="R583"/>
    </row>
    <row r="584" spans="1:18" x14ac:dyDescent="0.4">
      <c r="A584"/>
      <c r="B584"/>
      <c r="C584"/>
      <c r="D584"/>
      <c r="E584"/>
      <c r="F584"/>
      <c r="G584"/>
      <c r="H584"/>
      <c r="I584"/>
      <c r="J584"/>
      <c r="K584"/>
      <c r="L584"/>
      <c r="M584"/>
      <c r="N584"/>
      <c r="O584"/>
      <c r="P584"/>
      <c r="Q584"/>
      <c r="R584"/>
    </row>
    <row r="585" spans="1:18" x14ac:dyDescent="0.4">
      <c r="A585"/>
      <c r="B585"/>
      <c r="C585"/>
      <c r="D585"/>
      <c r="E585"/>
      <c r="F585"/>
      <c r="G585"/>
      <c r="H585"/>
      <c r="I585"/>
      <c r="J585"/>
      <c r="K585"/>
      <c r="L585"/>
      <c r="M585"/>
      <c r="N585"/>
      <c r="O585"/>
      <c r="P585"/>
      <c r="Q585"/>
      <c r="R585"/>
    </row>
    <row r="586" spans="1:18" x14ac:dyDescent="0.4">
      <c r="A586"/>
      <c r="B586"/>
      <c r="C586"/>
      <c r="D586"/>
      <c r="E586"/>
      <c r="F586"/>
      <c r="G586"/>
      <c r="H586"/>
      <c r="I586"/>
      <c r="J586"/>
      <c r="K586"/>
      <c r="L586"/>
      <c r="M586"/>
      <c r="N586"/>
      <c r="O586"/>
      <c r="P586"/>
      <c r="Q586"/>
      <c r="R586"/>
    </row>
    <row r="587" spans="1:18" x14ac:dyDescent="0.4">
      <c r="A587"/>
      <c r="B587"/>
      <c r="C587"/>
      <c r="D587"/>
      <c r="E587"/>
      <c r="F587"/>
      <c r="G587"/>
      <c r="H587"/>
      <c r="I587"/>
      <c r="J587"/>
      <c r="K587"/>
      <c r="L587"/>
      <c r="M587"/>
      <c r="N587"/>
      <c r="O587"/>
      <c r="P587"/>
      <c r="Q587"/>
      <c r="R587"/>
    </row>
    <row r="588" spans="1:18" x14ac:dyDescent="0.4">
      <c r="A588"/>
      <c r="B588"/>
      <c r="C588"/>
      <c r="D588"/>
      <c r="E588"/>
      <c r="F588"/>
      <c r="G588"/>
      <c r="H588"/>
      <c r="I588"/>
      <c r="J588"/>
      <c r="K588"/>
      <c r="L588"/>
      <c r="M588"/>
      <c r="N588"/>
      <c r="O588"/>
      <c r="P588"/>
      <c r="Q588"/>
      <c r="R588"/>
    </row>
    <row r="589" spans="1:18" x14ac:dyDescent="0.4">
      <c r="A589"/>
      <c r="B589"/>
      <c r="C589"/>
      <c r="D589"/>
      <c r="E589"/>
      <c r="F589"/>
      <c r="G589"/>
      <c r="H589"/>
      <c r="I589"/>
      <c r="J589"/>
      <c r="K589"/>
      <c r="L589"/>
      <c r="M589"/>
      <c r="N589"/>
      <c r="O589"/>
      <c r="P589"/>
      <c r="Q589"/>
      <c r="R589"/>
    </row>
    <row r="590" spans="1:18" x14ac:dyDescent="0.4">
      <c r="A590"/>
      <c r="B590"/>
      <c r="C590"/>
      <c r="D590"/>
      <c r="E590"/>
      <c r="F590"/>
      <c r="G590"/>
      <c r="H590"/>
      <c r="I590"/>
      <c r="J590"/>
      <c r="K590"/>
      <c r="L590"/>
      <c r="M590"/>
      <c r="N590"/>
      <c r="O590"/>
      <c r="P590"/>
      <c r="Q590"/>
      <c r="R590"/>
    </row>
    <row r="591" spans="1:18" x14ac:dyDescent="0.4">
      <c r="A591"/>
      <c r="B591"/>
      <c r="C591"/>
      <c r="D591"/>
      <c r="E591"/>
      <c r="F591"/>
      <c r="G591"/>
      <c r="H591"/>
      <c r="I591"/>
      <c r="J591"/>
      <c r="K591"/>
      <c r="L591"/>
      <c r="M591"/>
      <c r="N591"/>
      <c r="O591"/>
      <c r="P591"/>
      <c r="Q591"/>
      <c r="R591"/>
    </row>
    <row r="592" spans="1:18" x14ac:dyDescent="0.4">
      <c r="A592"/>
      <c r="B592"/>
      <c r="C592"/>
      <c r="D592"/>
      <c r="E592"/>
      <c r="F592"/>
      <c r="G592"/>
      <c r="H592"/>
      <c r="I592"/>
      <c r="J592"/>
      <c r="K592"/>
      <c r="L592"/>
      <c r="M592"/>
      <c r="N592"/>
      <c r="O592"/>
      <c r="P592"/>
      <c r="Q592"/>
      <c r="R592"/>
    </row>
    <row r="593" spans="1:18" x14ac:dyDescent="0.4">
      <c r="A593"/>
      <c r="B593"/>
      <c r="C593"/>
      <c r="D593"/>
      <c r="E593"/>
      <c r="F593"/>
      <c r="G593"/>
      <c r="H593"/>
      <c r="I593"/>
      <c r="J593"/>
      <c r="K593"/>
      <c r="L593"/>
      <c r="M593"/>
      <c r="N593"/>
      <c r="O593"/>
      <c r="P593"/>
      <c r="Q593"/>
      <c r="R593"/>
    </row>
    <row r="594" spans="1:18" x14ac:dyDescent="0.4">
      <c r="A594"/>
      <c r="B594"/>
      <c r="C594"/>
      <c r="D594"/>
      <c r="E594"/>
      <c r="F594"/>
      <c r="G594"/>
      <c r="H594"/>
      <c r="I594"/>
      <c r="J594"/>
      <c r="K594"/>
      <c r="L594"/>
      <c r="M594"/>
      <c r="N594"/>
      <c r="O594"/>
      <c r="P594"/>
      <c r="Q594"/>
      <c r="R594"/>
    </row>
    <row r="595" spans="1:18" x14ac:dyDescent="0.4">
      <c r="A595"/>
      <c r="B595"/>
      <c r="C595"/>
      <c r="D595"/>
      <c r="E595"/>
      <c r="F595"/>
      <c r="G595"/>
      <c r="H595"/>
      <c r="I595"/>
      <c r="J595"/>
      <c r="K595"/>
      <c r="L595"/>
      <c r="M595"/>
      <c r="N595"/>
      <c r="O595"/>
      <c r="P595"/>
      <c r="Q595"/>
      <c r="R595"/>
    </row>
    <row r="596" spans="1:18" x14ac:dyDescent="0.4">
      <c r="A596"/>
      <c r="B596"/>
      <c r="C596"/>
      <c r="D596"/>
      <c r="E596"/>
      <c r="F596"/>
      <c r="G596"/>
      <c r="H596"/>
      <c r="I596"/>
      <c r="J596"/>
      <c r="K596"/>
      <c r="L596"/>
      <c r="M596"/>
      <c r="N596"/>
      <c r="O596"/>
      <c r="P596"/>
      <c r="Q596"/>
      <c r="R596"/>
    </row>
    <row r="597" spans="1:18" x14ac:dyDescent="0.4">
      <c r="A597"/>
      <c r="B597"/>
      <c r="C597"/>
      <c r="D597"/>
      <c r="E597"/>
      <c r="F597"/>
      <c r="G597"/>
      <c r="H597"/>
      <c r="I597"/>
      <c r="J597"/>
      <c r="K597"/>
      <c r="L597"/>
      <c r="M597"/>
      <c r="N597"/>
      <c r="O597"/>
      <c r="P597"/>
      <c r="Q597"/>
      <c r="R597"/>
    </row>
    <row r="598" spans="1:18" x14ac:dyDescent="0.4">
      <c r="A598"/>
      <c r="B598"/>
      <c r="C598"/>
      <c r="D598"/>
      <c r="E598"/>
      <c r="F598"/>
      <c r="G598"/>
      <c r="H598"/>
      <c r="I598"/>
      <c r="J598"/>
      <c r="K598"/>
      <c r="L598"/>
      <c r="M598"/>
      <c r="N598"/>
      <c r="O598"/>
      <c r="P598"/>
      <c r="Q598"/>
      <c r="R598"/>
    </row>
    <row r="599" spans="1:18" x14ac:dyDescent="0.4">
      <c r="A599"/>
      <c r="B599"/>
      <c r="C599"/>
      <c r="D599"/>
      <c r="E599"/>
      <c r="F599"/>
      <c r="G599"/>
      <c r="H599"/>
      <c r="I599"/>
      <c r="J599"/>
      <c r="K599"/>
      <c r="L599"/>
      <c r="M599"/>
      <c r="N599"/>
      <c r="O599"/>
      <c r="P599"/>
      <c r="Q599"/>
      <c r="R599"/>
    </row>
    <row r="600" spans="1:18" x14ac:dyDescent="0.4">
      <c r="A600"/>
      <c r="B600"/>
      <c r="C600"/>
      <c r="D600"/>
      <c r="E600"/>
      <c r="F600"/>
      <c r="G600"/>
      <c r="H600"/>
      <c r="I600"/>
      <c r="J600"/>
      <c r="K600"/>
      <c r="L600"/>
      <c r="M600"/>
      <c r="N600"/>
      <c r="O600"/>
      <c r="P600"/>
      <c r="Q600"/>
      <c r="R600"/>
    </row>
    <row r="601" spans="1:18" x14ac:dyDescent="0.4">
      <c r="A601"/>
      <c r="B601"/>
      <c r="C601"/>
      <c r="D601"/>
      <c r="E601"/>
      <c r="F601"/>
      <c r="G601"/>
      <c r="H601"/>
      <c r="I601"/>
      <c r="J601"/>
      <c r="K601"/>
      <c r="L601"/>
      <c r="M601"/>
      <c r="N601"/>
      <c r="O601"/>
      <c r="P601"/>
      <c r="Q601"/>
      <c r="R601"/>
    </row>
    <row r="602" spans="1:18" x14ac:dyDescent="0.4">
      <c r="A602"/>
      <c r="B602"/>
      <c r="C602"/>
      <c r="D602"/>
      <c r="E602"/>
      <c r="F602"/>
      <c r="G602"/>
      <c r="H602"/>
      <c r="I602"/>
      <c r="J602"/>
      <c r="K602"/>
      <c r="L602"/>
      <c r="M602"/>
      <c r="N602"/>
      <c r="O602"/>
      <c r="P602"/>
      <c r="Q602"/>
      <c r="R602"/>
    </row>
    <row r="603" spans="1:18" x14ac:dyDescent="0.4">
      <c r="A603"/>
      <c r="B603"/>
      <c r="C603"/>
      <c r="D603"/>
      <c r="E603"/>
      <c r="F603"/>
      <c r="G603"/>
      <c r="H603"/>
      <c r="I603"/>
      <c r="J603"/>
      <c r="K603"/>
      <c r="L603"/>
      <c r="M603"/>
      <c r="N603"/>
      <c r="O603"/>
      <c r="P603"/>
      <c r="Q603"/>
      <c r="R603"/>
    </row>
    <row r="604" spans="1:18" x14ac:dyDescent="0.4">
      <c r="A604"/>
      <c r="B604"/>
      <c r="C604"/>
      <c r="D604"/>
      <c r="E604"/>
      <c r="F604"/>
      <c r="G604"/>
      <c r="H604"/>
      <c r="I604"/>
      <c r="J604"/>
      <c r="K604"/>
      <c r="L604"/>
      <c r="M604"/>
      <c r="N604"/>
      <c r="O604"/>
      <c r="P604"/>
      <c r="Q604"/>
      <c r="R604"/>
    </row>
    <row r="605" spans="1:18" x14ac:dyDescent="0.4">
      <c r="A605"/>
      <c r="B605"/>
      <c r="C605"/>
      <c r="D605"/>
      <c r="E605"/>
      <c r="F605"/>
      <c r="G605"/>
      <c r="H605"/>
      <c r="I605"/>
      <c r="J605"/>
      <c r="K605"/>
      <c r="L605"/>
      <c r="M605"/>
      <c r="N605"/>
      <c r="O605"/>
      <c r="P605"/>
      <c r="Q605"/>
      <c r="R605"/>
    </row>
    <row r="606" spans="1:18" x14ac:dyDescent="0.4">
      <c r="A606"/>
      <c r="B606"/>
      <c r="C606"/>
      <c r="D606"/>
      <c r="E606"/>
      <c r="F606"/>
      <c r="G606"/>
      <c r="H606"/>
      <c r="I606"/>
      <c r="J606"/>
      <c r="K606"/>
      <c r="L606"/>
      <c r="M606"/>
      <c r="N606"/>
      <c r="O606"/>
      <c r="P606"/>
      <c r="Q606"/>
      <c r="R606"/>
    </row>
    <row r="607" spans="1:18" x14ac:dyDescent="0.4">
      <c r="A607"/>
      <c r="B607"/>
      <c r="C607"/>
      <c r="D607"/>
      <c r="E607"/>
      <c r="F607"/>
      <c r="G607"/>
      <c r="H607"/>
      <c r="I607"/>
      <c r="J607"/>
      <c r="K607"/>
      <c r="L607"/>
      <c r="M607"/>
      <c r="N607"/>
      <c r="O607"/>
      <c r="P607"/>
      <c r="Q607"/>
      <c r="R607"/>
    </row>
    <row r="608" spans="1:18" x14ac:dyDescent="0.4">
      <c r="A608"/>
      <c r="B608"/>
      <c r="C608"/>
      <c r="D608"/>
      <c r="E608"/>
      <c r="F608"/>
      <c r="G608"/>
      <c r="H608"/>
      <c r="I608"/>
      <c r="J608"/>
      <c r="K608"/>
      <c r="L608"/>
      <c r="M608"/>
      <c r="N608"/>
      <c r="O608"/>
      <c r="P608"/>
      <c r="Q608"/>
      <c r="R608"/>
    </row>
    <row r="609" spans="1:18" x14ac:dyDescent="0.4">
      <c r="A609"/>
      <c r="B609"/>
      <c r="C609"/>
      <c r="D609"/>
      <c r="E609"/>
      <c r="F609"/>
      <c r="G609"/>
      <c r="H609"/>
      <c r="I609"/>
      <c r="J609"/>
      <c r="K609"/>
      <c r="L609"/>
      <c r="M609"/>
      <c r="N609"/>
      <c r="O609"/>
      <c r="P609"/>
      <c r="Q609"/>
      <c r="R609"/>
    </row>
    <row r="610" spans="1:18" x14ac:dyDescent="0.4">
      <c r="A610"/>
      <c r="B610"/>
      <c r="C610"/>
      <c r="D610"/>
      <c r="E610"/>
      <c r="F610"/>
      <c r="G610"/>
      <c r="H610"/>
      <c r="I610"/>
      <c r="J610"/>
      <c r="K610"/>
      <c r="L610"/>
      <c r="M610"/>
      <c r="N610"/>
      <c r="O610"/>
      <c r="P610"/>
      <c r="Q610"/>
      <c r="R610"/>
    </row>
    <row r="611" spans="1:18" x14ac:dyDescent="0.4">
      <c r="A611"/>
      <c r="B611"/>
      <c r="C611"/>
      <c r="D611"/>
      <c r="E611"/>
      <c r="F611"/>
      <c r="G611"/>
      <c r="H611"/>
      <c r="I611"/>
      <c r="J611"/>
      <c r="K611"/>
      <c r="L611"/>
      <c r="M611"/>
      <c r="N611"/>
      <c r="O611"/>
      <c r="P611"/>
      <c r="Q611"/>
      <c r="R611"/>
    </row>
    <row r="612" spans="1:18" x14ac:dyDescent="0.4">
      <c r="A612"/>
      <c r="B612"/>
      <c r="C612"/>
      <c r="D612"/>
      <c r="E612"/>
      <c r="F612"/>
      <c r="G612"/>
      <c r="H612"/>
      <c r="I612"/>
      <c r="J612"/>
      <c r="K612"/>
      <c r="L612"/>
      <c r="M612"/>
      <c r="N612"/>
      <c r="O612"/>
      <c r="P612"/>
      <c r="Q612"/>
      <c r="R612"/>
    </row>
    <row r="613" spans="1:18" x14ac:dyDescent="0.4">
      <c r="A613"/>
      <c r="B613"/>
      <c r="C613"/>
      <c r="D613"/>
      <c r="E613"/>
      <c r="F613"/>
      <c r="G613"/>
      <c r="H613"/>
      <c r="I613"/>
      <c r="J613"/>
      <c r="K613"/>
      <c r="L613"/>
      <c r="M613"/>
      <c r="N613"/>
      <c r="O613"/>
      <c r="P613"/>
      <c r="Q613"/>
      <c r="R613"/>
    </row>
    <row r="614" spans="1:18" x14ac:dyDescent="0.4">
      <c r="A614"/>
      <c r="B614"/>
      <c r="C614"/>
      <c r="D614"/>
      <c r="E614"/>
      <c r="F614"/>
      <c r="G614"/>
      <c r="H614"/>
      <c r="I614"/>
      <c r="J614"/>
      <c r="K614"/>
      <c r="L614"/>
      <c r="M614"/>
      <c r="N614"/>
      <c r="O614"/>
      <c r="P614"/>
      <c r="Q614"/>
      <c r="R614"/>
    </row>
    <row r="615" spans="1:18" x14ac:dyDescent="0.4">
      <c r="A615"/>
      <c r="B615"/>
      <c r="C615"/>
      <c r="D615"/>
      <c r="E615"/>
      <c r="F615"/>
      <c r="G615"/>
      <c r="H615"/>
      <c r="I615"/>
      <c r="J615"/>
      <c r="K615"/>
      <c r="L615"/>
      <c r="M615"/>
      <c r="N615"/>
      <c r="O615"/>
      <c r="P615"/>
      <c r="Q615"/>
      <c r="R615"/>
    </row>
    <row r="616" spans="1:18" x14ac:dyDescent="0.4">
      <c r="A616"/>
      <c r="B616"/>
      <c r="C616"/>
      <c r="D616"/>
      <c r="E616"/>
      <c r="F616"/>
      <c r="G616"/>
      <c r="H616"/>
      <c r="I616"/>
      <c r="J616"/>
      <c r="K616"/>
      <c r="L616"/>
      <c r="M616"/>
      <c r="N616"/>
      <c r="O616"/>
      <c r="P616"/>
      <c r="Q616"/>
      <c r="R616"/>
    </row>
    <row r="617" spans="1:18" x14ac:dyDescent="0.4">
      <c r="A617"/>
      <c r="B617"/>
      <c r="C617"/>
      <c r="D617"/>
      <c r="E617"/>
      <c r="F617"/>
      <c r="G617"/>
      <c r="H617"/>
      <c r="I617"/>
      <c r="J617"/>
      <c r="K617"/>
      <c r="L617"/>
      <c r="M617"/>
      <c r="N617"/>
      <c r="O617"/>
      <c r="P617"/>
      <c r="Q617"/>
      <c r="R617"/>
    </row>
    <row r="618" spans="1:18" x14ac:dyDescent="0.4">
      <c r="A618"/>
      <c r="B618"/>
      <c r="C618"/>
      <c r="D618"/>
      <c r="E618"/>
      <c r="F618"/>
      <c r="G618"/>
      <c r="H618"/>
      <c r="I618"/>
      <c r="J618"/>
      <c r="K618"/>
      <c r="L618"/>
      <c r="M618"/>
      <c r="N618"/>
      <c r="O618"/>
      <c r="P618"/>
      <c r="Q618"/>
      <c r="R618"/>
    </row>
    <row r="619" spans="1:18" x14ac:dyDescent="0.4">
      <c r="A619"/>
      <c r="B619"/>
      <c r="C619"/>
      <c r="D619"/>
      <c r="E619"/>
      <c r="F619"/>
      <c r="G619"/>
      <c r="H619"/>
      <c r="I619"/>
      <c r="J619"/>
      <c r="K619"/>
      <c r="L619"/>
      <c r="M619"/>
      <c r="N619"/>
      <c r="O619"/>
      <c r="P619"/>
      <c r="Q619"/>
      <c r="R619"/>
    </row>
    <row r="620" spans="1:18" x14ac:dyDescent="0.4">
      <c r="A620"/>
      <c r="B620"/>
      <c r="C620"/>
      <c r="D620"/>
      <c r="E620"/>
      <c r="F620"/>
      <c r="G620"/>
      <c r="H620"/>
      <c r="I620"/>
      <c r="J620"/>
      <c r="K620"/>
      <c r="L620"/>
      <c r="M620"/>
      <c r="N620"/>
      <c r="O620"/>
      <c r="P620"/>
      <c r="Q620"/>
      <c r="R620"/>
    </row>
    <row r="621" spans="1:18" x14ac:dyDescent="0.4">
      <c r="A621"/>
      <c r="B621"/>
      <c r="C621"/>
      <c r="D621"/>
      <c r="E621"/>
      <c r="F621"/>
      <c r="G621"/>
      <c r="H621"/>
      <c r="I621"/>
      <c r="J621"/>
      <c r="K621"/>
      <c r="L621"/>
      <c r="M621"/>
      <c r="N621"/>
      <c r="O621"/>
      <c r="P621"/>
      <c r="Q621"/>
      <c r="R621"/>
    </row>
    <row r="622" spans="1:18" x14ac:dyDescent="0.4">
      <c r="A622"/>
      <c r="B622"/>
      <c r="C622"/>
      <c r="D622"/>
      <c r="E622"/>
      <c r="F622"/>
      <c r="G622"/>
      <c r="H622"/>
      <c r="I622"/>
      <c r="J622"/>
      <c r="K622"/>
      <c r="L622"/>
      <c r="M622"/>
      <c r="N622"/>
      <c r="O622"/>
      <c r="P622"/>
      <c r="Q622"/>
      <c r="R622"/>
    </row>
    <row r="623" spans="1:18" x14ac:dyDescent="0.4">
      <c r="A623"/>
      <c r="B623"/>
      <c r="C623"/>
      <c r="D623"/>
      <c r="E623"/>
      <c r="F623"/>
      <c r="G623"/>
      <c r="H623"/>
      <c r="I623"/>
      <c r="J623"/>
      <c r="K623"/>
      <c r="L623"/>
      <c r="M623"/>
      <c r="N623"/>
      <c r="O623"/>
      <c r="P623"/>
      <c r="Q623"/>
      <c r="R623"/>
    </row>
    <row r="624" spans="1:18" x14ac:dyDescent="0.4">
      <c r="A624"/>
      <c r="B624"/>
      <c r="C624"/>
      <c r="D624"/>
      <c r="E624"/>
      <c r="F624"/>
      <c r="G624"/>
      <c r="H624"/>
      <c r="I624"/>
      <c r="J624"/>
      <c r="K624"/>
      <c r="L624"/>
      <c r="M624"/>
      <c r="N624"/>
      <c r="O624"/>
      <c r="P624"/>
      <c r="Q624"/>
      <c r="R624"/>
    </row>
    <row r="625" spans="1:18" x14ac:dyDescent="0.4">
      <c r="A625"/>
      <c r="B625"/>
      <c r="C625"/>
      <c r="D625"/>
      <c r="E625"/>
      <c r="F625"/>
      <c r="G625"/>
      <c r="H625"/>
      <c r="I625"/>
      <c r="J625"/>
      <c r="K625"/>
      <c r="L625"/>
      <c r="M625"/>
      <c r="N625"/>
      <c r="O625"/>
      <c r="P625"/>
      <c r="Q625"/>
      <c r="R625"/>
    </row>
    <row r="626" spans="1:18" x14ac:dyDescent="0.4">
      <c r="A626"/>
      <c r="B626"/>
      <c r="C626"/>
      <c r="D626"/>
      <c r="E626"/>
      <c r="F626"/>
      <c r="G626"/>
      <c r="H626"/>
      <c r="I626"/>
      <c r="J626"/>
      <c r="K626"/>
      <c r="L626"/>
      <c r="M626"/>
      <c r="N626"/>
      <c r="O626"/>
      <c r="P626"/>
      <c r="Q626"/>
      <c r="R626"/>
    </row>
    <row r="627" spans="1:18" x14ac:dyDescent="0.4">
      <c r="A627"/>
      <c r="B627"/>
      <c r="C627"/>
      <c r="D627"/>
      <c r="E627"/>
      <c r="F627"/>
      <c r="G627"/>
      <c r="H627"/>
      <c r="I627"/>
      <c r="J627"/>
      <c r="K627"/>
      <c r="L627"/>
      <c r="M627"/>
      <c r="N627"/>
      <c r="O627"/>
      <c r="P627"/>
      <c r="Q627"/>
      <c r="R627"/>
    </row>
    <row r="628" spans="1:18" x14ac:dyDescent="0.4">
      <c r="A628"/>
      <c r="B628"/>
      <c r="C628"/>
      <c r="D628"/>
      <c r="E628"/>
      <c r="F628"/>
      <c r="G628"/>
      <c r="H628"/>
      <c r="I628"/>
      <c r="J628"/>
      <c r="K628"/>
      <c r="L628"/>
      <c r="M628"/>
      <c r="N628"/>
      <c r="O628"/>
      <c r="P628"/>
      <c r="Q628"/>
      <c r="R628"/>
    </row>
    <row r="629" spans="1:18" x14ac:dyDescent="0.4">
      <c r="A629"/>
      <c r="B629"/>
      <c r="C629"/>
      <c r="D629"/>
      <c r="E629"/>
      <c r="F629"/>
      <c r="G629"/>
      <c r="H629"/>
      <c r="I629"/>
      <c r="J629"/>
      <c r="K629"/>
      <c r="L629"/>
      <c r="M629"/>
      <c r="N629"/>
      <c r="O629"/>
      <c r="P629"/>
      <c r="Q629"/>
      <c r="R629"/>
    </row>
    <row r="630" spans="1:18" x14ac:dyDescent="0.4">
      <c r="A630"/>
      <c r="B630"/>
      <c r="C630"/>
      <c r="D630"/>
      <c r="E630"/>
      <c r="F630"/>
      <c r="G630"/>
      <c r="H630"/>
      <c r="I630"/>
      <c r="J630"/>
      <c r="K630"/>
      <c r="L630"/>
      <c r="M630"/>
      <c r="N630"/>
      <c r="O630"/>
      <c r="P630"/>
      <c r="Q630"/>
      <c r="R630"/>
    </row>
    <row r="631" spans="1:18" x14ac:dyDescent="0.4">
      <c r="A631"/>
      <c r="B631"/>
      <c r="C631"/>
      <c r="D631"/>
      <c r="E631"/>
      <c r="F631"/>
      <c r="G631"/>
      <c r="H631"/>
      <c r="I631"/>
      <c r="J631"/>
      <c r="K631"/>
      <c r="L631"/>
      <c r="M631"/>
      <c r="N631"/>
      <c r="O631"/>
      <c r="P631"/>
      <c r="Q631"/>
      <c r="R631"/>
    </row>
    <row r="632" spans="1:18" x14ac:dyDescent="0.4">
      <c r="A632"/>
      <c r="B632"/>
      <c r="C632"/>
      <c r="D632"/>
      <c r="E632"/>
      <c r="F632"/>
      <c r="G632"/>
      <c r="H632"/>
      <c r="I632"/>
      <c r="J632"/>
      <c r="K632"/>
      <c r="L632"/>
      <c r="M632"/>
      <c r="N632"/>
      <c r="O632"/>
      <c r="P632"/>
      <c r="Q632"/>
      <c r="R632"/>
    </row>
    <row r="633" spans="1:18" x14ac:dyDescent="0.4">
      <c r="A633"/>
      <c r="B633"/>
      <c r="C633"/>
      <c r="D633"/>
      <c r="E633"/>
      <c r="F633"/>
      <c r="G633"/>
      <c r="H633"/>
      <c r="I633"/>
      <c r="J633"/>
      <c r="K633"/>
      <c r="L633"/>
      <c r="M633"/>
      <c r="N633"/>
      <c r="O633"/>
      <c r="P633"/>
      <c r="Q633"/>
      <c r="R633"/>
    </row>
    <row r="634" spans="1:18" x14ac:dyDescent="0.4">
      <c r="A634"/>
      <c r="B634"/>
      <c r="C634"/>
      <c r="D634"/>
      <c r="E634"/>
      <c r="F634"/>
      <c r="G634"/>
      <c r="H634"/>
      <c r="I634"/>
      <c r="J634"/>
      <c r="K634"/>
      <c r="L634"/>
      <c r="M634"/>
      <c r="N634"/>
      <c r="O634"/>
      <c r="P634"/>
      <c r="Q634"/>
      <c r="R634"/>
    </row>
    <row r="635" spans="1:18" x14ac:dyDescent="0.4">
      <c r="A635"/>
      <c r="B635"/>
      <c r="C635"/>
      <c r="D635"/>
      <c r="E635"/>
      <c r="F635"/>
      <c r="G635"/>
      <c r="H635"/>
      <c r="I635"/>
      <c r="J635"/>
      <c r="K635"/>
      <c r="L635"/>
      <c r="M635"/>
      <c r="N635"/>
      <c r="O635"/>
      <c r="P635"/>
      <c r="Q635"/>
      <c r="R635"/>
    </row>
    <row r="636" spans="1:18" x14ac:dyDescent="0.4">
      <c r="A636"/>
      <c r="B636"/>
      <c r="C636"/>
      <c r="D636"/>
      <c r="E636"/>
      <c r="F636"/>
      <c r="G636"/>
      <c r="H636"/>
      <c r="I636"/>
      <c r="J636"/>
      <c r="K636"/>
      <c r="L636"/>
      <c r="M636"/>
      <c r="N636"/>
      <c r="O636"/>
      <c r="P636"/>
      <c r="Q636"/>
      <c r="R636"/>
    </row>
    <row r="637" spans="1:18" x14ac:dyDescent="0.4">
      <c r="A637"/>
      <c r="B637"/>
      <c r="C637"/>
      <c r="D637"/>
      <c r="E637"/>
      <c r="F637"/>
      <c r="G637"/>
      <c r="H637"/>
      <c r="I637"/>
      <c r="J637"/>
      <c r="K637"/>
      <c r="L637"/>
      <c r="M637"/>
      <c r="N637"/>
      <c r="O637"/>
      <c r="P637"/>
      <c r="Q637"/>
      <c r="R637"/>
    </row>
    <row r="638" spans="1:18" x14ac:dyDescent="0.4">
      <c r="A638"/>
      <c r="B638"/>
      <c r="C638"/>
      <c r="D638"/>
      <c r="E638"/>
      <c r="F638"/>
      <c r="G638"/>
      <c r="H638"/>
      <c r="I638"/>
      <c r="J638"/>
      <c r="K638"/>
      <c r="L638"/>
      <c r="M638"/>
      <c r="N638"/>
      <c r="O638"/>
      <c r="P638"/>
      <c r="Q638"/>
      <c r="R638"/>
    </row>
    <row r="639" spans="1:18" x14ac:dyDescent="0.4">
      <c r="A639"/>
      <c r="B639"/>
      <c r="C639"/>
      <c r="D639"/>
      <c r="E639"/>
      <c r="F639"/>
      <c r="G639"/>
      <c r="H639"/>
      <c r="I639"/>
      <c r="J639"/>
      <c r="K639"/>
      <c r="L639"/>
      <c r="M639"/>
      <c r="N639"/>
      <c r="O639"/>
      <c r="P639"/>
      <c r="Q639"/>
      <c r="R639"/>
    </row>
    <row r="640" spans="1:18" x14ac:dyDescent="0.4">
      <c r="A640"/>
      <c r="B640"/>
      <c r="C640"/>
      <c r="D640"/>
      <c r="E640"/>
      <c r="F640"/>
      <c r="G640"/>
      <c r="H640"/>
      <c r="I640"/>
      <c r="J640"/>
      <c r="K640"/>
      <c r="L640"/>
      <c r="M640"/>
      <c r="N640"/>
      <c r="O640"/>
      <c r="P640"/>
      <c r="Q640"/>
      <c r="R640"/>
    </row>
    <row r="641" spans="1:18" x14ac:dyDescent="0.4">
      <c r="A641"/>
      <c r="B641"/>
      <c r="C641"/>
      <c r="D641"/>
      <c r="E641"/>
      <c r="F641"/>
      <c r="G641"/>
      <c r="H641"/>
      <c r="I641"/>
      <c r="J641"/>
      <c r="K641"/>
      <c r="L641"/>
      <c r="M641"/>
      <c r="N641"/>
      <c r="O641"/>
      <c r="P641"/>
      <c r="Q641"/>
      <c r="R641"/>
    </row>
    <row r="642" spans="1:18" x14ac:dyDescent="0.4">
      <c r="A642"/>
      <c r="B642"/>
      <c r="C642"/>
      <c r="D642"/>
      <c r="E642"/>
      <c r="F642"/>
      <c r="G642"/>
      <c r="H642"/>
      <c r="I642"/>
      <c r="J642"/>
      <c r="K642"/>
      <c r="L642"/>
      <c r="M642"/>
      <c r="N642"/>
      <c r="O642"/>
      <c r="P642"/>
      <c r="Q642"/>
      <c r="R642"/>
    </row>
    <row r="643" spans="1:18" x14ac:dyDescent="0.4">
      <c r="A643"/>
      <c r="B643"/>
      <c r="C643"/>
      <c r="D643"/>
      <c r="E643"/>
      <c r="F643"/>
      <c r="G643"/>
      <c r="H643"/>
      <c r="I643"/>
      <c r="J643"/>
      <c r="K643"/>
      <c r="L643"/>
      <c r="M643"/>
      <c r="N643"/>
      <c r="O643"/>
      <c r="P643"/>
      <c r="Q643"/>
      <c r="R643"/>
    </row>
    <row r="644" spans="1:18" x14ac:dyDescent="0.4">
      <c r="A644"/>
      <c r="B644"/>
      <c r="C644"/>
      <c r="D644"/>
      <c r="E644"/>
      <c r="F644"/>
      <c r="G644"/>
      <c r="H644"/>
      <c r="I644"/>
      <c r="J644"/>
      <c r="K644"/>
      <c r="L644"/>
      <c r="M644"/>
      <c r="N644"/>
      <c r="O644"/>
      <c r="P644"/>
      <c r="Q644"/>
      <c r="R644"/>
    </row>
    <row r="645" spans="1:18" x14ac:dyDescent="0.4">
      <c r="A645"/>
      <c r="B645"/>
      <c r="C645"/>
      <c r="D645"/>
      <c r="E645"/>
      <c r="F645"/>
      <c r="G645"/>
      <c r="H645"/>
      <c r="I645"/>
      <c r="J645"/>
      <c r="K645"/>
      <c r="L645"/>
      <c r="M645"/>
      <c r="N645"/>
      <c r="O645"/>
      <c r="P645"/>
      <c r="Q645"/>
      <c r="R645"/>
    </row>
    <row r="646" spans="1:18" x14ac:dyDescent="0.4">
      <c r="A646"/>
      <c r="B646"/>
      <c r="C646"/>
      <c r="D646"/>
      <c r="E646"/>
      <c r="F646"/>
      <c r="G646"/>
      <c r="H646"/>
      <c r="I646"/>
      <c r="J646"/>
      <c r="K646"/>
      <c r="L646"/>
      <c r="M646"/>
      <c r="N646"/>
      <c r="O646"/>
      <c r="P646"/>
      <c r="Q646"/>
      <c r="R646"/>
    </row>
    <row r="647" spans="1:18" x14ac:dyDescent="0.4">
      <c r="A647"/>
      <c r="B647"/>
      <c r="C647"/>
      <c r="D647"/>
      <c r="E647"/>
      <c r="F647"/>
      <c r="G647"/>
      <c r="H647"/>
      <c r="I647"/>
      <c r="J647"/>
      <c r="K647"/>
      <c r="L647"/>
      <c r="M647"/>
      <c r="N647"/>
      <c r="O647"/>
      <c r="P647"/>
      <c r="Q647"/>
      <c r="R647"/>
    </row>
    <row r="648" spans="1:18" x14ac:dyDescent="0.4">
      <c r="A648"/>
      <c r="B648"/>
      <c r="C648"/>
      <c r="D648"/>
      <c r="E648"/>
      <c r="F648"/>
      <c r="G648"/>
      <c r="H648"/>
      <c r="I648"/>
      <c r="J648"/>
      <c r="K648"/>
      <c r="L648"/>
      <c r="M648"/>
      <c r="N648"/>
      <c r="O648"/>
      <c r="P648"/>
      <c r="Q648"/>
      <c r="R648"/>
    </row>
    <row r="649" spans="1:18" x14ac:dyDescent="0.4">
      <c r="A649"/>
      <c r="B649"/>
      <c r="C649"/>
      <c r="D649"/>
      <c r="E649"/>
      <c r="F649"/>
      <c r="G649"/>
      <c r="H649"/>
      <c r="I649"/>
      <c r="J649"/>
      <c r="K649"/>
      <c r="L649"/>
      <c r="M649"/>
      <c r="N649"/>
      <c r="O649"/>
      <c r="P649"/>
      <c r="Q649"/>
      <c r="R649"/>
    </row>
    <row r="650" spans="1:18" x14ac:dyDescent="0.4">
      <c r="A650"/>
      <c r="B650"/>
      <c r="C650"/>
      <c r="D650"/>
      <c r="E650"/>
      <c r="F650"/>
      <c r="G650"/>
      <c r="H650"/>
      <c r="I650"/>
      <c r="J650"/>
      <c r="K650"/>
      <c r="L650"/>
      <c r="M650"/>
      <c r="N650"/>
      <c r="O650"/>
      <c r="P650"/>
      <c r="Q650"/>
      <c r="R650"/>
    </row>
    <row r="651" spans="1:18" x14ac:dyDescent="0.4">
      <c r="A651"/>
      <c r="B651"/>
      <c r="C651"/>
      <c r="D651"/>
      <c r="E651"/>
      <c r="F651"/>
      <c r="G651"/>
      <c r="H651"/>
      <c r="I651"/>
      <c r="J651"/>
      <c r="K651"/>
      <c r="L651"/>
      <c r="M651"/>
      <c r="N651"/>
      <c r="O651"/>
      <c r="P651"/>
      <c r="Q651"/>
      <c r="R651"/>
    </row>
    <row r="652" spans="1:18" x14ac:dyDescent="0.4">
      <c r="A652"/>
      <c r="B652"/>
      <c r="C652"/>
      <c r="D652"/>
      <c r="E652"/>
      <c r="F652"/>
      <c r="G652"/>
      <c r="H652"/>
      <c r="I652"/>
      <c r="J652"/>
      <c r="K652"/>
      <c r="L652"/>
      <c r="M652"/>
      <c r="N652"/>
      <c r="O652"/>
      <c r="P652"/>
      <c r="Q652"/>
      <c r="R652"/>
    </row>
    <row r="653" spans="1:18" x14ac:dyDescent="0.4">
      <c r="A653"/>
      <c r="B653"/>
      <c r="C653"/>
      <c r="D653"/>
      <c r="E653"/>
      <c r="F653"/>
      <c r="G653"/>
      <c r="H653"/>
      <c r="I653"/>
      <c r="J653"/>
      <c r="K653"/>
      <c r="L653"/>
      <c r="M653"/>
      <c r="N653"/>
      <c r="O653"/>
      <c r="P653"/>
      <c r="Q653"/>
      <c r="R653"/>
    </row>
    <row r="654" spans="1:18" x14ac:dyDescent="0.4">
      <c r="A654"/>
      <c r="B654"/>
      <c r="C654"/>
      <c r="D654"/>
      <c r="E654"/>
      <c r="F654"/>
      <c r="G654"/>
      <c r="H654"/>
      <c r="I654"/>
      <c r="J654"/>
      <c r="K654"/>
      <c r="L654"/>
      <c r="M654"/>
      <c r="N654"/>
      <c r="O654"/>
      <c r="P654"/>
      <c r="Q654"/>
      <c r="R654"/>
    </row>
    <row r="655" spans="1:18" x14ac:dyDescent="0.4">
      <c r="A655"/>
      <c r="B655"/>
      <c r="C655"/>
      <c r="D655"/>
      <c r="E655"/>
      <c r="F655"/>
      <c r="G655"/>
      <c r="H655"/>
      <c r="I655"/>
      <c r="J655"/>
      <c r="K655"/>
      <c r="L655"/>
      <c r="M655"/>
      <c r="N655"/>
      <c r="O655"/>
      <c r="P655"/>
      <c r="Q655"/>
      <c r="R655"/>
    </row>
    <row r="656" spans="1:18" x14ac:dyDescent="0.4">
      <c r="A656"/>
      <c r="B656"/>
      <c r="C656"/>
      <c r="D656"/>
      <c r="E656"/>
      <c r="F656"/>
      <c r="G656"/>
      <c r="H656"/>
      <c r="I656"/>
      <c r="J656"/>
      <c r="K656"/>
      <c r="L656"/>
      <c r="M656"/>
      <c r="N656"/>
      <c r="O656"/>
      <c r="P656"/>
      <c r="Q656"/>
      <c r="R656"/>
    </row>
    <row r="657" spans="1:18" x14ac:dyDescent="0.4">
      <c r="A657"/>
      <c r="B657"/>
      <c r="C657"/>
      <c r="D657"/>
      <c r="E657"/>
      <c r="F657"/>
      <c r="G657"/>
      <c r="H657"/>
      <c r="I657"/>
      <c r="J657"/>
      <c r="K657"/>
      <c r="L657"/>
      <c r="M657"/>
      <c r="N657"/>
      <c r="O657"/>
      <c r="P657"/>
      <c r="Q657"/>
      <c r="R657"/>
    </row>
    <row r="658" spans="1:18" x14ac:dyDescent="0.4">
      <c r="A658"/>
      <c r="B658"/>
      <c r="C658"/>
      <c r="D658"/>
      <c r="E658"/>
      <c r="F658"/>
      <c r="G658"/>
      <c r="H658"/>
      <c r="I658"/>
      <c r="J658"/>
      <c r="K658"/>
      <c r="L658"/>
      <c r="M658"/>
      <c r="N658"/>
      <c r="O658"/>
      <c r="P658"/>
      <c r="Q658"/>
      <c r="R658"/>
    </row>
    <row r="659" spans="1:18" x14ac:dyDescent="0.4">
      <c r="A659"/>
      <c r="B659"/>
      <c r="C659"/>
      <c r="D659"/>
      <c r="E659"/>
      <c r="F659"/>
      <c r="G659"/>
      <c r="H659"/>
      <c r="I659"/>
      <c r="J659"/>
      <c r="K659"/>
      <c r="L659"/>
      <c r="M659"/>
      <c r="N659"/>
      <c r="O659"/>
      <c r="P659"/>
      <c r="Q659"/>
      <c r="R659"/>
    </row>
    <row r="660" spans="1:18" x14ac:dyDescent="0.4">
      <c r="A660"/>
      <c r="B660"/>
      <c r="C660"/>
      <c r="D660"/>
      <c r="E660"/>
      <c r="F660"/>
      <c r="G660"/>
      <c r="H660"/>
      <c r="I660"/>
      <c r="J660"/>
      <c r="K660"/>
      <c r="L660"/>
      <c r="M660"/>
      <c r="N660"/>
      <c r="O660"/>
      <c r="P660"/>
      <c r="Q660"/>
      <c r="R660"/>
    </row>
    <row r="661" spans="1:18" x14ac:dyDescent="0.4">
      <c r="A661"/>
      <c r="B661"/>
      <c r="C661"/>
      <c r="D661"/>
      <c r="E661"/>
      <c r="F661"/>
      <c r="G661"/>
      <c r="H661"/>
      <c r="I661"/>
      <c r="J661"/>
      <c r="K661"/>
      <c r="L661"/>
      <c r="M661"/>
      <c r="N661"/>
      <c r="O661"/>
      <c r="P661"/>
      <c r="Q661"/>
      <c r="R661"/>
    </row>
    <row r="662" spans="1:18" x14ac:dyDescent="0.4">
      <c r="A662"/>
      <c r="B662"/>
      <c r="C662"/>
      <c r="D662"/>
      <c r="E662"/>
      <c r="F662"/>
      <c r="G662"/>
      <c r="H662"/>
      <c r="I662"/>
      <c r="J662"/>
      <c r="K662"/>
      <c r="L662"/>
      <c r="M662"/>
      <c r="N662"/>
      <c r="O662"/>
      <c r="P662"/>
      <c r="Q662"/>
      <c r="R662"/>
    </row>
    <row r="663" spans="1:18" x14ac:dyDescent="0.4">
      <c r="A663"/>
      <c r="B663"/>
      <c r="C663"/>
      <c r="D663"/>
      <c r="E663"/>
      <c r="F663"/>
      <c r="G663"/>
      <c r="H663"/>
      <c r="I663"/>
      <c r="J663"/>
      <c r="K663"/>
      <c r="L663"/>
      <c r="M663"/>
      <c r="N663"/>
      <c r="O663"/>
      <c r="P663"/>
      <c r="Q663"/>
      <c r="R663"/>
    </row>
    <row r="664" spans="1:18" x14ac:dyDescent="0.4">
      <c r="A664"/>
      <c r="B664"/>
      <c r="C664"/>
      <c r="D664"/>
      <c r="E664"/>
      <c r="F664"/>
      <c r="G664"/>
      <c r="H664"/>
      <c r="I664"/>
      <c r="J664"/>
      <c r="K664"/>
      <c r="L664"/>
      <c r="M664"/>
      <c r="N664"/>
      <c r="O664"/>
      <c r="P664"/>
      <c r="Q664"/>
      <c r="R664"/>
    </row>
    <row r="665" spans="1:18" x14ac:dyDescent="0.4">
      <c r="A665"/>
      <c r="B665"/>
      <c r="C665"/>
      <c r="D665"/>
      <c r="E665"/>
      <c r="F665"/>
      <c r="G665"/>
      <c r="H665"/>
      <c r="I665"/>
      <c r="J665"/>
      <c r="K665"/>
      <c r="L665"/>
      <c r="M665"/>
      <c r="N665"/>
      <c r="O665"/>
      <c r="P665"/>
      <c r="Q665"/>
      <c r="R665"/>
    </row>
    <row r="666" spans="1:18" x14ac:dyDescent="0.4">
      <c r="A666"/>
      <c r="B666"/>
      <c r="C666"/>
      <c r="D666"/>
      <c r="E666"/>
      <c r="F666"/>
      <c r="G666"/>
      <c r="H666"/>
      <c r="I666"/>
      <c r="J666"/>
      <c r="K666"/>
      <c r="L666"/>
      <c r="M666"/>
      <c r="N666"/>
      <c r="O666"/>
      <c r="P666"/>
      <c r="Q666"/>
      <c r="R666"/>
    </row>
    <row r="667" spans="1:18" x14ac:dyDescent="0.4">
      <c r="A667"/>
      <c r="B667"/>
      <c r="C667"/>
      <c r="D667"/>
      <c r="E667"/>
      <c r="F667"/>
      <c r="G667"/>
      <c r="H667"/>
      <c r="I667"/>
      <c r="J667"/>
      <c r="K667"/>
      <c r="L667"/>
      <c r="M667"/>
      <c r="N667"/>
      <c r="O667"/>
      <c r="P667"/>
      <c r="Q667"/>
      <c r="R667"/>
    </row>
    <row r="668" spans="1:18" x14ac:dyDescent="0.4">
      <c r="A668"/>
      <c r="B668"/>
      <c r="C668"/>
      <c r="D668"/>
      <c r="E668"/>
      <c r="F668"/>
      <c r="G668"/>
      <c r="H668"/>
      <c r="I668"/>
      <c r="J668"/>
      <c r="K668"/>
      <c r="L668"/>
      <c r="M668"/>
      <c r="N668"/>
      <c r="O668"/>
      <c r="P668"/>
      <c r="Q668"/>
      <c r="R668"/>
    </row>
    <row r="669" spans="1:18" x14ac:dyDescent="0.4">
      <c r="A669"/>
      <c r="B669"/>
      <c r="C669"/>
      <c r="D669"/>
      <c r="E669"/>
      <c r="F669"/>
      <c r="G669"/>
      <c r="H669"/>
      <c r="I669"/>
      <c r="J669"/>
      <c r="K669"/>
      <c r="L669"/>
      <c r="M669"/>
      <c r="N669"/>
      <c r="O669"/>
      <c r="P669"/>
      <c r="Q669"/>
      <c r="R669"/>
    </row>
    <row r="670" spans="1:18" x14ac:dyDescent="0.4">
      <c r="A670"/>
      <c r="B670"/>
      <c r="C670"/>
      <c r="D670"/>
      <c r="E670"/>
      <c r="F670"/>
      <c r="G670"/>
      <c r="H670"/>
      <c r="I670"/>
      <c r="J670"/>
      <c r="K670"/>
      <c r="L670"/>
      <c r="M670"/>
      <c r="N670"/>
      <c r="O670"/>
      <c r="P670"/>
      <c r="Q670"/>
      <c r="R670"/>
    </row>
    <row r="671" spans="1:18" x14ac:dyDescent="0.4">
      <c r="A671"/>
      <c r="B671"/>
      <c r="C671"/>
      <c r="D671"/>
      <c r="E671"/>
      <c r="F671"/>
      <c r="G671"/>
      <c r="H671"/>
      <c r="I671"/>
      <c r="J671"/>
      <c r="K671"/>
      <c r="L671"/>
      <c r="M671"/>
      <c r="N671"/>
      <c r="O671"/>
      <c r="P671"/>
      <c r="Q671"/>
      <c r="R671"/>
    </row>
    <row r="672" spans="1:18" x14ac:dyDescent="0.4">
      <c r="A672"/>
      <c r="B672"/>
      <c r="C672"/>
      <c r="D672"/>
      <c r="E672"/>
      <c r="F672"/>
      <c r="G672"/>
      <c r="H672"/>
      <c r="I672"/>
      <c r="J672"/>
      <c r="K672"/>
      <c r="L672"/>
      <c r="M672"/>
      <c r="N672"/>
      <c r="O672"/>
      <c r="P672"/>
      <c r="Q672"/>
      <c r="R672"/>
    </row>
    <row r="673" spans="1:18" x14ac:dyDescent="0.4">
      <c r="A673"/>
      <c r="B673"/>
      <c r="C673"/>
      <c r="D673"/>
      <c r="E673"/>
      <c r="F673"/>
      <c r="G673"/>
      <c r="H673"/>
      <c r="I673"/>
      <c r="J673"/>
      <c r="K673"/>
      <c r="L673"/>
      <c r="M673"/>
      <c r="N673"/>
      <c r="O673"/>
      <c r="P673"/>
      <c r="Q673"/>
      <c r="R673"/>
    </row>
    <row r="674" spans="1:18" x14ac:dyDescent="0.4">
      <c r="A674"/>
      <c r="B674"/>
      <c r="C674"/>
      <c r="D674"/>
      <c r="E674"/>
      <c r="F674"/>
      <c r="G674"/>
      <c r="H674"/>
      <c r="I674"/>
      <c r="J674"/>
      <c r="K674"/>
      <c r="L674"/>
      <c r="M674"/>
      <c r="N674"/>
      <c r="O674"/>
      <c r="P674"/>
      <c r="Q674"/>
      <c r="R674"/>
    </row>
    <row r="675" spans="1:18" x14ac:dyDescent="0.4">
      <c r="A675"/>
      <c r="B675"/>
      <c r="C675"/>
      <c r="D675"/>
      <c r="E675"/>
      <c r="F675"/>
      <c r="G675"/>
      <c r="H675"/>
      <c r="I675"/>
      <c r="J675"/>
      <c r="K675"/>
      <c r="L675"/>
      <c r="M675"/>
      <c r="N675"/>
      <c r="O675"/>
      <c r="P675"/>
      <c r="Q675"/>
      <c r="R675"/>
    </row>
    <row r="676" spans="1:18" x14ac:dyDescent="0.4">
      <c r="A676"/>
      <c r="B676"/>
      <c r="C676"/>
      <c r="D676"/>
      <c r="E676"/>
      <c r="F676"/>
      <c r="G676"/>
      <c r="H676"/>
      <c r="I676"/>
      <c r="J676"/>
      <c r="K676"/>
      <c r="L676"/>
      <c r="M676"/>
      <c r="N676"/>
      <c r="O676"/>
      <c r="P676"/>
      <c r="Q676"/>
      <c r="R676"/>
    </row>
    <row r="677" spans="1:18" x14ac:dyDescent="0.4">
      <c r="A677"/>
      <c r="B677"/>
      <c r="C677"/>
      <c r="D677"/>
      <c r="E677"/>
      <c r="F677"/>
      <c r="G677"/>
      <c r="H677"/>
      <c r="I677"/>
      <c r="J677"/>
      <c r="K677"/>
      <c r="L677"/>
      <c r="M677"/>
      <c r="N677"/>
      <c r="O677"/>
      <c r="P677"/>
      <c r="Q677"/>
      <c r="R677"/>
    </row>
    <row r="678" spans="1:18" x14ac:dyDescent="0.4">
      <c r="A678"/>
      <c r="B678"/>
      <c r="C678"/>
      <c r="D678"/>
      <c r="E678"/>
      <c r="F678"/>
      <c r="G678"/>
      <c r="H678"/>
      <c r="I678"/>
      <c r="J678"/>
      <c r="K678"/>
      <c r="L678"/>
      <c r="M678"/>
      <c r="N678"/>
      <c r="O678"/>
      <c r="P678"/>
      <c r="Q678"/>
      <c r="R678"/>
    </row>
    <row r="679" spans="1:18" x14ac:dyDescent="0.4">
      <c r="A679"/>
      <c r="B679"/>
      <c r="C679"/>
      <c r="D679"/>
      <c r="E679"/>
      <c r="F679"/>
      <c r="G679"/>
      <c r="H679"/>
      <c r="I679"/>
      <c r="J679"/>
      <c r="K679"/>
      <c r="L679"/>
      <c r="M679"/>
      <c r="N679"/>
      <c r="O679"/>
      <c r="P679"/>
      <c r="Q679"/>
      <c r="R679"/>
    </row>
    <row r="680" spans="1:18" x14ac:dyDescent="0.4">
      <c r="A680"/>
      <c r="B680"/>
      <c r="C680"/>
      <c r="D680"/>
      <c r="E680"/>
      <c r="F680"/>
      <c r="G680"/>
      <c r="H680"/>
      <c r="I680"/>
      <c r="J680"/>
      <c r="K680"/>
      <c r="L680"/>
      <c r="M680"/>
      <c r="N680"/>
      <c r="O680"/>
      <c r="P680"/>
      <c r="Q680"/>
      <c r="R680"/>
    </row>
    <row r="681" spans="1:18" x14ac:dyDescent="0.4">
      <c r="A681"/>
      <c r="B681"/>
      <c r="C681"/>
      <c r="D681"/>
      <c r="E681"/>
      <c r="F681"/>
      <c r="G681"/>
      <c r="H681"/>
      <c r="I681"/>
      <c r="J681"/>
      <c r="K681"/>
      <c r="L681"/>
      <c r="M681"/>
      <c r="N681"/>
      <c r="O681"/>
      <c r="P681"/>
      <c r="Q681"/>
      <c r="R681"/>
    </row>
    <row r="682" spans="1:18" x14ac:dyDescent="0.4">
      <c r="A682"/>
      <c r="B682"/>
      <c r="C682"/>
      <c r="D682"/>
      <c r="E682"/>
      <c r="F682"/>
      <c r="G682"/>
      <c r="H682"/>
      <c r="I682"/>
      <c r="J682"/>
      <c r="K682"/>
      <c r="L682"/>
      <c r="M682"/>
      <c r="N682"/>
      <c r="O682"/>
      <c r="P682"/>
      <c r="Q682"/>
      <c r="R682"/>
    </row>
    <row r="683" spans="1:18" x14ac:dyDescent="0.4">
      <c r="A683"/>
      <c r="B683"/>
      <c r="C683"/>
      <c r="D683"/>
      <c r="E683"/>
      <c r="F683"/>
      <c r="G683"/>
      <c r="H683"/>
      <c r="I683"/>
      <c r="J683"/>
      <c r="K683"/>
      <c r="L683"/>
      <c r="M683"/>
      <c r="N683"/>
      <c r="O683"/>
      <c r="P683"/>
      <c r="Q683"/>
      <c r="R683"/>
    </row>
    <row r="684" spans="1:18" x14ac:dyDescent="0.4">
      <c r="A684"/>
      <c r="B684"/>
      <c r="C684"/>
      <c r="D684"/>
      <c r="E684"/>
      <c r="F684"/>
      <c r="G684"/>
      <c r="H684"/>
      <c r="I684"/>
      <c r="J684"/>
      <c r="K684"/>
      <c r="L684"/>
      <c r="M684"/>
      <c r="N684"/>
      <c r="O684"/>
      <c r="P684"/>
      <c r="Q684"/>
      <c r="R684"/>
    </row>
    <row r="685" spans="1:18" x14ac:dyDescent="0.4">
      <c r="A685"/>
      <c r="B685"/>
      <c r="C685"/>
      <c r="D685"/>
      <c r="E685"/>
      <c r="F685"/>
      <c r="G685"/>
      <c r="H685"/>
      <c r="I685"/>
      <c r="J685"/>
      <c r="K685"/>
      <c r="L685"/>
      <c r="M685"/>
      <c r="N685"/>
      <c r="O685"/>
      <c r="P685"/>
      <c r="Q685"/>
      <c r="R685"/>
    </row>
    <row r="686" spans="1:18" x14ac:dyDescent="0.4">
      <c r="A686"/>
      <c r="B686"/>
      <c r="C686"/>
      <c r="D686"/>
      <c r="E686"/>
      <c r="F686"/>
      <c r="G686"/>
      <c r="H686"/>
      <c r="I686"/>
      <c r="J686"/>
      <c r="K686"/>
      <c r="L686"/>
      <c r="M686"/>
      <c r="N686"/>
      <c r="O686"/>
      <c r="P686"/>
      <c r="Q686"/>
      <c r="R686"/>
    </row>
    <row r="687" spans="1:18" x14ac:dyDescent="0.4">
      <c r="A687"/>
      <c r="B687"/>
      <c r="C687"/>
      <c r="D687"/>
      <c r="E687"/>
      <c r="F687"/>
      <c r="G687"/>
      <c r="H687"/>
      <c r="I687"/>
      <c r="J687"/>
      <c r="K687"/>
      <c r="L687"/>
      <c r="M687"/>
      <c r="N687"/>
      <c r="O687"/>
      <c r="P687"/>
      <c r="Q687"/>
      <c r="R687"/>
    </row>
    <row r="688" spans="1:18" x14ac:dyDescent="0.4">
      <c r="A688"/>
      <c r="B688"/>
      <c r="C688"/>
      <c r="D688"/>
      <c r="E688"/>
      <c r="F688"/>
      <c r="G688"/>
      <c r="H688"/>
      <c r="I688"/>
      <c r="J688"/>
      <c r="K688"/>
      <c r="L688"/>
      <c r="M688"/>
      <c r="N688"/>
      <c r="O688"/>
      <c r="P688"/>
      <c r="Q688"/>
      <c r="R688"/>
    </row>
    <row r="689" spans="1:18" x14ac:dyDescent="0.4">
      <c r="A689"/>
      <c r="B689"/>
      <c r="C689"/>
      <c r="D689"/>
      <c r="E689"/>
      <c r="F689"/>
      <c r="G689"/>
      <c r="H689"/>
      <c r="I689"/>
      <c r="J689"/>
      <c r="K689"/>
      <c r="L689"/>
      <c r="M689"/>
      <c r="N689"/>
      <c r="O689"/>
      <c r="P689"/>
      <c r="Q689"/>
      <c r="R689"/>
    </row>
    <row r="690" spans="1:18" x14ac:dyDescent="0.4">
      <c r="A690"/>
      <c r="B690"/>
      <c r="C690"/>
      <c r="D690"/>
      <c r="E690"/>
      <c r="F690"/>
      <c r="G690"/>
      <c r="H690"/>
      <c r="I690"/>
      <c r="J690"/>
      <c r="K690"/>
      <c r="L690"/>
      <c r="M690"/>
      <c r="N690"/>
      <c r="O690"/>
      <c r="P690"/>
      <c r="Q690"/>
      <c r="R690"/>
    </row>
    <row r="691" spans="1:18" x14ac:dyDescent="0.4">
      <c r="A691"/>
      <c r="B691"/>
      <c r="C691"/>
      <c r="D691"/>
      <c r="E691"/>
      <c r="F691"/>
      <c r="G691"/>
      <c r="H691"/>
      <c r="I691"/>
      <c r="J691"/>
      <c r="K691"/>
      <c r="L691"/>
      <c r="M691"/>
      <c r="N691"/>
      <c r="O691"/>
      <c r="P691"/>
      <c r="Q691"/>
      <c r="R691"/>
    </row>
    <row r="692" spans="1:18" x14ac:dyDescent="0.4">
      <c r="A692"/>
      <c r="B692"/>
      <c r="C692"/>
      <c r="D692"/>
      <c r="E692"/>
      <c r="F692"/>
      <c r="G692"/>
      <c r="H692"/>
      <c r="I692"/>
      <c r="J692"/>
      <c r="K692"/>
      <c r="L692"/>
      <c r="M692"/>
      <c r="N692"/>
      <c r="O692"/>
      <c r="P692"/>
      <c r="Q692"/>
      <c r="R692"/>
    </row>
    <row r="693" spans="1:18" x14ac:dyDescent="0.4">
      <c r="A693"/>
      <c r="B693"/>
      <c r="C693"/>
      <c r="D693"/>
      <c r="E693"/>
      <c r="F693"/>
      <c r="G693"/>
      <c r="H693"/>
      <c r="I693"/>
      <c r="J693"/>
      <c r="K693"/>
      <c r="L693"/>
      <c r="M693"/>
      <c r="N693"/>
      <c r="O693"/>
      <c r="P693"/>
      <c r="Q693"/>
      <c r="R693"/>
    </row>
    <row r="694" spans="1:18" x14ac:dyDescent="0.4">
      <c r="A694"/>
      <c r="B694"/>
      <c r="C694"/>
      <c r="D694"/>
      <c r="E694"/>
      <c r="F694"/>
      <c r="G694"/>
      <c r="H694"/>
      <c r="I694"/>
      <c r="J694"/>
      <c r="K694"/>
      <c r="L694"/>
      <c r="M694"/>
      <c r="N694"/>
      <c r="O694"/>
      <c r="P694"/>
      <c r="Q694"/>
      <c r="R694"/>
    </row>
    <row r="695" spans="1:18" x14ac:dyDescent="0.4">
      <c r="A695"/>
      <c r="B695"/>
      <c r="C695"/>
      <c r="D695"/>
      <c r="E695"/>
      <c r="F695"/>
      <c r="G695"/>
      <c r="H695"/>
      <c r="I695"/>
      <c r="J695"/>
      <c r="K695"/>
      <c r="L695"/>
      <c r="M695"/>
      <c r="N695"/>
      <c r="O695"/>
      <c r="P695"/>
      <c r="Q695"/>
      <c r="R695"/>
    </row>
    <row r="696" spans="1:18" x14ac:dyDescent="0.4">
      <c r="A696"/>
      <c r="B696"/>
      <c r="C696"/>
      <c r="D696"/>
      <c r="E696"/>
      <c r="F696"/>
      <c r="G696"/>
      <c r="H696"/>
      <c r="I696"/>
      <c r="J696"/>
      <c r="K696"/>
      <c r="L696"/>
      <c r="M696"/>
      <c r="N696"/>
      <c r="O696"/>
      <c r="P696"/>
      <c r="Q696"/>
      <c r="R696"/>
    </row>
    <row r="697" spans="1:18" x14ac:dyDescent="0.4">
      <c r="A697"/>
      <c r="B697"/>
      <c r="C697"/>
      <c r="D697"/>
      <c r="E697"/>
      <c r="F697"/>
      <c r="G697"/>
      <c r="H697"/>
      <c r="I697"/>
      <c r="J697"/>
      <c r="K697"/>
      <c r="L697"/>
      <c r="M697"/>
      <c r="N697"/>
      <c r="O697"/>
      <c r="P697"/>
      <c r="Q697"/>
      <c r="R697"/>
    </row>
    <row r="698" spans="1:18" x14ac:dyDescent="0.4">
      <c r="A698"/>
      <c r="B698"/>
      <c r="C698"/>
      <c r="D698"/>
      <c r="E698"/>
      <c r="F698"/>
      <c r="G698"/>
      <c r="H698"/>
      <c r="I698"/>
      <c r="J698"/>
      <c r="K698"/>
      <c r="L698"/>
      <c r="M698"/>
      <c r="N698"/>
      <c r="O698"/>
      <c r="P698"/>
      <c r="Q698"/>
      <c r="R698"/>
    </row>
    <row r="699" spans="1:18" x14ac:dyDescent="0.4">
      <c r="A699"/>
      <c r="B699"/>
      <c r="C699"/>
      <c r="D699"/>
      <c r="E699"/>
      <c r="F699"/>
      <c r="G699"/>
      <c r="H699"/>
      <c r="I699"/>
      <c r="J699"/>
      <c r="K699"/>
      <c r="L699"/>
      <c r="M699"/>
      <c r="N699"/>
      <c r="O699"/>
      <c r="P699"/>
      <c r="Q699"/>
      <c r="R699"/>
    </row>
    <row r="700" spans="1:18" x14ac:dyDescent="0.4">
      <c r="A700"/>
      <c r="B700"/>
      <c r="C700"/>
      <c r="D700"/>
      <c r="E700"/>
      <c r="F700"/>
      <c r="G700"/>
      <c r="H700"/>
      <c r="I700"/>
      <c r="J700"/>
      <c r="K700"/>
      <c r="L700"/>
      <c r="M700"/>
      <c r="N700"/>
      <c r="O700"/>
      <c r="P700"/>
      <c r="Q700"/>
      <c r="R700"/>
    </row>
    <row r="701" spans="1:18" x14ac:dyDescent="0.4">
      <c r="A701"/>
      <c r="B701"/>
      <c r="C701"/>
      <c r="D701"/>
      <c r="E701"/>
      <c r="F701"/>
      <c r="G701"/>
      <c r="H701"/>
      <c r="I701"/>
      <c r="J701"/>
      <c r="K701"/>
      <c r="L701"/>
      <c r="M701"/>
      <c r="N701"/>
      <c r="O701"/>
      <c r="P701"/>
      <c r="Q701"/>
      <c r="R701"/>
    </row>
    <row r="702" spans="1:18" x14ac:dyDescent="0.4">
      <c r="A702"/>
      <c r="B702"/>
      <c r="C702"/>
      <c r="D702"/>
      <c r="E702"/>
      <c r="F702"/>
      <c r="G702"/>
      <c r="H702"/>
      <c r="I702"/>
      <c r="J702"/>
      <c r="K702"/>
      <c r="L702"/>
      <c r="M702"/>
      <c r="N702"/>
      <c r="O702"/>
      <c r="P702"/>
      <c r="Q702"/>
      <c r="R702"/>
    </row>
    <row r="703" spans="1:18" x14ac:dyDescent="0.4">
      <c r="A703"/>
      <c r="B703"/>
      <c r="C703"/>
      <c r="D703"/>
      <c r="E703"/>
      <c r="F703"/>
      <c r="G703"/>
      <c r="H703"/>
      <c r="I703"/>
      <c r="J703"/>
      <c r="K703"/>
      <c r="L703"/>
      <c r="M703"/>
      <c r="N703"/>
      <c r="O703"/>
      <c r="P703"/>
      <c r="Q703"/>
      <c r="R703"/>
    </row>
    <row r="704" spans="1:18" x14ac:dyDescent="0.4">
      <c r="A704"/>
      <c r="B704"/>
      <c r="C704"/>
      <c r="D704"/>
      <c r="E704"/>
      <c r="F704"/>
      <c r="G704"/>
      <c r="H704"/>
      <c r="I704"/>
      <c r="J704"/>
      <c r="K704"/>
      <c r="L704"/>
      <c r="M704"/>
      <c r="N704"/>
      <c r="O704"/>
      <c r="P704"/>
      <c r="Q704"/>
      <c r="R704"/>
    </row>
    <row r="705" spans="1:18" x14ac:dyDescent="0.4">
      <c r="A705"/>
      <c r="B705"/>
      <c r="C705"/>
      <c r="D705"/>
      <c r="E705"/>
      <c r="F705"/>
      <c r="G705"/>
      <c r="H705"/>
      <c r="I705"/>
      <c r="J705"/>
      <c r="K705"/>
      <c r="L705"/>
      <c r="M705"/>
      <c r="N705"/>
      <c r="O705"/>
      <c r="P705"/>
      <c r="Q705"/>
      <c r="R705"/>
    </row>
    <row r="706" spans="1:18" x14ac:dyDescent="0.4">
      <c r="A706"/>
      <c r="B706"/>
      <c r="C706"/>
      <c r="D706"/>
      <c r="E706"/>
      <c r="F706"/>
      <c r="G706"/>
      <c r="H706"/>
      <c r="I706"/>
      <c r="J706"/>
      <c r="K706"/>
      <c r="L706"/>
      <c r="M706"/>
      <c r="N706"/>
      <c r="O706"/>
      <c r="P706"/>
      <c r="Q706"/>
      <c r="R706"/>
    </row>
    <row r="707" spans="1:18" x14ac:dyDescent="0.4">
      <c r="A707"/>
      <c r="B707"/>
      <c r="C707"/>
      <c r="D707"/>
      <c r="E707"/>
      <c r="F707"/>
      <c r="G707"/>
      <c r="H707"/>
      <c r="I707"/>
      <c r="J707"/>
      <c r="K707"/>
      <c r="L707"/>
      <c r="M707"/>
      <c r="N707"/>
      <c r="O707"/>
      <c r="P707"/>
      <c r="Q707"/>
      <c r="R707"/>
    </row>
    <row r="708" spans="1:18" x14ac:dyDescent="0.4">
      <c r="A708"/>
      <c r="B708"/>
      <c r="C708"/>
      <c r="D708"/>
      <c r="E708"/>
      <c r="F708"/>
      <c r="G708"/>
      <c r="H708"/>
      <c r="I708"/>
      <c r="J708"/>
      <c r="K708"/>
      <c r="L708"/>
      <c r="M708"/>
      <c r="N708"/>
      <c r="O708"/>
      <c r="P708"/>
      <c r="Q708"/>
      <c r="R708"/>
    </row>
    <row r="709" spans="1:18" x14ac:dyDescent="0.4">
      <c r="A709"/>
      <c r="B709"/>
      <c r="C709"/>
      <c r="D709"/>
      <c r="E709"/>
      <c r="F709"/>
      <c r="G709"/>
      <c r="H709"/>
      <c r="I709"/>
      <c r="J709"/>
      <c r="K709"/>
      <c r="L709"/>
      <c r="M709"/>
      <c r="N709"/>
      <c r="O709"/>
      <c r="P709"/>
      <c r="Q709"/>
      <c r="R709"/>
    </row>
    <row r="710" spans="1:18" x14ac:dyDescent="0.4">
      <c r="A710"/>
      <c r="B710"/>
      <c r="C710"/>
      <c r="D710"/>
      <c r="E710"/>
      <c r="F710"/>
      <c r="G710"/>
      <c r="H710"/>
      <c r="I710"/>
      <c r="J710"/>
      <c r="K710"/>
      <c r="L710"/>
      <c r="M710"/>
      <c r="N710"/>
      <c r="O710"/>
      <c r="P710"/>
      <c r="Q710"/>
      <c r="R710"/>
    </row>
    <row r="711" spans="1:18" x14ac:dyDescent="0.4">
      <c r="A711"/>
      <c r="B711"/>
      <c r="C711"/>
      <c r="D711"/>
      <c r="E711"/>
      <c r="F711"/>
      <c r="G711"/>
      <c r="H711"/>
      <c r="I711"/>
      <c r="J711"/>
      <c r="K711"/>
      <c r="L711"/>
      <c r="M711"/>
      <c r="N711"/>
      <c r="O711"/>
      <c r="P711"/>
      <c r="Q711"/>
      <c r="R711"/>
    </row>
    <row r="712" spans="1:18" x14ac:dyDescent="0.4">
      <c r="A712"/>
      <c r="B712"/>
      <c r="C712"/>
      <c r="D712"/>
      <c r="E712"/>
      <c r="F712"/>
      <c r="G712"/>
      <c r="H712"/>
      <c r="I712"/>
      <c r="J712"/>
      <c r="K712"/>
      <c r="L712"/>
      <c r="M712"/>
      <c r="N712"/>
      <c r="O712"/>
      <c r="P712"/>
      <c r="Q712"/>
      <c r="R712"/>
    </row>
    <row r="713" spans="1:18" x14ac:dyDescent="0.4">
      <c r="A713"/>
      <c r="B713"/>
      <c r="C713"/>
      <c r="D713"/>
      <c r="E713"/>
      <c r="F713"/>
      <c r="G713"/>
      <c r="H713"/>
      <c r="I713"/>
      <c r="J713"/>
      <c r="K713"/>
      <c r="L713"/>
      <c r="M713"/>
      <c r="N713"/>
      <c r="O713"/>
      <c r="P713"/>
      <c r="Q713"/>
      <c r="R713"/>
    </row>
    <row r="714" spans="1:18" x14ac:dyDescent="0.4">
      <c r="A714"/>
      <c r="B714"/>
      <c r="C714"/>
      <c r="D714"/>
      <c r="E714"/>
      <c r="F714"/>
      <c r="G714"/>
      <c r="H714"/>
      <c r="I714"/>
      <c r="J714"/>
      <c r="K714"/>
      <c r="L714"/>
      <c r="M714"/>
      <c r="N714"/>
      <c r="O714"/>
      <c r="P714"/>
      <c r="Q714"/>
      <c r="R714"/>
    </row>
    <row r="715" spans="1:18" x14ac:dyDescent="0.4">
      <c r="A715"/>
      <c r="B715"/>
      <c r="C715"/>
      <c r="D715"/>
      <c r="E715"/>
      <c r="F715"/>
      <c r="G715"/>
      <c r="H715"/>
      <c r="I715"/>
      <c r="J715"/>
      <c r="K715"/>
      <c r="L715"/>
      <c r="M715"/>
      <c r="N715"/>
      <c r="O715"/>
      <c r="P715"/>
      <c r="Q715"/>
      <c r="R715"/>
    </row>
    <row r="716" spans="1:18" x14ac:dyDescent="0.4">
      <c r="A716"/>
      <c r="B716"/>
      <c r="C716"/>
      <c r="D716"/>
      <c r="E716"/>
      <c r="F716"/>
      <c r="G716"/>
      <c r="H716"/>
      <c r="I716"/>
      <c r="J716"/>
      <c r="K716"/>
      <c r="L716"/>
      <c r="M716"/>
      <c r="N716"/>
      <c r="O716"/>
      <c r="P716"/>
      <c r="Q716"/>
      <c r="R716"/>
    </row>
    <row r="717" spans="1:18" x14ac:dyDescent="0.4">
      <c r="A717"/>
      <c r="B717"/>
      <c r="C717"/>
      <c r="D717"/>
      <c r="E717"/>
      <c r="F717"/>
      <c r="G717"/>
      <c r="H717"/>
      <c r="I717"/>
      <c r="J717"/>
      <c r="K717"/>
      <c r="L717"/>
      <c r="M717"/>
      <c r="N717"/>
      <c r="O717"/>
      <c r="P717"/>
      <c r="Q717"/>
      <c r="R717"/>
    </row>
    <row r="718" spans="1:18" x14ac:dyDescent="0.4">
      <c r="A718"/>
      <c r="B718"/>
      <c r="C718"/>
      <c r="D718"/>
      <c r="E718"/>
      <c r="F718"/>
      <c r="G718"/>
      <c r="H718"/>
      <c r="I718"/>
      <c r="J718"/>
      <c r="K718"/>
      <c r="L718"/>
      <c r="M718"/>
      <c r="N718"/>
      <c r="O718"/>
      <c r="P718"/>
      <c r="Q718"/>
      <c r="R718"/>
    </row>
    <row r="719" spans="1:18" x14ac:dyDescent="0.4">
      <c r="A719"/>
      <c r="B719"/>
      <c r="C719"/>
      <c r="D719"/>
      <c r="E719"/>
      <c r="F719"/>
      <c r="G719"/>
      <c r="H719"/>
      <c r="I719"/>
      <c r="J719"/>
      <c r="K719"/>
      <c r="L719"/>
      <c r="M719"/>
      <c r="N719"/>
      <c r="O719"/>
      <c r="P719"/>
      <c r="Q719"/>
      <c r="R719"/>
    </row>
    <row r="720" spans="1:18" x14ac:dyDescent="0.4">
      <c r="A720"/>
      <c r="B720"/>
      <c r="C720"/>
      <c r="D720"/>
      <c r="E720"/>
      <c r="F720"/>
      <c r="G720"/>
      <c r="H720"/>
      <c r="I720"/>
      <c r="J720"/>
      <c r="K720"/>
      <c r="L720"/>
      <c r="M720"/>
      <c r="N720"/>
      <c r="O720"/>
      <c r="P720"/>
      <c r="Q720"/>
      <c r="R720"/>
    </row>
    <row r="721" spans="1:18" x14ac:dyDescent="0.4">
      <c r="A721"/>
      <c r="B721"/>
      <c r="C721"/>
      <c r="D721"/>
      <c r="E721"/>
      <c r="F721"/>
      <c r="G721"/>
      <c r="H721"/>
      <c r="I721"/>
      <c r="J721"/>
      <c r="K721"/>
      <c r="L721"/>
      <c r="M721"/>
      <c r="N721"/>
      <c r="O721"/>
      <c r="P721"/>
      <c r="Q721"/>
      <c r="R721"/>
    </row>
    <row r="722" spans="1:18" x14ac:dyDescent="0.4">
      <c r="A722"/>
      <c r="B722"/>
      <c r="C722"/>
      <c r="D722"/>
      <c r="E722"/>
      <c r="F722"/>
      <c r="G722"/>
      <c r="H722"/>
      <c r="I722"/>
      <c r="J722"/>
      <c r="K722"/>
      <c r="L722"/>
      <c r="M722"/>
      <c r="N722"/>
      <c r="O722"/>
      <c r="P722"/>
      <c r="Q722"/>
      <c r="R722"/>
    </row>
    <row r="723" spans="1:18" x14ac:dyDescent="0.4">
      <c r="A723"/>
      <c r="B723"/>
      <c r="C723"/>
      <c r="D723"/>
      <c r="E723"/>
      <c r="F723"/>
      <c r="G723"/>
      <c r="H723"/>
      <c r="I723"/>
      <c r="J723"/>
      <c r="K723"/>
      <c r="L723"/>
      <c r="M723"/>
      <c r="N723"/>
      <c r="O723"/>
      <c r="P723"/>
      <c r="Q723"/>
      <c r="R723"/>
    </row>
    <row r="724" spans="1:18" x14ac:dyDescent="0.4">
      <c r="A724"/>
      <c r="B724"/>
      <c r="C724"/>
      <c r="D724"/>
      <c r="E724"/>
      <c r="F724"/>
      <c r="G724"/>
      <c r="H724"/>
      <c r="I724"/>
      <c r="J724"/>
      <c r="K724"/>
      <c r="L724"/>
      <c r="M724"/>
      <c r="N724"/>
      <c r="O724"/>
      <c r="P724"/>
      <c r="Q724"/>
      <c r="R724"/>
    </row>
    <row r="725" spans="1:18" x14ac:dyDescent="0.4">
      <c r="A725"/>
      <c r="B725"/>
      <c r="C725"/>
      <c r="D725"/>
      <c r="E725"/>
      <c r="F725"/>
      <c r="G725"/>
      <c r="H725"/>
      <c r="I725"/>
      <c r="J725"/>
      <c r="K725"/>
      <c r="L725"/>
      <c r="M725"/>
      <c r="N725"/>
      <c r="O725"/>
      <c r="P725"/>
      <c r="Q725"/>
      <c r="R725"/>
    </row>
    <row r="726" spans="1:18" x14ac:dyDescent="0.4">
      <c r="A726"/>
      <c r="B726"/>
      <c r="C726"/>
      <c r="D726"/>
      <c r="E726"/>
      <c r="F726"/>
      <c r="G726"/>
      <c r="H726"/>
      <c r="I726"/>
      <c r="J726"/>
      <c r="K726"/>
      <c r="L726"/>
      <c r="M726"/>
      <c r="N726"/>
      <c r="O726"/>
      <c r="P726"/>
      <c r="Q726"/>
      <c r="R726"/>
    </row>
    <row r="727" spans="1:18" x14ac:dyDescent="0.4">
      <c r="A727"/>
      <c r="B727"/>
      <c r="C727"/>
      <c r="D727"/>
      <c r="E727"/>
      <c r="F727"/>
      <c r="G727"/>
      <c r="H727"/>
      <c r="I727"/>
      <c r="J727"/>
      <c r="K727"/>
      <c r="L727"/>
      <c r="M727"/>
      <c r="N727"/>
      <c r="O727"/>
      <c r="P727"/>
      <c r="Q727"/>
      <c r="R727"/>
    </row>
    <row r="728" spans="1:18" x14ac:dyDescent="0.4">
      <c r="A728"/>
      <c r="B728"/>
      <c r="C728"/>
      <c r="D728"/>
      <c r="E728"/>
      <c r="F728"/>
      <c r="G728"/>
      <c r="H728"/>
      <c r="I728"/>
      <c r="J728"/>
      <c r="K728"/>
      <c r="L728"/>
      <c r="M728"/>
      <c r="N728"/>
      <c r="O728"/>
      <c r="P728"/>
      <c r="Q728"/>
      <c r="R728"/>
    </row>
    <row r="729" spans="1:18" x14ac:dyDescent="0.4">
      <c r="A729"/>
      <c r="B729"/>
      <c r="C729"/>
      <c r="D729"/>
      <c r="E729"/>
      <c r="F729"/>
      <c r="G729"/>
      <c r="H729"/>
      <c r="I729"/>
      <c r="J729"/>
      <c r="K729"/>
      <c r="L729"/>
      <c r="M729"/>
      <c r="N729"/>
      <c r="O729"/>
      <c r="P729"/>
      <c r="Q729"/>
      <c r="R729"/>
    </row>
    <row r="730" spans="1:18" x14ac:dyDescent="0.4">
      <c r="A730"/>
      <c r="B730"/>
      <c r="C730"/>
      <c r="D730"/>
      <c r="E730"/>
      <c r="F730"/>
      <c r="G730"/>
      <c r="H730"/>
      <c r="I730"/>
      <c r="J730"/>
      <c r="K730"/>
      <c r="L730"/>
      <c r="M730"/>
      <c r="N730"/>
      <c r="O730"/>
      <c r="P730"/>
      <c r="Q730"/>
      <c r="R730"/>
    </row>
    <row r="731" spans="1:18" x14ac:dyDescent="0.4">
      <c r="A731"/>
      <c r="B731"/>
      <c r="C731"/>
      <c r="D731"/>
      <c r="E731"/>
      <c r="F731"/>
      <c r="G731"/>
      <c r="H731"/>
      <c r="I731"/>
      <c r="J731"/>
      <c r="K731"/>
      <c r="L731"/>
      <c r="M731"/>
      <c r="N731"/>
      <c r="O731"/>
      <c r="P731"/>
      <c r="Q731"/>
      <c r="R731"/>
    </row>
    <row r="732" spans="1:18" x14ac:dyDescent="0.4">
      <c r="A732"/>
      <c r="B732"/>
      <c r="C732"/>
      <c r="D732"/>
      <c r="E732"/>
      <c r="F732"/>
      <c r="G732"/>
      <c r="H732"/>
      <c r="I732"/>
      <c r="J732"/>
      <c r="K732"/>
      <c r="L732"/>
      <c r="M732"/>
      <c r="N732"/>
      <c r="O732"/>
      <c r="P732"/>
      <c r="Q732"/>
      <c r="R732"/>
    </row>
    <row r="733" spans="1:18" x14ac:dyDescent="0.4">
      <c r="A733"/>
      <c r="B733"/>
      <c r="C733"/>
      <c r="D733"/>
      <c r="E733"/>
      <c r="F733"/>
      <c r="G733"/>
      <c r="H733"/>
      <c r="I733"/>
      <c r="J733"/>
      <c r="K733"/>
      <c r="L733"/>
      <c r="M733"/>
      <c r="N733"/>
      <c r="O733"/>
      <c r="P733"/>
      <c r="Q733"/>
      <c r="R733"/>
    </row>
    <row r="734" spans="1:18" x14ac:dyDescent="0.4">
      <c r="A734"/>
      <c r="B734"/>
      <c r="C734"/>
      <c r="D734"/>
      <c r="E734"/>
      <c r="F734"/>
      <c r="G734"/>
      <c r="H734"/>
      <c r="I734"/>
      <c r="J734"/>
      <c r="K734"/>
      <c r="L734"/>
      <c r="M734"/>
      <c r="N734"/>
      <c r="O734"/>
      <c r="P734"/>
      <c r="Q734"/>
      <c r="R734"/>
    </row>
    <row r="735" spans="1:18" x14ac:dyDescent="0.4">
      <c r="A735"/>
      <c r="B735"/>
      <c r="C735"/>
      <c r="D735"/>
      <c r="E735"/>
      <c r="F735"/>
      <c r="G735"/>
      <c r="H735"/>
      <c r="I735"/>
      <c r="J735"/>
      <c r="K735"/>
      <c r="L735"/>
      <c r="M735"/>
      <c r="N735"/>
      <c r="O735"/>
      <c r="P735"/>
      <c r="Q735"/>
      <c r="R735"/>
    </row>
    <row r="736" spans="1:18" x14ac:dyDescent="0.4">
      <c r="A736"/>
      <c r="B736"/>
      <c r="C736"/>
      <c r="D736"/>
      <c r="E736"/>
      <c r="F736"/>
      <c r="G736"/>
      <c r="H736"/>
      <c r="I736"/>
      <c r="J736"/>
      <c r="K736"/>
      <c r="L736"/>
      <c r="M736"/>
      <c r="N736"/>
      <c r="O736"/>
      <c r="P736"/>
      <c r="Q736"/>
      <c r="R736"/>
    </row>
    <row r="737" spans="1:18" x14ac:dyDescent="0.4">
      <c r="A737"/>
      <c r="B737"/>
      <c r="C737"/>
      <c r="D737"/>
      <c r="E737"/>
      <c r="F737"/>
      <c r="G737"/>
      <c r="H737"/>
      <c r="I737"/>
      <c r="J737"/>
      <c r="K737"/>
      <c r="L737"/>
      <c r="M737"/>
      <c r="N737"/>
      <c r="O737"/>
      <c r="P737"/>
      <c r="Q737"/>
      <c r="R737"/>
    </row>
    <row r="738" spans="1:18" x14ac:dyDescent="0.4">
      <c r="A738"/>
      <c r="B738"/>
      <c r="C738"/>
      <c r="D738"/>
      <c r="E738"/>
      <c r="F738"/>
      <c r="G738"/>
      <c r="H738"/>
      <c r="I738"/>
      <c r="J738"/>
      <c r="K738"/>
      <c r="L738"/>
      <c r="M738"/>
      <c r="N738"/>
      <c r="O738"/>
      <c r="P738"/>
      <c r="Q738"/>
      <c r="R738"/>
    </row>
    <row r="739" spans="1:18" x14ac:dyDescent="0.4">
      <c r="A739"/>
      <c r="B739"/>
      <c r="C739"/>
      <c r="D739"/>
      <c r="E739"/>
      <c r="F739"/>
      <c r="G739"/>
      <c r="H739"/>
      <c r="I739"/>
      <c r="J739"/>
      <c r="K739"/>
      <c r="L739"/>
      <c r="M739"/>
      <c r="N739"/>
      <c r="O739"/>
      <c r="P739"/>
      <c r="Q739"/>
      <c r="R739"/>
    </row>
    <row r="740" spans="1:18" x14ac:dyDescent="0.4">
      <c r="A740"/>
      <c r="B740"/>
      <c r="C740"/>
      <c r="D740"/>
      <c r="E740"/>
      <c r="F740"/>
      <c r="G740"/>
      <c r="H740"/>
      <c r="I740"/>
      <c r="J740"/>
      <c r="K740"/>
      <c r="L740"/>
      <c r="M740"/>
      <c r="N740"/>
      <c r="O740"/>
      <c r="P740"/>
      <c r="Q740"/>
      <c r="R740"/>
    </row>
    <row r="741" spans="1:18" x14ac:dyDescent="0.4">
      <c r="A741"/>
      <c r="B741"/>
      <c r="C741"/>
      <c r="D741"/>
      <c r="E741"/>
      <c r="F741"/>
      <c r="G741"/>
      <c r="H741"/>
      <c r="I741"/>
      <c r="J741"/>
      <c r="K741"/>
      <c r="L741"/>
      <c r="M741"/>
      <c r="N741"/>
      <c r="O741"/>
      <c r="P741"/>
      <c r="Q741"/>
      <c r="R741"/>
    </row>
    <row r="742" spans="1:18" x14ac:dyDescent="0.4">
      <c r="A742"/>
      <c r="B742"/>
      <c r="C742"/>
      <c r="D742"/>
      <c r="E742"/>
      <c r="F742"/>
      <c r="G742"/>
      <c r="H742"/>
      <c r="I742"/>
      <c r="J742"/>
      <c r="K742"/>
      <c r="L742"/>
      <c r="M742"/>
      <c r="N742"/>
      <c r="O742"/>
      <c r="P742"/>
      <c r="Q742"/>
      <c r="R742"/>
    </row>
    <row r="743" spans="1:18" x14ac:dyDescent="0.4">
      <c r="A743"/>
      <c r="B743"/>
      <c r="C743"/>
      <c r="D743"/>
      <c r="E743"/>
      <c r="F743"/>
      <c r="G743"/>
      <c r="H743"/>
      <c r="I743"/>
      <c r="J743"/>
      <c r="K743"/>
      <c r="L743"/>
      <c r="M743"/>
      <c r="N743"/>
      <c r="O743"/>
      <c r="P743"/>
      <c r="Q743"/>
      <c r="R743"/>
    </row>
    <row r="744" spans="1:18" x14ac:dyDescent="0.4">
      <c r="A744"/>
      <c r="B744"/>
      <c r="C744"/>
      <c r="D744"/>
      <c r="E744"/>
      <c r="F744"/>
      <c r="G744"/>
      <c r="H744"/>
      <c r="I744"/>
      <c r="J744"/>
      <c r="K744"/>
      <c r="L744"/>
      <c r="M744"/>
      <c r="N744"/>
      <c r="O744"/>
      <c r="P744"/>
      <c r="Q744"/>
      <c r="R744"/>
    </row>
    <row r="745" spans="1:18" x14ac:dyDescent="0.4">
      <c r="A745"/>
      <c r="B745"/>
      <c r="C745"/>
      <c r="D745"/>
      <c r="E745"/>
      <c r="F745"/>
      <c r="G745"/>
      <c r="H745"/>
      <c r="I745"/>
      <c r="J745"/>
      <c r="K745"/>
      <c r="L745"/>
      <c r="M745"/>
      <c r="N745"/>
      <c r="O745"/>
      <c r="P745"/>
      <c r="Q745"/>
      <c r="R745"/>
    </row>
    <row r="746" spans="1:18" x14ac:dyDescent="0.4">
      <c r="A746"/>
      <c r="B746"/>
      <c r="C746"/>
      <c r="D746"/>
      <c r="E746"/>
      <c r="F746"/>
      <c r="G746"/>
      <c r="H746"/>
      <c r="I746"/>
      <c r="J746"/>
      <c r="K746"/>
      <c r="L746"/>
      <c r="M746"/>
      <c r="N746"/>
      <c r="O746"/>
      <c r="P746"/>
      <c r="Q746"/>
      <c r="R746"/>
    </row>
    <row r="747" spans="1:18" x14ac:dyDescent="0.4">
      <c r="A747"/>
      <c r="B747"/>
      <c r="C747"/>
      <c r="D747"/>
      <c r="E747"/>
      <c r="F747"/>
      <c r="G747"/>
      <c r="H747"/>
      <c r="I747"/>
      <c r="J747"/>
      <c r="K747"/>
      <c r="L747"/>
      <c r="M747"/>
      <c r="N747"/>
      <c r="O747"/>
      <c r="P747"/>
      <c r="Q747"/>
      <c r="R747"/>
    </row>
    <row r="748" spans="1:18" x14ac:dyDescent="0.4">
      <c r="A748"/>
      <c r="B748"/>
      <c r="C748"/>
      <c r="D748"/>
      <c r="E748"/>
      <c r="F748"/>
      <c r="G748"/>
      <c r="H748"/>
      <c r="I748"/>
      <c r="J748"/>
      <c r="K748"/>
      <c r="L748"/>
      <c r="M748"/>
      <c r="N748"/>
      <c r="O748"/>
      <c r="P748"/>
      <c r="Q748"/>
      <c r="R748"/>
    </row>
    <row r="749" spans="1:18" x14ac:dyDescent="0.4">
      <c r="A749"/>
      <c r="B749"/>
      <c r="C749"/>
      <c r="D749"/>
      <c r="E749"/>
      <c r="F749"/>
      <c r="G749"/>
      <c r="H749"/>
      <c r="I749"/>
      <c r="J749"/>
      <c r="K749"/>
      <c r="L749"/>
      <c r="M749"/>
      <c r="N749"/>
      <c r="O749"/>
      <c r="P749"/>
      <c r="Q749"/>
      <c r="R749"/>
    </row>
    <row r="750" spans="1:18" x14ac:dyDescent="0.4">
      <c r="A750"/>
      <c r="B750"/>
      <c r="C750"/>
      <c r="D750"/>
      <c r="E750"/>
      <c r="F750"/>
      <c r="G750"/>
      <c r="H750"/>
      <c r="I750"/>
      <c r="J750"/>
      <c r="K750"/>
      <c r="L750"/>
      <c r="M750"/>
      <c r="N750"/>
      <c r="O750"/>
      <c r="P750"/>
      <c r="Q750"/>
      <c r="R750"/>
    </row>
    <row r="751" spans="1:18" x14ac:dyDescent="0.4">
      <c r="A751"/>
      <c r="B751"/>
      <c r="C751"/>
      <c r="D751"/>
      <c r="E751"/>
      <c r="F751"/>
      <c r="G751"/>
      <c r="H751"/>
      <c r="I751"/>
      <c r="J751"/>
      <c r="K751"/>
      <c r="L751"/>
      <c r="M751"/>
      <c r="N751"/>
      <c r="O751"/>
      <c r="P751"/>
      <c r="Q751"/>
      <c r="R751"/>
    </row>
    <row r="752" spans="1:18" x14ac:dyDescent="0.4">
      <c r="A752"/>
      <c r="B752"/>
      <c r="C752"/>
      <c r="D752"/>
      <c r="E752"/>
      <c r="F752"/>
      <c r="G752"/>
      <c r="H752"/>
      <c r="I752"/>
      <c r="J752"/>
      <c r="K752"/>
      <c r="L752"/>
      <c r="M752"/>
      <c r="N752"/>
      <c r="O752"/>
      <c r="P752"/>
      <c r="Q752"/>
      <c r="R752"/>
    </row>
    <row r="753" spans="1:18" x14ac:dyDescent="0.4">
      <c r="A753"/>
      <c r="B753"/>
      <c r="C753"/>
      <c r="D753"/>
      <c r="E753"/>
      <c r="F753"/>
      <c r="G753"/>
      <c r="H753"/>
      <c r="I753"/>
      <c r="J753"/>
      <c r="K753"/>
      <c r="L753"/>
      <c r="M753"/>
      <c r="N753"/>
      <c r="O753"/>
      <c r="P753"/>
      <c r="Q753"/>
      <c r="R753"/>
    </row>
    <row r="754" spans="1:18" x14ac:dyDescent="0.4">
      <c r="A754"/>
      <c r="B754"/>
      <c r="C754"/>
      <c r="D754"/>
      <c r="E754"/>
      <c r="F754"/>
      <c r="G754"/>
      <c r="H754"/>
      <c r="I754"/>
      <c r="J754"/>
      <c r="K754"/>
      <c r="L754"/>
      <c r="M754"/>
      <c r="N754"/>
      <c r="O754"/>
      <c r="P754"/>
      <c r="Q754"/>
      <c r="R754"/>
    </row>
    <row r="755" spans="1:18" x14ac:dyDescent="0.4">
      <c r="A755"/>
      <c r="B755"/>
      <c r="C755"/>
      <c r="D755"/>
      <c r="E755"/>
      <c r="F755"/>
      <c r="G755"/>
      <c r="H755"/>
      <c r="I755"/>
      <c r="J755"/>
      <c r="K755"/>
      <c r="L755"/>
      <c r="M755"/>
      <c r="N755"/>
      <c r="O755"/>
      <c r="P755"/>
      <c r="Q755"/>
      <c r="R755"/>
    </row>
    <row r="756" spans="1:18" x14ac:dyDescent="0.4">
      <c r="A756"/>
      <c r="B756"/>
      <c r="C756"/>
      <c r="D756"/>
      <c r="E756"/>
      <c r="F756"/>
      <c r="G756"/>
      <c r="H756"/>
      <c r="I756"/>
      <c r="J756"/>
      <c r="K756"/>
      <c r="L756"/>
      <c r="M756"/>
      <c r="N756"/>
      <c r="O756"/>
      <c r="P756"/>
      <c r="Q756"/>
      <c r="R756"/>
    </row>
    <row r="757" spans="1:18" x14ac:dyDescent="0.4">
      <c r="A757"/>
      <c r="B757"/>
      <c r="C757"/>
      <c r="D757"/>
      <c r="E757"/>
      <c r="F757"/>
      <c r="G757"/>
      <c r="H757"/>
      <c r="I757"/>
      <c r="J757"/>
      <c r="K757"/>
      <c r="L757"/>
      <c r="M757"/>
      <c r="N757"/>
      <c r="O757"/>
      <c r="P757"/>
      <c r="Q757"/>
      <c r="R757"/>
    </row>
    <row r="758" spans="1:18" x14ac:dyDescent="0.4">
      <c r="A758"/>
      <c r="B758"/>
      <c r="C758"/>
      <c r="D758"/>
      <c r="E758"/>
      <c r="F758"/>
      <c r="G758"/>
      <c r="H758"/>
      <c r="I758"/>
      <c r="J758"/>
      <c r="K758"/>
      <c r="L758"/>
      <c r="M758"/>
      <c r="N758"/>
      <c r="O758"/>
      <c r="P758"/>
      <c r="Q758"/>
      <c r="R758"/>
    </row>
    <row r="759" spans="1:18" x14ac:dyDescent="0.4">
      <c r="A759"/>
      <c r="B759"/>
      <c r="C759"/>
      <c r="D759"/>
      <c r="E759"/>
      <c r="F759"/>
      <c r="G759"/>
      <c r="H759"/>
      <c r="I759"/>
      <c r="J759"/>
      <c r="K759"/>
      <c r="L759"/>
      <c r="M759"/>
      <c r="N759"/>
      <c r="O759"/>
      <c r="P759"/>
      <c r="Q759"/>
      <c r="R759"/>
    </row>
    <row r="760" spans="1:18" x14ac:dyDescent="0.4">
      <c r="A760"/>
      <c r="B760"/>
      <c r="C760"/>
      <c r="D760"/>
      <c r="E760"/>
      <c r="F760"/>
      <c r="G760"/>
      <c r="H760"/>
      <c r="I760"/>
      <c r="J760"/>
      <c r="K760"/>
      <c r="L760"/>
      <c r="M760"/>
      <c r="N760"/>
      <c r="O760"/>
      <c r="P760"/>
      <c r="Q760"/>
      <c r="R760"/>
    </row>
    <row r="761" spans="1:18" x14ac:dyDescent="0.4">
      <c r="A761"/>
      <c r="B761"/>
      <c r="C761"/>
      <c r="D761"/>
      <c r="E761"/>
      <c r="F761"/>
      <c r="G761"/>
      <c r="H761"/>
      <c r="I761"/>
      <c r="J761"/>
      <c r="K761"/>
      <c r="L761"/>
      <c r="M761"/>
      <c r="N761"/>
      <c r="O761"/>
      <c r="P761"/>
      <c r="Q761"/>
      <c r="R761"/>
    </row>
    <row r="762" spans="1:18" x14ac:dyDescent="0.4">
      <c r="A762"/>
      <c r="B762"/>
      <c r="C762"/>
      <c r="D762"/>
      <c r="E762"/>
      <c r="F762"/>
      <c r="G762"/>
      <c r="H762"/>
      <c r="I762"/>
      <c r="J762"/>
      <c r="K762"/>
      <c r="L762"/>
      <c r="M762"/>
      <c r="N762"/>
      <c r="O762"/>
      <c r="P762"/>
      <c r="Q762"/>
      <c r="R762"/>
    </row>
    <row r="763" spans="1:18" x14ac:dyDescent="0.4">
      <c r="A763"/>
      <c r="B763"/>
      <c r="C763"/>
      <c r="D763"/>
      <c r="E763"/>
      <c r="F763"/>
      <c r="G763"/>
      <c r="H763"/>
      <c r="I763"/>
      <c r="J763"/>
      <c r="K763"/>
      <c r="L763"/>
      <c r="M763"/>
      <c r="N763"/>
      <c r="O763"/>
      <c r="P763"/>
      <c r="Q763"/>
      <c r="R763"/>
    </row>
    <row r="764" spans="1:18" x14ac:dyDescent="0.4">
      <c r="A764"/>
      <c r="B764"/>
      <c r="C764"/>
      <c r="D764"/>
      <c r="E764"/>
      <c r="F764"/>
      <c r="G764"/>
      <c r="H764"/>
      <c r="I764"/>
      <c r="J764"/>
      <c r="K764"/>
      <c r="L764"/>
      <c r="M764"/>
      <c r="N764"/>
      <c r="O764"/>
      <c r="P764"/>
      <c r="Q764"/>
      <c r="R764"/>
    </row>
    <row r="765" spans="1:18" x14ac:dyDescent="0.4">
      <c r="A765"/>
      <c r="B765"/>
      <c r="C765"/>
      <c r="D765"/>
      <c r="E765"/>
      <c r="F765"/>
      <c r="G765"/>
      <c r="H765"/>
      <c r="I765"/>
      <c r="J765"/>
      <c r="K765"/>
      <c r="L765"/>
      <c r="M765"/>
      <c r="N765"/>
      <c r="O765"/>
      <c r="P765"/>
      <c r="Q765"/>
      <c r="R765"/>
    </row>
    <row r="766" spans="1:18" x14ac:dyDescent="0.4">
      <c r="A766"/>
      <c r="B766"/>
      <c r="C766"/>
      <c r="D766"/>
      <c r="E766"/>
      <c r="F766"/>
      <c r="G766"/>
      <c r="H766"/>
      <c r="I766"/>
      <c r="J766"/>
      <c r="K766"/>
      <c r="L766"/>
      <c r="M766"/>
      <c r="N766"/>
      <c r="O766"/>
      <c r="P766"/>
      <c r="Q766"/>
      <c r="R766"/>
    </row>
    <row r="767" spans="1:18" x14ac:dyDescent="0.4">
      <c r="A767"/>
      <c r="B767"/>
      <c r="C767"/>
      <c r="D767"/>
      <c r="E767"/>
      <c r="F767"/>
      <c r="G767"/>
      <c r="H767"/>
      <c r="I767"/>
      <c r="J767"/>
      <c r="K767"/>
      <c r="L767"/>
      <c r="M767"/>
      <c r="N767"/>
      <c r="O767"/>
      <c r="P767"/>
      <c r="Q767"/>
      <c r="R767"/>
    </row>
    <row r="768" spans="1:18" x14ac:dyDescent="0.4">
      <c r="A768"/>
      <c r="B768"/>
      <c r="C768"/>
      <c r="D768"/>
      <c r="E768"/>
      <c r="F768"/>
      <c r="G768"/>
      <c r="H768"/>
      <c r="I768"/>
      <c r="J768"/>
      <c r="K768"/>
      <c r="L768"/>
      <c r="M768"/>
      <c r="N768"/>
      <c r="O768"/>
      <c r="P768"/>
      <c r="Q768"/>
      <c r="R768"/>
    </row>
    <row r="769" spans="1:18" x14ac:dyDescent="0.4">
      <c r="A769"/>
      <c r="B769"/>
      <c r="C769"/>
      <c r="D769"/>
      <c r="E769"/>
      <c r="F769"/>
      <c r="G769"/>
      <c r="H769"/>
      <c r="I769"/>
      <c r="J769"/>
      <c r="K769"/>
      <c r="L769"/>
      <c r="M769"/>
      <c r="N769"/>
      <c r="O769"/>
      <c r="P769"/>
      <c r="Q769"/>
      <c r="R769"/>
    </row>
    <row r="770" spans="1:18" x14ac:dyDescent="0.4">
      <c r="A770"/>
      <c r="B770"/>
      <c r="C770"/>
      <c r="D770"/>
      <c r="E770"/>
      <c r="F770"/>
      <c r="G770"/>
      <c r="H770"/>
      <c r="I770"/>
      <c r="J770"/>
      <c r="K770"/>
      <c r="L770"/>
      <c r="M770"/>
      <c r="N770"/>
      <c r="O770"/>
      <c r="P770"/>
      <c r="Q770"/>
      <c r="R770"/>
    </row>
    <row r="771" spans="1:18" x14ac:dyDescent="0.4">
      <c r="A771"/>
      <c r="B771"/>
      <c r="C771"/>
      <c r="D771"/>
      <c r="E771"/>
      <c r="F771"/>
      <c r="G771"/>
      <c r="H771"/>
      <c r="I771"/>
      <c r="J771"/>
      <c r="K771"/>
      <c r="L771"/>
      <c r="M771"/>
      <c r="N771"/>
      <c r="O771"/>
      <c r="P771"/>
      <c r="Q771"/>
      <c r="R771"/>
    </row>
    <row r="772" spans="1:18" x14ac:dyDescent="0.4">
      <c r="A772"/>
      <c r="B772"/>
      <c r="C772"/>
      <c r="D772"/>
      <c r="E772"/>
      <c r="F772"/>
      <c r="G772"/>
      <c r="H772"/>
      <c r="I772"/>
      <c r="J772"/>
      <c r="K772"/>
      <c r="L772"/>
      <c r="M772"/>
      <c r="N772"/>
      <c r="O772"/>
      <c r="P772"/>
      <c r="Q772"/>
      <c r="R772"/>
    </row>
    <row r="773" spans="1:18" x14ac:dyDescent="0.4">
      <c r="A773"/>
      <c r="B773"/>
      <c r="C773"/>
      <c r="D773"/>
      <c r="E773"/>
      <c r="F773"/>
      <c r="G773"/>
      <c r="H773"/>
      <c r="I773"/>
      <c r="J773"/>
      <c r="K773"/>
      <c r="L773"/>
      <c r="M773"/>
      <c r="N773"/>
      <c r="O773"/>
      <c r="P773"/>
      <c r="Q773"/>
      <c r="R773"/>
    </row>
    <row r="774" spans="1:18" x14ac:dyDescent="0.4">
      <c r="A774"/>
      <c r="B774"/>
      <c r="C774"/>
      <c r="D774"/>
      <c r="E774"/>
      <c r="F774"/>
      <c r="G774"/>
      <c r="H774"/>
      <c r="I774"/>
      <c r="J774"/>
      <c r="K774"/>
      <c r="L774"/>
      <c r="M774"/>
      <c r="N774"/>
      <c r="O774"/>
      <c r="P774"/>
      <c r="Q774"/>
      <c r="R774"/>
    </row>
    <row r="775" spans="1:18" x14ac:dyDescent="0.4">
      <c r="A775"/>
      <c r="B775"/>
      <c r="C775"/>
      <c r="D775"/>
      <c r="E775"/>
      <c r="F775"/>
      <c r="G775"/>
      <c r="H775"/>
      <c r="I775"/>
      <c r="J775"/>
      <c r="K775"/>
      <c r="L775"/>
      <c r="M775"/>
      <c r="N775"/>
      <c r="O775"/>
      <c r="P775"/>
      <c r="Q775"/>
      <c r="R775"/>
    </row>
    <row r="776" spans="1:18" x14ac:dyDescent="0.4">
      <c r="A776"/>
      <c r="B776"/>
      <c r="C776"/>
      <c r="D776"/>
      <c r="E776"/>
      <c r="F776"/>
      <c r="G776"/>
      <c r="H776"/>
      <c r="I776"/>
      <c r="J776"/>
      <c r="K776"/>
      <c r="L776"/>
      <c r="M776"/>
      <c r="N776"/>
      <c r="O776"/>
      <c r="P776"/>
      <c r="Q776"/>
      <c r="R776"/>
    </row>
    <row r="777" spans="1:18" x14ac:dyDescent="0.4">
      <c r="A777"/>
      <c r="B777"/>
      <c r="C777"/>
      <c r="D777"/>
      <c r="E777"/>
      <c r="F777"/>
      <c r="G777"/>
      <c r="H777"/>
      <c r="I777"/>
      <c r="J777"/>
      <c r="K777"/>
      <c r="L777"/>
      <c r="M777"/>
      <c r="N777"/>
      <c r="O777"/>
      <c r="P777"/>
      <c r="Q777"/>
      <c r="R777"/>
    </row>
    <row r="778" spans="1:18" x14ac:dyDescent="0.4">
      <c r="A778"/>
      <c r="B778"/>
      <c r="C778"/>
      <c r="D778"/>
      <c r="E778"/>
      <c r="F778"/>
      <c r="G778"/>
      <c r="H778"/>
      <c r="I778"/>
      <c r="J778"/>
      <c r="K778"/>
      <c r="L778"/>
      <c r="M778"/>
      <c r="N778"/>
      <c r="O778"/>
      <c r="P778"/>
      <c r="Q778"/>
      <c r="R778"/>
    </row>
    <row r="779" spans="1:18" x14ac:dyDescent="0.4">
      <c r="A779"/>
      <c r="B779"/>
      <c r="C779"/>
      <c r="D779"/>
      <c r="E779"/>
      <c r="F779"/>
      <c r="G779"/>
      <c r="H779"/>
      <c r="I779"/>
      <c r="J779"/>
      <c r="K779"/>
      <c r="L779"/>
      <c r="M779"/>
      <c r="N779"/>
      <c r="O779"/>
      <c r="P779"/>
      <c r="Q779"/>
      <c r="R779"/>
    </row>
    <row r="780" spans="1:18" x14ac:dyDescent="0.4">
      <c r="A780"/>
      <c r="B780"/>
      <c r="C780"/>
      <c r="D780"/>
      <c r="E780"/>
      <c r="F780"/>
      <c r="G780"/>
      <c r="H780"/>
      <c r="I780"/>
      <c r="J780"/>
      <c r="K780"/>
      <c r="L780"/>
      <c r="M780"/>
      <c r="N780"/>
      <c r="O780"/>
      <c r="P780"/>
      <c r="Q780"/>
      <c r="R780"/>
    </row>
    <row r="781" spans="1:18" x14ac:dyDescent="0.4">
      <c r="A781"/>
      <c r="B781"/>
      <c r="C781"/>
      <c r="D781"/>
      <c r="E781"/>
      <c r="F781"/>
      <c r="G781"/>
      <c r="H781"/>
      <c r="I781"/>
      <c r="J781"/>
      <c r="K781"/>
      <c r="L781"/>
      <c r="M781"/>
      <c r="N781"/>
      <c r="O781"/>
      <c r="P781"/>
      <c r="Q781"/>
      <c r="R781"/>
    </row>
    <row r="782" spans="1:18" x14ac:dyDescent="0.4">
      <c r="A782"/>
      <c r="B782"/>
      <c r="C782"/>
      <c r="D782"/>
      <c r="E782"/>
      <c r="F782"/>
      <c r="G782"/>
      <c r="H782"/>
      <c r="I782"/>
      <c r="J782"/>
      <c r="K782"/>
      <c r="L782"/>
      <c r="M782"/>
      <c r="N782"/>
      <c r="O782"/>
      <c r="P782"/>
      <c r="Q782"/>
      <c r="R782"/>
    </row>
    <row r="783" spans="1:18" x14ac:dyDescent="0.4">
      <c r="A783"/>
      <c r="B783"/>
      <c r="C783"/>
      <c r="D783"/>
      <c r="E783"/>
      <c r="F783"/>
      <c r="G783"/>
      <c r="H783"/>
      <c r="I783"/>
      <c r="J783"/>
      <c r="K783"/>
      <c r="L783"/>
      <c r="M783"/>
      <c r="N783"/>
      <c r="O783"/>
      <c r="P783"/>
      <c r="Q783"/>
      <c r="R783"/>
    </row>
    <row r="784" spans="1:18" x14ac:dyDescent="0.4">
      <c r="A784"/>
      <c r="B784"/>
      <c r="C784"/>
      <c r="D784"/>
      <c r="E784"/>
      <c r="F784"/>
      <c r="G784"/>
      <c r="H784"/>
      <c r="I784"/>
      <c r="J784"/>
      <c r="K784"/>
      <c r="L784"/>
      <c r="M784"/>
      <c r="N784"/>
      <c r="O784"/>
      <c r="P784"/>
      <c r="Q784"/>
      <c r="R784"/>
    </row>
    <row r="785" spans="1:18" x14ac:dyDescent="0.4">
      <c r="A785"/>
      <c r="B785"/>
      <c r="C785"/>
      <c r="D785"/>
      <c r="E785"/>
      <c r="F785"/>
      <c r="G785"/>
      <c r="H785"/>
      <c r="I785"/>
      <c r="J785"/>
      <c r="K785"/>
      <c r="L785"/>
      <c r="M785"/>
      <c r="N785"/>
      <c r="O785"/>
      <c r="P785"/>
      <c r="Q785"/>
      <c r="R785"/>
    </row>
    <row r="786" spans="1:18" x14ac:dyDescent="0.4">
      <c r="A786"/>
      <c r="B786"/>
      <c r="C786"/>
      <c r="D786"/>
      <c r="E786"/>
      <c r="F786"/>
      <c r="G786"/>
      <c r="H786"/>
      <c r="I786"/>
      <c r="J786"/>
      <c r="K786"/>
      <c r="L786"/>
      <c r="M786"/>
      <c r="N786"/>
      <c r="O786"/>
      <c r="P786"/>
      <c r="Q786"/>
      <c r="R786"/>
    </row>
    <row r="787" spans="1:18" x14ac:dyDescent="0.4">
      <c r="A787"/>
      <c r="B787"/>
      <c r="C787"/>
      <c r="D787"/>
      <c r="E787"/>
      <c r="F787"/>
      <c r="G787"/>
      <c r="H787"/>
      <c r="I787"/>
      <c r="J787"/>
      <c r="K787"/>
      <c r="L787"/>
      <c r="M787"/>
      <c r="N787"/>
      <c r="O787"/>
      <c r="P787"/>
      <c r="Q787"/>
      <c r="R787"/>
    </row>
    <row r="788" spans="1:18" x14ac:dyDescent="0.4">
      <c r="A788"/>
      <c r="B788"/>
      <c r="C788"/>
      <c r="D788"/>
      <c r="E788"/>
      <c r="F788"/>
      <c r="G788"/>
      <c r="H788"/>
      <c r="I788"/>
      <c r="J788"/>
      <c r="K788"/>
      <c r="L788"/>
      <c r="M788"/>
      <c r="N788"/>
      <c r="O788"/>
      <c r="P788"/>
      <c r="Q788"/>
      <c r="R788"/>
    </row>
    <row r="789" spans="1:18" x14ac:dyDescent="0.4">
      <c r="A789"/>
      <c r="B789"/>
      <c r="C789"/>
      <c r="D789"/>
      <c r="E789"/>
      <c r="F789"/>
      <c r="G789"/>
      <c r="H789"/>
      <c r="I789"/>
      <c r="J789"/>
      <c r="K789"/>
      <c r="L789"/>
      <c r="M789"/>
      <c r="N789"/>
      <c r="O789"/>
      <c r="P789"/>
      <c r="Q789"/>
      <c r="R789"/>
    </row>
    <row r="790" spans="1:18" x14ac:dyDescent="0.4">
      <c r="A790"/>
      <c r="B790"/>
      <c r="C790"/>
      <c r="D790"/>
      <c r="E790"/>
      <c r="F790"/>
      <c r="G790"/>
      <c r="H790"/>
      <c r="I790"/>
      <c r="J790"/>
      <c r="K790"/>
      <c r="L790"/>
      <c r="M790"/>
      <c r="N790"/>
      <c r="O790"/>
      <c r="P790"/>
      <c r="Q790"/>
      <c r="R790"/>
    </row>
    <row r="791" spans="1:18" x14ac:dyDescent="0.4">
      <c r="A791"/>
      <c r="B791"/>
      <c r="C791"/>
      <c r="D791"/>
      <c r="E791"/>
      <c r="F791"/>
      <c r="G791"/>
      <c r="H791"/>
      <c r="I791"/>
      <c r="J791"/>
      <c r="K791"/>
      <c r="L791"/>
      <c r="M791"/>
      <c r="N791"/>
      <c r="O791"/>
      <c r="P791"/>
      <c r="Q791"/>
      <c r="R791"/>
    </row>
    <row r="792" spans="1:18" x14ac:dyDescent="0.4">
      <c r="A792"/>
      <c r="B792"/>
      <c r="C792"/>
      <c r="D792"/>
      <c r="E792"/>
      <c r="F792"/>
      <c r="G792"/>
      <c r="H792"/>
      <c r="I792"/>
      <c r="J792"/>
      <c r="K792"/>
      <c r="L792"/>
      <c r="M792"/>
      <c r="N792"/>
      <c r="O792"/>
      <c r="P792"/>
      <c r="Q792"/>
      <c r="R792"/>
    </row>
    <row r="793" spans="1:18" x14ac:dyDescent="0.4">
      <c r="A793"/>
      <c r="B793"/>
      <c r="C793"/>
      <c r="D793"/>
      <c r="E793"/>
      <c r="F793"/>
      <c r="G793"/>
      <c r="H793"/>
      <c r="I793"/>
      <c r="J793"/>
      <c r="K793"/>
      <c r="L793"/>
      <c r="M793"/>
      <c r="N793"/>
      <c r="O793"/>
      <c r="P793"/>
      <c r="Q793"/>
      <c r="R793"/>
    </row>
    <row r="794" spans="1:18" x14ac:dyDescent="0.4">
      <c r="A794"/>
      <c r="B794"/>
      <c r="C794"/>
      <c r="D794"/>
      <c r="E794"/>
      <c r="F794"/>
      <c r="G794"/>
      <c r="H794"/>
      <c r="I794"/>
      <c r="J794"/>
      <c r="K794"/>
      <c r="L794"/>
      <c r="M794"/>
      <c r="N794"/>
      <c r="O794"/>
      <c r="P794"/>
      <c r="Q794"/>
      <c r="R794"/>
    </row>
    <row r="795" spans="1:18" x14ac:dyDescent="0.4">
      <c r="A795"/>
      <c r="B795"/>
      <c r="C795"/>
      <c r="D795"/>
      <c r="E795"/>
      <c r="F795"/>
      <c r="G795"/>
      <c r="H795"/>
      <c r="I795"/>
      <c r="J795"/>
      <c r="K795"/>
      <c r="L795"/>
      <c r="M795"/>
      <c r="N795"/>
      <c r="O795"/>
      <c r="P795"/>
      <c r="Q795"/>
      <c r="R795"/>
    </row>
    <row r="796" spans="1:18" x14ac:dyDescent="0.4">
      <c r="A796"/>
      <c r="B796"/>
      <c r="C796"/>
      <c r="D796"/>
      <c r="E796"/>
      <c r="F796"/>
      <c r="G796"/>
      <c r="H796"/>
      <c r="I796"/>
      <c r="J796"/>
      <c r="K796"/>
      <c r="L796"/>
      <c r="M796"/>
      <c r="N796"/>
      <c r="O796"/>
      <c r="P796"/>
      <c r="Q796"/>
      <c r="R796"/>
    </row>
    <row r="797" spans="1:18" x14ac:dyDescent="0.4">
      <c r="A797"/>
      <c r="B797"/>
      <c r="C797"/>
      <c r="D797"/>
      <c r="E797"/>
      <c r="F797"/>
      <c r="G797"/>
      <c r="H797"/>
      <c r="I797"/>
      <c r="J797"/>
      <c r="K797"/>
      <c r="L797"/>
      <c r="M797"/>
      <c r="N797"/>
      <c r="O797"/>
      <c r="P797"/>
      <c r="Q797"/>
      <c r="R797"/>
    </row>
    <row r="798" spans="1:18" x14ac:dyDescent="0.4">
      <c r="A798"/>
      <c r="B798"/>
      <c r="C798"/>
      <c r="D798"/>
      <c r="E798"/>
      <c r="F798"/>
      <c r="G798"/>
      <c r="H798"/>
      <c r="I798"/>
      <c r="J798"/>
      <c r="K798"/>
      <c r="L798"/>
      <c r="M798"/>
      <c r="N798"/>
      <c r="O798"/>
      <c r="P798"/>
      <c r="Q798"/>
      <c r="R798"/>
    </row>
    <row r="799" spans="1:18" x14ac:dyDescent="0.4">
      <c r="A799"/>
      <c r="B799"/>
      <c r="C799"/>
      <c r="D799"/>
      <c r="E799"/>
      <c r="F799"/>
      <c r="G799"/>
      <c r="H799"/>
      <c r="I799"/>
      <c r="J799"/>
      <c r="K799"/>
      <c r="L799"/>
      <c r="M799"/>
      <c r="N799"/>
      <c r="O799"/>
      <c r="P799"/>
      <c r="Q799"/>
      <c r="R799"/>
    </row>
    <row r="800" spans="1:18" x14ac:dyDescent="0.4">
      <c r="A800"/>
      <c r="B800"/>
      <c r="C800"/>
      <c r="D800"/>
      <c r="E800"/>
      <c r="F800"/>
      <c r="G800"/>
      <c r="H800"/>
      <c r="I800"/>
      <c r="J800"/>
      <c r="K800"/>
      <c r="L800"/>
      <c r="M800"/>
      <c r="N800"/>
      <c r="O800"/>
      <c r="P800"/>
      <c r="Q800"/>
      <c r="R800"/>
    </row>
    <row r="801" spans="1:18" x14ac:dyDescent="0.4">
      <c r="A801"/>
      <c r="B801"/>
      <c r="C801"/>
      <c r="D801"/>
      <c r="E801"/>
      <c r="F801"/>
      <c r="G801"/>
      <c r="H801"/>
      <c r="I801"/>
      <c r="J801"/>
      <c r="K801"/>
      <c r="L801"/>
      <c r="M801"/>
      <c r="N801"/>
      <c r="O801"/>
      <c r="P801"/>
      <c r="Q801"/>
      <c r="R801"/>
    </row>
    <row r="802" spans="1:18" x14ac:dyDescent="0.4">
      <c r="A802"/>
      <c r="B802"/>
      <c r="C802"/>
      <c r="D802"/>
      <c r="E802"/>
      <c r="F802"/>
      <c r="G802"/>
      <c r="H802"/>
      <c r="I802"/>
      <c r="J802"/>
      <c r="K802"/>
      <c r="L802"/>
      <c r="M802"/>
      <c r="N802"/>
      <c r="O802"/>
      <c r="P802"/>
      <c r="Q802"/>
      <c r="R802"/>
    </row>
    <row r="803" spans="1:18" x14ac:dyDescent="0.4">
      <c r="A803"/>
      <c r="B803"/>
      <c r="C803"/>
      <c r="D803"/>
      <c r="E803"/>
      <c r="F803"/>
      <c r="G803"/>
      <c r="H803"/>
      <c r="I803"/>
      <c r="J803"/>
      <c r="K803"/>
      <c r="L803"/>
      <c r="M803"/>
      <c r="N803"/>
      <c r="O803"/>
      <c r="P803"/>
      <c r="Q803"/>
      <c r="R803"/>
    </row>
    <row r="804" spans="1:18" x14ac:dyDescent="0.4">
      <c r="A804"/>
      <c r="B804"/>
      <c r="C804"/>
      <c r="D804"/>
      <c r="E804"/>
      <c r="F804"/>
      <c r="G804"/>
      <c r="H804"/>
      <c r="I804"/>
      <c r="J804"/>
      <c r="K804"/>
      <c r="L804"/>
      <c r="M804"/>
      <c r="N804"/>
      <c r="O804"/>
      <c r="P804"/>
      <c r="Q804"/>
      <c r="R804"/>
    </row>
    <row r="805" spans="1:18" x14ac:dyDescent="0.4">
      <c r="A805"/>
      <c r="B805"/>
      <c r="C805"/>
      <c r="D805"/>
      <c r="E805"/>
      <c r="F805"/>
      <c r="G805"/>
      <c r="H805"/>
      <c r="I805"/>
      <c r="J805"/>
      <c r="K805"/>
      <c r="L805"/>
      <c r="M805"/>
      <c r="N805"/>
      <c r="O805"/>
      <c r="P805"/>
      <c r="Q805"/>
      <c r="R805"/>
    </row>
    <row r="806" spans="1:18" x14ac:dyDescent="0.4">
      <c r="A806"/>
      <c r="B806"/>
      <c r="C806"/>
      <c r="D806"/>
      <c r="E806"/>
      <c r="F806"/>
      <c r="G806"/>
      <c r="H806"/>
      <c r="I806"/>
      <c r="J806"/>
      <c r="K806"/>
      <c r="L806"/>
      <c r="M806"/>
      <c r="N806"/>
      <c r="O806"/>
      <c r="P806"/>
      <c r="Q806"/>
      <c r="R806"/>
    </row>
    <row r="807" spans="1:18" x14ac:dyDescent="0.4">
      <c r="A807"/>
      <c r="B807"/>
      <c r="C807"/>
      <c r="D807"/>
      <c r="E807"/>
      <c r="F807"/>
      <c r="G807"/>
      <c r="H807"/>
      <c r="I807"/>
      <c r="J807"/>
      <c r="K807"/>
      <c r="L807"/>
      <c r="M807"/>
      <c r="N807"/>
      <c r="O807"/>
      <c r="P807"/>
      <c r="Q807"/>
      <c r="R807"/>
    </row>
    <row r="808" spans="1:18" x14ac:dyDescent="0.4">
      <c r="A808"/>
      <c r="B808"/>
      <c r="C808"/>
      <c r="D808"/>
      <c r="E808"/>
      <c r="F808"/>
      <c r="G808"/>
      <c r="H808"/>
      <c r="I808"/>
      <c r="J808"/>
      <c r="K808"/>
      <c r="L808"/>
      <c r="M808"/>
      <c r="N808"/>
      <c r="O808"/>
      <c r="P808"/>
      <c r="Q808"/>
      <c r="R808"/>
    </row>
    <row r="809" spans="1:18" x14ac:dyDescent="0.4">
      <c r="A809"/>
      <c r="B809"/>
      <c r="C809"/>
      <c r="D809"/>
      <c r="E809"/>
      <c r="F809"/>
      <c r="G809"/>
      <c r="H809"/>
      <c r="I809"/>
      <c r="J809"/>
      <c r="K809"/>
      <c r="L809"/>
      <c r="M809"/>
      <c r="N809"/>
      <c r="O809"/>
      <c r="P809"/>
      <c r="Q809"/>
      <c r="R809"/>
    </row>
    <row r="810" spans="1:18" x14ac:dyDescent="0.4">
      <c r="A810"/>
      <c r="B810"/>
      <c r="C810"/>
      <c r="D810"/>
      <c r="E810"/>
      <c r="F810"/>
      <c r="G810"/>
      <c r="H810"/>
      <c r="I810"/>
      <c r="J810"/>
      <c r="K810"/>
      <c r="L810"/>
      <c r="M810"/>
      <c r="N810"/>
      <c r="O810"/>
      <c r="P810"/>
      <c r="Q810"/>
      <c r="R810"/>
    </row>
    <row r="811" spans="1:18" x14ac:dyDescent="0.4">
      <c r="A811"/>
      <c r="B811"/>
      <c r="C811"/>
      <c r="D811"/>
      <c r="E811"/>
      <c r="F811"/>
      <c r="G811"/>
      <c r="H811"/>
      <c r="I811"/>
      <c r="J811"/>
      <c r="K811"/>
      <c r="L811"/>
      <c r="M811"/>
      <c r="N811"/>
      <c r="O811"/>
      <c r="P811"/>
      <c r="Q811"/>
      <c r="R811"/>
    </row>
    <row r="812" spans="1:18" x14ac:dyDescent="0.4">
      <c r="A812"/>
      <c r="B812"/>
      <c r="C812"/>
      <c r="D812"/>
      <c r="E812"/>
      <c r="F812"/>
      <c r="G812"/>
      <c r="H812"/>
      <c r="I812"/>
      <c r="J812"/>
      <c r="K812"/>
      <c r="L812"/>
      <c r="M812"/>
      <c r="N812"/>
      <c r="O812"/>
      <c r="P812"/>
      <c r="Q812"/>
      <c r="R812"/>
    </row>
    <row r="813" spans="1:18" x14ac:dyDescent="0.4">
      <c r="A813"/>
      <c r="B813"/>
      <c r="C813"/>
      <c r="D813"/>
      <c r="E813"/>
      <c r="F813"/>
      <c r="G813"/>
      <c r="H813"/>
      <c r="I813"/>
      <c r="J813"/>
      <c r="K813"/>
      <c r="L813"/>
      <c r="M813"/>
      <c r="N813"/>
      <c r="O813"/>
      <c r="P813"/>
      <c r="Q813"/>
      <c r="R813"/>
    </row>
    <row r="814" spans="1:18" x14ac:dyDescent="0.4">
      <c r="A814"/>
      <c r="B814"/>
      <c r="C814"/>
      <c r="D814"/>
      <c r="E814"/>
      <c r="F814"/>
      <c r="G814"/>
      <c r="H814"/>
      <c r="I814"/>
      <c r="J814"/>
      <c r="K814"/>
      <c r="L814"/>
      <c r="M814"/>
      <c r="N814"/>
      <c r="O814"/>
      <c r="P814"/>
      <c r="Q814"/>
      <c r="R814"/>
    </row>
    <row r="815" spans="1:18" x14ac:dyDescent="0.4">
      <c r="A815"/>
      <c r="B815"/>
      <c r="C815"/>
      <c r="D815"/>
      <c r="E815"/>
      <c r="F815"/>
      <c r="G815"/>
      <c r="H815"/>
      <c r="I815"/>
      <c r="J815"/>
      <c r="K815"/>
      <c r="L815"/>
      <c r="M815"/>
      <c r="N815"/>
      <c r="O815"/>
      <c r="P815"/>
      <c r="Q815"/>
      <c r="R815"/>
    </row>
    <row r="816" spans="1:18" x14ac:dyDescent="0.4">
      <c r="A816"/>
      <c r="B816"/>
      <c r="C816"/>
      <c r="D816"/>
      <c r="E816"/>
      <c r="F816"/>
      <c r="G816"/>
      <c r="H816"/>
      <c r="I816"/>
      <c r="J816"/>
      <c r="K816"/>
      <c r="L816"/>
      <c r="M816"/>
      <c r="N816"/>
      <c r="O816"/>
      <c r="P816"/>
      <c r="Q816"/>
      <c r="R816"/>
    </row>
    <row r="817" spans="1:18" x14ac:dyDescent="0.4">
      <c r="A817"/>
      <c r="B817"/>
      <c r="C817"/>
      <c r="D817"/>
      <c r="E817"/>
      <c r="F817"/>
      <c r="G817"/>
      <c r="H817"/>
      <c r="I817"/>
      <c r="J817"/>
      <c r="K817"/>
      <c r="L817"/>
      <c r="M817"/>
      <c r="N817"/>
      <c r="O817"/>
      <c r="P817"/>
      <c r="Q817"/>
      <c r="R817"/>
    </row>
    <row r="818" spans="1:18" x14ac:dyDescent="0.4">
      <c r="A818"/>
      <c r="B818"/>
      <c r="C818"/>
      <c r="D818"/>
      <c r="E818"/>
      <c r="F818"/>
      <c r="G818"/>
      <c r="H818"/>
      <c r="I818"/>
      <c r="J818"/>
      <c r="K818"/>
      <c r="L818"/>
      <c r="M818"/>
      <c r="N818"/>
      <c r="O818"/>
      <c r="P818"/>
      <c r="Q818"/>
      <c r="R818"/>
    </row>
    <row r="819" spans="1:18" x14ac:dyDescent="0.4">
      <c r="A819"/>
      <c r="B819"/>
      <c r="C819"/>
      <c r="D819"/>
      <c r="E819"/>
      <c r="F819"/>
      <c r="G819"/>
      <c r="H819"/>
      <c r="I819"/>
      <c r="J819"/>
      <c r="K819"/>
      <c r="L819"/>
      <c r="M819"/>
      <c r="N819"/>
      <c r="O819"/>
      <c r="P819"/>
      <c r="Q819"/>
      <c r="R819"/>
    </row>
    <row r="820" spans="1:18" x14ac:dyDescent="0.4">
      <c r="A820"/>
      <c r="B820"/>
      <c r="C820"/>
      <c r="D820"/>
      <c r="E820"/>
      <c r="F820"/>
      <c r="G820"/>
      <c r="H820"/>
      <c r="I820"/>
      <c r="J820"/>
      <c r="K820"/>
      <c r="L820"/>
      <c r="M820"/>
      <c r="N820"/>
      <c r="O820"/>
      <c r="P820"/>
      <c r="Q820"/>
      <c r="R820"/>
    </row>
    <row r="821" spans="1:18" x14ac:dyDescent="0.4">
      <c r="A821"/>
      <c r="B821"/>
      <c r="C821"/>
      <c r="D821"/>
      <c r="E821"/>
      <c r="F821"/>
      <c r="G821"/>
      <c r="H821"/>
      <c r="I821"/>
      <c r="J821"/>
      <c r="K821"/>
      <c r="L821"/>
      <c r="M821"/>
      <c r="N821"/>
      <c r="O821"/>
      <c r="P821"/>
      <c r="Q821"/>
      <c r="R821"/>
    </row>
    <row r="822" spans="1:18" x14ac:dyDescent="0.4">
      <c r="A822"/>
      <c r="B822"/>
      <c r="C822"/>
      <c r="D822"/>
      <c r="E822"/>
      <c r="F822"/>
      <c r="G822"/>
      <c r="H822"/>
      <c r="I822"/>
      <c r="J822"/>
      <c r="K822"/>
      <c r="L822"/>
      <c r="M822"/>
      <c r="N822"/>
      <c r="O822"/>
      <c r="P822"/>
      <c r="Q822"/>
      <c r="R822"/>
    </row>
    <row r="823" spans="1:18" x14ac:dyDescent="0.4">
      <c r="A823"/>
      <c r="B823"/>
      <c r="C823"/>
      <c r="D823"/>
      <c r="E823"/>
      <c r="F823"/>
      <c r="G823"/>
      <c r="H823"/>
      <c r="I823"/>
      <c r="J823"/>
      <c r="K823"/>
      <c r="L823"/>
      <c r="M823"/>
      <c r="N823"/>
      <c r="O823"/>
      <c r="P823"/>
      <c r="Q823"/>
      <c r="R823"/>
    </row>
    <row r="824" spans="1:18" x14ac:dyDescent="0.4">
      <c r="A824"/>
      <c r="B824"/>
      <c r="C824"/>
      <c r="D824"/>
      <c r="E824"/>
      <c r="F824"/>
      <c r="G824"/>
      <c r="H824"/>
      <c r="I824"/>
      <c r="J824"/>
      <c r="K824"/>
      <c r="L824"/>
      <c r="M824"/>
      <c r="N824"/>
      <c r="O824"/>
      <c r="P824"/>
      <c r="Q824"/>
      <c r="R824"/>
    </row>
    <row r="825" spans="1:18" x14ac:dyDescent="0.4">
      <c r="A825"/>
      <c r="B825"/>
      <c r="C825"/>
      <c r="D825"/>
      <c r="E825"/>
      <c r="F825"/>
      <c r="G825"/>
      <c r="H825"/>
      <c r="I825"/>
      <c r="J825"/>
      <c r="K825"/>
      <c r="L825"/>
      <c r="M825"/>
      <c r="N825"/>
      <c r="O825"/>
      <c r="P825"/>
      <c r="Q825"/>
      <c r="R825"/>
    </row>
    <row r="826" spans="1:18" x14ac:dyDescent="0.4">
      <c r="A826"/>
      <c r="B826"/>
      <c r="C826"/>
      <c r="D826"/>
      <c r="E826"/>
      <c r="F826"/>
      <c r="G826"/>
      <c r="H826"/>
      <c r="I826"/>
      <c r="J826"/>
      <c r="K826"/>
      <c r="L826"/>
      <c r="M826"/>
      <c r="N826"/>
      <c r="O826"/>
      <c r="P826"/>
      <c r="Q826"/>
      <c r="R826"/>
    </row>
    <row r="827" spans="1:18" x14ac:dyDescent="0.4">
      <c r="A827"/>
      <c r="B827"/>
      <c r="C827"/>
      <c r="D827"/>
      <c r="E827"/>
      <c r="F827"/>
      <c r="G827"/>
      <c r="H827"/>
      <c r="I827"/>
      <c r="J827"/>
      <c r="K827"/>
      <c r="L827"/>
      <c r="M827"/>
      <c r="N827"/>
      <c r="O827"/>
      <c r="P827"/>
      <c r="Q827"/>
      <c r="R827"/>
    </row>
    <row r="828" spans="1:18" x14ac:dyDescent="0.4">
      <c r="A828"/>
      <c r="B828"/>
      <c r="C828"/>
      <c r="D828"/>
      <c r="E828"/>
      <c r="F828"/>
      <c r="G828"/>
      <c r="H828"/>
      <c r="I828"/>
      <c r="J828"/>
      <c r="K828"/>
      <c r="L828"/>
      <c r="M828"/>
      <c r="N828"/>
      <c r="O828"/>
      <c r="P828"/>
      <c r="Q828"/>
      <c r="R828"/>
    </row>
    <row r="829" spans="1:18" x14ac:dyDescent="0.4">
      <c r="A829"/>
      <c r="B829"/>
      <c r="C829"/>
      <c r="D829"/>
      <c r="E829"/>
      <c r="F829"/>
      <c r="G829"/>
      <c r="H829"/>
      <c r="I829"/>
      <c r="J829"/>
      <c r="K829"/>
      <c r="L829"/>
      <c r="M829"/>
      <c r="N829"/>
      <c r="O829"/>
      <c r="P829"/>
      <c r="Q829"/>
      <c r="R829"/>
    </row>
    <row r="830" spans="1:18" x14ac:dyDescent="0.4">
      <c r="A830"/>
      <c r="B830"/>
      <c r="C830"/>
      <c r="D830"/>
      <c r="E830"/>
      <c r="F830"/>
      <c r="G830"/>
      <c r="H830"/>
      <c r="I830"/>
      <c r="J830"/>
      <c r="K830"/>
      <c r="L830"/>
      <c r="M830"/>
      <c r="N830"/>
      <c r="O830"/>
      <c r="P830"/>
      <c r="Q830"/>
      <c r="R830"/>
    </row>
    <row r="831" spans="1:18" x14ac:dyDescent="0.4">
      <c r="A831"/>
      <c r="B831"/>
      <c r="C831"/>
      <c r="D831"/>
      <c r="E831"/>
      <c r="F831"/>
      <c r="G831"/>
      <c r="H831"/>
      <c r="I831"/>
      <c r="J831"/>
      <c r="K831"/>
      <c r="L831"/>
      <c r="M831"/>
      <c r="N831"/>
      <c r="O831"/>
      <c r="P831"/>
      <c r="Q831"/>
      <c r="R831"/>
    </row>
    <row r="832" spans="1:18" x14ac:dyDescent="0.4">
      <c r="A832"/>
      <c r="B832"/>
      <c r="C832"/>
      <c r="D832"/>
      <c r="E832"/>
      <c r="F832"/>
      <c r="G832"/>
      <c r="H832"/>
      <c r="I832"/>
      <c r="J832"/>
      <c r="K832"/>
      <c r="L832"/>
      <c r="M832"/>
      <c r="N832"/>
      <c r="O832"/>
      <c r="P832"/>
      <c r="Q832"/>
      <c r="R832"/>
    </row>
    <row r="833" spans="1:18" x14ac:dyDescent="0.4">
      <c r="A833"/>
      <c r="B833"/>
      <c r="C833"/>
      <c r="D833"/>
      <c r="E833"/>
      <c r="F833"/>
      <c r="G833"/>
      <c r="H833"/>
      <c r="I833"/>
      <c r="J833"/>
      <c r="K833"/>
      <c r="L833"/>
      <c r="M833"/>
      <c r="N833"/>
      <c r="O833"/>
      <c r="P833"/>
      <c r="Q833"/>
      <c r="R833"/>
    </row>
    <row r="834" spans="1:18" x14ac:dyDescent="0.4">
      <c r="A834"/>
      <c r="B834"/>
      <c r="C834"/>
      <c r="D834"/>
      <c r="E834"/>
      <c r="F834"/>
      <c r="G834"/>
      <c r="H834"/>
      <c r="I834"/>
      <c r="J834"/>
      <c r="K834"/>
      <c r="L834"/>
      <c r="M834"/>
      <c r="N834"/>
      <c r="O834"/>
      <c r="P834"/>
      <c r="Q834"/>
      <c r="R834"/>
    </row>
    <row r="835" spans="1:18" x14ac:dyDescent="0.4">
      <c r="A835"/>
      <c r="B835"/>
      <c r="C835"/>
      <c r="D835"/>
      <c r="E835"/>
      <c r="F835"/>
      <c r="G835"/>
      <c r="H835"/>
      <c r="I835"/>
      <c r="J835"/>
      <c r="K835"/>
      <c r="L835"/>
      <c r="M835"/>
      <c r="N835"/>
      <c r="O835"/>
      <c r="P835"/>
      <c r="Q835"/>
      <c r="R835"/>
    </row>
    <row r="836" spans="1:18" x14ac:dyDescent="0.4">
      <c r="A836"/>
      <c r="B836"/>
      <c r="C836"/>
      <c r="D836"/>
      <c r="E836"/>
      <c r="F836"/>
      <c r="G836"/>
      <c r="H836"/>
      <c r="I836"/>
      <c r="J836"/>
      <c r="K836"/>
      <c r="L836"/>
      <c r="M836"/>
      <c r="N836"/>
      <c r="O836"/>
      <c r="P836"/>
      <c r="Q836"/>
      <c r="R836"/>
    </row>
    <row r="837" spans="1:18" x14ac:dyDescent="0.4">
      <c r="A837"/>
      <c r="B837"/>
      <c r="C837"/>
      <c r="D837"/>
      <c r="E837"/>
      <c r="F837"/>
      <c r="G837"/>
      <c r="H837"/>
      <c r="I837"/>
      <c r="J837"/>
      <c r="K837"/>
      <c r="L837"/>
      <c r="M837"/>
      <c r="N837"/>
      <c r="O837"/>
      <c r="P837"/>
      <c r="Q837"/>
      <c r="R837"/>
    </row>
    <row r="838" spans="1:18" x14ac:dyDescent="0.4">
      <c r="A838"/>
      <c r="B838"/>
      <c r="C838"/>
      <c r="D838"/>
      <c r="E838"/>
      <c r="F838"/>
      <c r="G838"/>
      <c r="H838"/>
      <c r="I838"/>
      <c r="J838"/>
      <c r="K838"/>
      <c r="L838"/>
      <c r="M838"/>
      <c r="N838"/>
      <c r="O838"/>
      <c r="P838"/>
      <c r="Q838"/>
      <c r="R838"/>
    </row>
    <row r="839" spans="1:18" x14ac:dyDescent="0.4">
      <c r="A839"/>
      <c r="B839"/>
      <c r="C839"/>
      <c r="D839"/>
      <c r="E839"/>
      <c r="F839"/>
      <c r="G839"/>
      <c r="H839"/>
      <c r="I839"/>
      <c r="J839"/>
      <c r="K839"/>
      <c r="L839"/>
      <c r="M839"/>
      <c r="N839"/>
      <c r="O839"/>
      <c r="P839"/>
      <c r="Q839"/>
      <c r="R839"/>
    </row>
    <row r="840" spans="1:18" x14ac:dyDescent="0.4">
      <c r="A840"/>
      <c r="B840"/>
      <c r="C840"/>
      <c r="D840"/>
      <c r="E840"/>
      <c r="F840"/>
      <c r="G840"/>
      <c r="H840"/>
      <c r="I840"/>
      <c r="J840"/>
      <c r="K840"/>
      <c r="L840"/>
      <c r="M840"/>
      <c r="N840"/>
      <c r="O840"/>
      <c r="P840"/>
      <c r="Q840"/>
      <c r="R840"/>
    </row>
    <row r="841" spans="1:18" x14ac:dyDescent="0.4">
      <c r="A841"/>
      <c r="B841"/>
      <c r="C841"/>
      <c r="D841"/>
      <c r="E841"/>
      <c r="F841"/>
      <c r="G841"/>
      <c r="H841"/>
      <c r="I841"/>
      <c r="J841"/>
      <c r="K841"/>
      <c r="L841"/>
      <c r="M841"/>
      <c r="N841"/>
      <c r="O841"/>
      <c r="P841"/>
      <c r="Q841"/>
      <c r="R841"/>
    </row>
    <row r="842" spans="1:18" x14ac:dyDescent="0.4">
      <c r="A842"/>
      <c r="B842"/>
      <c r="C842"/>
      <c r="D842"/>
      <c r="E842"/>
      <c r="F842"/>
      <c r="G842"/>
      <c r="H842"/>
      <c r="I842"/>
      <c r="J842"/>
      <c r="K842"/>
      <c r="L842"/>
      <c r="M842"/>
      <c r="N842"/>
      <c r="O842"/>
      <c r="P842"/>
      <c r="Q842"/>
      <c r="R842"/>
    </row>
    <row r="843" spans="1:18" x14ac:dyDescent="0.4">
      <c r="A843"/>
      <c r="B843"/>
      <c r="C843"/>
      <c r="D843"/>
      <c r="E843"/>
      <c r="F843"/>
      <c r="G843"/>
      <c r="H843"/>
      <c r="I843"/>
      <c r="J843"/>
      <c r="K843"/>
      <c r="L843"/>
      <c r="M843"/>
      <c r="N843"/>
      <c r="O843"/>
      <c r="P843"/>
      <c r="Q843"/>
      <c r="R843"/>
    </row>
    <row r="844" spans="1:18" x14ac:dyDescent="0.4">
      <c r="A844"/>
      <c r="B844"/>
      <c r="C844"/>
      <c r="D844"/>
      <c r="E844"/>
      <c r="F844"/>
      <c r="G844"/>
      <c r="H844"/>
      <c r="I844"/>
      <c r="J844"/>
      <c r="K844"/>
      <c r="L844"/>
      <c r="M844"/>
      <c r="N844"/>
      <c r="O844"/>
      <c r="P844"/>
      <c r="Q844"/>
      <c r="R844"/>
    </row>
    <row r="845" spans="1:18" x14ac:dyDescent="0.4">
      <c r="A845"/>
      <c r="B845"/>
      <c r="C845"/>
      <c r="D845"/>
      <c r="E845"/>
      <c r="F845"/>
      <c r="G845"/>
      <c r="H845"/>
      <c r="I845"/>
      <c r="J845"/>
      <c r="K845"/>
      <c r="L845"/>
      <c r="M845"/>
      <c r="N845"/>
      <c r="O845"/>
      <c r="P845"/>
      <c r="Q845"/>
      <c r="R845"/>
    </row>
    <row r="846" spans="1:18" x14ac:dyDescent="0.4">
      <c r="A846"/>
      <c r="B846"/>
      <c r="C846"/>
      <c r="D846"/>
      <c r="E846"/>
      <c r="F846"/>
      <c r="G846"/>
      <c r="H846"/>
      <c r="I846"/>
      <c r="J846"/>
      <c r="K846"/>
      <c r="L846"/>
      <c r="M846"/>
      <c r="N846"/>
      <c r="O846"/>
      <c r="P846"/>
      <c r="Q846"/>
      <c r="R846"/>
    </row>
    <row r="847" spans="1:18" x14ac:dyDescent="0.4">
      <c r="A847"/>
      <c r="B847"/>
      <c r="C847"/>
      <c r="D847"/>
      <c r="E847"/>
      <c r="F847"/>
      <c r="G847"/>
      <c r="H847"/>
      <c r="I847"/>
      <c r="J847"/>
      <c r="K847"/>
      <c r="L847"/>
      <c r="M847"/>
      <c r="N847"/>
      <c r="O847"/>
      <c r="P847"/>
      <c r="Q847"/>
      <c r="R847"/>
    </row>
    <row r="848" spans="1:18" x14ac:dyDescent="0.4">
      <c r="A848"/>
      <c r="B848"/>
      <c r="C848"/>
      <c r="D848"/>
      <c r="E848"/>
      <c r="F848"/>
      <c r="G848"/>
      <c r="H848"/>
      <c r="I848"/>
      <c r="J848"/>
      <c r="K848"/>
      <c r="L848"/>
      <c r="M848"/>
      <c r="N848"/>
      <c r="O848"/>
      <c r="P848"/>
      <c r="Q848"/>
      <c r="R848"/>
    </row>
    <row r="849" spans="1:18" x14ac:dyDescent="0.4">
      <c r="A849"/>
      <c r="B849"/>
      <c r="C849"/>
      <c r="D849"/>
      <c r="E849"/>
      <c r="F849"/>
      <c r="G849"/>
      <c r="H849"/>
      <c r="I849"/>
      <c r="J849"/>
      <c r="K849"/>
      <c r="L849"/>
      <c r="M849"/>
      <c r="N849"/>
      <c r="O849"/>
      <c r="P849"/>
      <c r="Q849"/>
      <c r="R849"/>
    </row>
    <row r="850" spans="1:18" x14ac:dyDescent="0.4">
      <c r="A850"/>
      <c r="B850"/>
      <c r="C850"/>
      <c r="D850"/>
      <c r="E850"/>
      <c r="F850"/>
      <c r="G850"/>
      <c r="H850"/>
      <c r="I850"/>
      <c r="J850"/>
      <c r="K850"/>
      <c r="L850"/>
      <c r="M850"/>
      <c r="N850"/>
      <c r="O850"/>
      <c r="P850"/>
      <c r="Q850"/>
      <c r="R850"/>
    </row>
    <row r="851" spans="1:18" x14ac:dyDescent="0.4">
      <c r="A851"/>
      <c r="B851"/>
      <c r="C851"/>
      <c r="D851"/>
      <c r="E851"/>
      <c r="F851"/>
      <c r="G851"/>
      <c r="H851"/>
      <c r="I851"/>
      <c r="J851"/>
      <c r="K851"/>
      <c r="L851"/>
      <c r="M851"/>
      <c r="N851"/>
      <c r="O851"/>
      <c r="P851"/>
      <c r="Q851"/>
      <c r="R851"/>
    </row>
    <row r="852" spans="1:18" x14ac:dyDescent="0.4">
      <c r="A852"/>
      <c r="B852"/>
      <c r="C852"/>
      <c r="D852"/>
      <c r="E852"/>
      <c r="F852"/>
      <c r="G852"/>
      <c r="H852"/>
      <c r="I852"/>
      <c r="J852"/>
      <c r="K852"/>
      <c r="L852"/>
      <c r="M852"/>
      <c r="N852"/>
      <c r="O852"/>
      <c r="P852"/>
      <c r="Q852"/>
      <c r="R852"/>
    </row>
    <row r="853" spans="1:18" x14ac:dyDescent="0.4">
      <c r="A853"/>
      <c r="B853"/>
      <c r="C853"/>
      <c r="D853"/>
      <c r="E853"/>
      <c r="F853"/>
      <c r="G853"/>
      <c r="H853"/>
      <c r="I853"/>
      <c r="J853"/>
      <c r="K853"/>
      <c r="L853"/>
      <c r="M853"/>
      <c r="N853"/>
      <c r="O853"/>
      <c r="P853"/>
      <c r="Q853"/>
      <c r="R853"/>
    </row>
    <row r="854" spans="1:18" x14ac:dyDescent="0.4">
      <c r="A854"/>
      <c r="B854"/>
      <c r="C854"/>
      <c r="D854"/>
      <c r="E854"/>
      <c r="F854"/>
      <c r="G854"/>
      <c r="H854"/>
      <c r="I854"/>
      <c r="J854"/>
      <c r="K854"/>
      <c r="L854"/>
      <c r="M854"/>
      <c r="N854"/>
      <c r="O854"/>
      <c r="P854"/>
      <c r="Q854"/>
      <c r="R854"/>
    </row>
    <row r="855" spans="1:18" x14ac:dyDescent="0.4">
      <c r="A855"/>
      <c r="B855"/>
      <c r="C855"/>
      <c r="D855"/>
      <c r="E855"/>
      <c r="F855"/>
      <c r="G855"/>
      <c r="H855"/>
      <c r="I855"/>
      <c r="J855"/>
      <c r="K855"/>
      <c r="L855"/>
      <c r="M855"/>
      <c r="N855"/>
      <c r="O855"/>
      <c r="P855"/>
      <c r="Q855"/>
      <c r="R855"/>
    </row>
    <row r="856" spans="1:18" x14ac:dyDescent="0.4">
      <c r="A856"/>
      <c r="B856"/>
      <c r="C856"/>
      <c r="D856"/>
      <c r="E856"/>
      <c r="F856"/>
      <c r="G856"/>
      <c r="H856"/>
      <c r="I856"/>
      <c r="J856"/>
      <c r="K856"/>
      <c r="L856"/>
      <c r="M856"/>
      <c r="N856"/>
      <c r="O856"/>
      <c r="P856"/>
      <c r="Q856"/>
      <c r="R856"/>
    </row>
    <row r="857" spans="1:18" x14ac:dyDescent="0.4">
      <c r="A857"/>
      <c r="B857"/>
      <c r="C857"/>
      <c r="D857"/>
      <c r="E857"/>
      <c r="F857"/>
      <c r="G857"/>
      <c r="H857"/>
      <c r="I857"/>
      <c r="J857"/>
      <c r="K857"/>
      <c r="L857"/>
      <c r="M857"/>
      <c r="N857"/>
      <c r="O857"/>
      <c r="P857"/>
      <c r="Q857"/>
      <c r="R857"/>
    </row>
    <row r="858" spans="1:18" x14ac:dyDescent="0.4">
      <c r="A858"/>
      <c r="B858"/>
      <c r="C858"/>
      <c r="D858"/>
      <c r="E858"/>
      <c r="F858"/>
      <c r="G858"/>
      <c r="H858"/>
      <c r="I858"/>
      <c r="J858"/>
      <c r="K858"/>
      <c r="L858"/>
      <c r="M858"/>
      <c r="N858"/>
      <c r="O858"/>
      <c r="P858"/>
      <c r="Q858"/>
      <c r="R858"/>
    </row>
    <row r="859" spans="1:18" x14ac:dyDescent="0.4">
      <c r="A859"/>
      <c r="B859"/>
      <c r="C859"/>
      <c r="D859"/>
      <c r="E859"/>
      <c r="F859"/>
      <c r="G859"/>
      <c r="H859"/>
      <c r="I859"/>
      <c r="J859"/>
      <c r="K859"/>
      <c r="L859"/>
      <c r="M859"/>
      <c r="N859"/>
      <c r="O859"/>
      <c r="P859"/>
      <c r="Q859"/>
      <c r="R859"/>
    </row>
    <row r="860" spans="1:18" x14ac:dyDescent="0.4">
      <c r="A860"/>
      <c r="B860"/>
      <c r="C860"/>
      <c r="D860"/>
      <c r="E860"/>
      <c r="F860"/>
      <c r="G860"/>
      <c r="H860"/>
      <c r="I860"/>
      <c r="J860"/>
      <c r="K860"/>
      <c r="L860"/>
      <c r="M860"/>
      <c r="N860"/>
      <c r="O860"/>
      <c r="P860"/>
      <c r="Q860"/>
      <c r="R860"/>
    </row>
    <row r="861" spans="1:18" x14ac:dyDescent="0.4">
      <c r="A861"/>
      <c r="B861"/>
      <c r="C861"/>
      <c r="D861"/>
      <c r="E861"/>
      <c r="F861"/>
      <c r="G861"/>
      <c r="H861"/>
      <c r="I861"/>
      <c r="J861"/>
      <c r="K861"/>
      <c r="L861"/>
      <c r="M861"/>
      <c r="N861"/>
      <c r="O861"/>
      <c r="P861"/>
      <c r="Q861"/>
      <c r="R861"/>
    </row>
    <row r="862" spans="1:18" x14ac:dyDescent="0.4">
      <c r="A862"/>
      <c r="B862"/>
      <c r="C862"/>
      <c r="D862"/>
      <c r="E862"/>
      <c r="F862"/>
      <c r="G862"/>
      <c r="H862"/>
      <c r="I862"/>
      <c r="J862"/>
      <c r="K862"/>
      <c r="L862"/>
      <c r="M862"/>
      <c r="N862"/>
      <c r="O862"/>
      <c r="P862"/>
      <c r="Q862"/>
      <c r="R862"/>
    </row>
    <row r="863" spans="1:18" x14ac:dyDescent="0.4">
      <c r="A863"/>
      <c r="B863"/>
      <c r="C863"/>
      <c r="D863"/>
      <c r="E863"/>
      <c r="F863"/>
      <c r="G863"/>
      <c r="H863"/>
      <c r="I863"/>
      <c r="J863"/>
      <c r="K863"/>
      <c r="L863"/>
      <c r="M863"/>
      <c r="N863"/>
      <c r="O863"/>
      <c r="P863"/>
      <c r="Q863"/>
      <c r="R863"/>
    </row>
    <row r="864" spans="1:18" x14ac:dyDescent="0.4">
      <c r="A864"/>
      <c r="B864"/>
      <c r="C864"/>
      <c r="D864"/>
      <c r="E864"/>
      <c r="F864"/>
      <c r="G864"/>
      <c r="H864"/>
      <c r="I864"/>
      <c r="J864"/>
      <c r="K864"/>
      <c r="L864"/>
      <c r="M864"/>
      <c r="N864"/>
      <c r="O864"/>
      <c r="P864"/>
      <c r="Q864"/>
      <c r="R864"/>
    </row>
    <row r="865" spans="1:18" x14ac:dyDescent="0.4">
      <c r="A865"/>
      <c r="B865"/>
      <c r="C865"/>
      <c r="D865"/>
      <c r="E865"/>
      <c r="F865"/>
      <c r="G865"/>
      <c r="H865"/>
      <c r="I865"/>
      <c r="J865"/>
      <c r="K865"/>
      <c r="L865"/>
      <c r="M865"/>
      <c r="N865"/>
      <c r="O865"/>
      <c r="P865"/>
      <c r="Q865"/>
      <c r="R865"/>
    </row>
    <row r="866" spans="1:18" x14ac:dyDescent="0.4">
      <c r="A866"/>
      <c r="B866"/>
      <c r="C866"/>
      <c r="D866"/>
      <c r="E866"/>
      <c r="F866"/>
      <c r="G866"/>
      <c r="H866"/>
      <c r="I866"/>
      <c r="J866"/>
      <c r="K866"/>
      <c r="L866"/>
      <c r="M866"/>
      <c r="N866"/>
      <c r="O866"/>
      <c r="P866"/>
      <c r="Q866"/>
      <c r="R866"/>
    </row>
    <row r="867" spans="1:18" x14ac:dyDescent="0.4">
      <c r="A867"/>
      <c r="B867"/>
      <c r="C867"/>
      <c r="D867"/>
      <c r="E867"/>
      <c r="F867"/>
      <c r="G867"/>
      <c r="H867"/>
      <c r="I867"/>
      <c r="J867"/>
      <c r="K867"/>
      <c r="L867"/>
      <c r="M867"/>
      <c r="N867"/>
      <c r="O867"/>
      <c r="P867"/>
      <c r="Q867"/>
      <c r="R867"/>
    </row>
    <row r="868" spans="1:18" x14ac:dyDescent="0.4">
      <c r="A868"/>
      <c r="B868"/>
      <c r="C868"/>
      <c r="D868"/>
      <c r="E868"/>
      <c r="F868"/>
      <c r="G868"/>
      <c r="H868"/>
      <c r="I868"/>
      <c r="J868"/>
      <c r="K868"/>
      <c r="L868"/>
      <c r="M868"/>
      <c r="N868"/>
      <c r="O868"/>
      <c r="P868"/>
      <c r="Q868"/>
      <c r="R868"/>
    </row>
    <row r="869" spans="1:18" x14ac:dyDescent="0.4">
      <c r="A869"/>
      <c r="B869"/>
      <c r="C869"/>
      <c r="D869"/>
      <c r="E869"/>
      <c r="F869"/>
      <c r="G869"/>
      <c r="H869"/>
      <c r="I869"/>
      <c r="J869"/>
      <c r="K869"/>
      <c r="L869"/>
      <c r="M869"/>
      <c r="N869"/>
      <c r="O869"/>
      <c r="P869"/>
      <c r="Q869"/>
      <c r="R869"/>
    </row>
    <row r="870" spans="1:18" x14ac:dyDescent="0.4">
      <c r="A870"/>
      <c r="B870"/>
      <c r="C870"/>
      <c r="D870"/>
      <c r="E870"/>
      <c r="F870"/>
      <c r="G870"/>
      <c r="H870"/>
      <c r="I870"/>
      <c r="J870"/>
      <c r="K870"/>
      <c r="L870"/>
      <c r="M870"/>
      <c r="N870"/>
      <c r="O870"/>
      <c r="P870"/>
      <c r="Q870"/>
      <c r="R870"/>
    </row>
    <row r="871" spans="1:18" x14ac:dyDescent="0.4">
      <c r="A871"/>
      <c r="B871"/>
      <c r="C871"/>
      <c r="D871"/>
      <c r="E871"/>
      <c r="F871"/>
      <c r="G871"/>
      <c r="H871"/>
      <c r="I871"/>
      <c r="J871"/>
      <c r="K871"/>
      <c r="L871"/>
      <c r="M871"/>
      <c r="N871"/>
      <c r="O871"/>
      <c r="P871"/>
      <c r="Q871"/>
      <c r="R871"/>
    </row>
    <row r="872" spans="1:18" x14ac:dyDescent="0.4">
      <c r="A872"/>
      <c r="B872"/>
      <c r="C872"/>
      <c r="D872"/>
      <c r="E872"/>
      <c r="F872"/>
      <c r="G872"/>
      <c r="H872"/>
      <c r="I872"/>
      <c r="J872"/>
      <c r="K872"/>
      <c r="L872"/>
      <c r="M872"/>
      <c r="N872"/>
      <c r="O872"/>
      <c r="P872"/>
      <c r="Q872"/>
      <c r="R872"/>
    </row>
    <row r="873" spans="1:18" x14ac:dyDescent="0.4">
      <c r="A873"/>
      <c r="B873"/>
      <c r="C873"/>
      <c r="D873"/>
      <c r="E873"/>
      <c r="F873"/>
      <c r="G873"/>
      <c r="H873"/>
      <c r="I873"/>
      <c r="J873"/>
      <c r="K873"/>
      <c r="L873"/>
      <c r="M873"/>
      <c r="N873"/>
      <c r="O873"/>
      <c r="P873"/>
      <c r="Q873"/>
      <c r="R873"/>
    </row>
    <row r="874" spans="1:18" x14ac:dyDescent="0.4">
      <c r="A874"/>
      <c r="B874"/>
      <c r="C874"/>
      <c r="D874"/>
      <c r="E874"/>
      <c r="F874"/>
      <c r="G874"/>
      <c r="H874"/>
      <c r="I874"/>
      <c r="J874"/>
      <c r="K874"/>
      <c r="L874"/>
      <c r="M874"/>
      <c r="N874"/>
      <c r="O874"/>
      <c r="P874"/>
      <c r="Q874"/>
      <c r="R874"/>
    </row>
    <row r="875" spans="1:18" x14ac:dyDescent="0.4">
      <c r="A875"/>
      <c r="B875"/>
      <c r="C875"/>
      <c r="D875"/>
      <c r="E875"/>
      <c r="F875"/>
      <c r="G875"/>
      <c r="H875"/>
      <c r="I875"/>
      <c r="J875"/>
      <c r="K875"/>
      <c r="L875"/>
      <c r="M875"/>
      <c r="N875"/>
      <c r="O875"/>
      <c r="P875"/>
      <c r="Q875"/>
      <c r="R875"/>
    </row>
    <row r="876" spans="1:18" x14ac:dyDescent="0.4">
      <c r="A876"/>
      <c r="B876"/>
      <c r="C876"/>
      <c r="D876"/>
      <c r="E876"/>
      <c r="F876"/>
      <c r="G876"/>
      <c r="H876"/>
      <c r="I876"/>
      <c r="J876"/>
      <c r="K876"/>
      <c r="L876"/>
      <c r="M876"/>
      <c r="N876"/>
      <c r="O876"/>
      <c r="P876"/>
      <c r="Q876"/>
      <c r="R876"/>
    </row>
    <row r="877" spans="1:18" x14ac:dyDescent="0.4">
      <c r="A877"/>
      <c r="B877"/>
      <c r="C877"/>
      <c r="D877"/>
      <c r="E877"/>
      <c r="F877"/>
      <c r="G877"/>
      <c r="H877"/>
      <c r="I877"/>
      <c r="J877"/>
      <c r="K877"/>
      <c r="L877"/>
      <c r="M877"/>
      <c r="N877"/>
      <c r="O877"/>
      <c r="P877"/>
      <c r="Q877"/>
      <c r="R877"/>
    </row>
    <row r="878" spans="1:18" x14ac:dyDescent="0.4">
      <c r="A878"/>
      <c r="B878"/>
      <c r="C878"/>
      <c r="D878"/>
      <c r="E878"/>
      <c r="F878"/>
      <c r="G878"/>
      <c r="H878"/>
      <c r="I878"/>
      <c r="J878"/>
      <c r="K878"/>
      <c r="L878"/>
      <c r="M878"/>
      <c r="N878"/>
      <c r="O878"/>
      <c r="P878"/>
      <c r="Q878"/>
      <c r="R878"/>
    </row>
    <row r="879" spans="1:18" x14ac:dyDescent="0.4">
      <c r="A879"/>
      <c r="B879"/>
      <c r="C879"/>
      <c r="D879"/>
      <c r="E879"/>
      <c r="F879"/>
      <c r="G879"/>
      <c r="H879"/>
      <c r="I879"/>
      <c r="J879"/>
      <c r="K879"/>
      <c r="L879"/>
      <c r="M879"/>
      <c r="N879"/>
      <c r="O879"/>
      <c r="P879"/>
      <c r="Q879"/>
      <c r="R879"/>
    </row>
    <row r="880" spans="1:18" x14ac:dyDescent="0.4">
      <c r="A880"/>
      <c r="B880"/>
      <c r="C880"/>
      <c r="D880"/>
      <c r="E880"/>
      <c r="F880"/>
      <c r="G880"/>
      <c r="H880"/>
      <c r="I880"/>
      <c r="J880"/>
      <c r="K880"/>
      <c r="L880"/>
      <c r="M880"/>
      <c r="N880"/>
      <c r="O880"/>
      <c r="P880"/>
      <c r="Q880"/>
      <c r="R880"/>
    </row>
    <row r="881" spans="1:18" x14ac:dyDescent="0.4">
      <c r="A881"/>
      <c r="B881"/>
      <c r="C881"/>
      <c r="D881"/>
      <c r="E881"/>
      <c r="F881"/>
      <c r="G881"/>
      <c r="H881"/>
      <c r="I881"/>
      <c r="J881"/>
      <c r="K881"/>
      <c r="L881"/>
      <c r="M881"/>
      <c r="N881"/>
      <c r="O881"/>
      <c r="P881"/>
      <c r="Q881"/>
      <c r="R881"/>
    </row>
    <row r="882" spans="1:18" x14ac:dyDescent="0.4">
      <c r="A882"/>
      <c r="B882"/>
      <c r="C882"/>
      <c r="D882"/>
      <c r="E882"/>
      <c r="F882"/>
      <c r="G882"/>
      <c r="H882"/>
      <c r="I882"/>
      <c r="J882"/>
      <c r="K882"/>
      <c r="L882"/>
      <c r="M882"/>
      <c r="N882"/>
      <c r="O882"/>
      <c r="P882"/>
      <c r="Q882"/>
      <c r="R882"/>
    </row>
    <row r="883" spans="1:18" x14ac:dyDescent="0.4">
      <c r="A883"/>
      <c r="B883"/>
      <c r="C883"/>
      <c r="D883"/>
      <c r="E883"/>
      <c r="F883"/>
      <c r="G883"/>
      <c r="H883"/>
      <c r="I883"/>
      <c r="J883"/>
      <c r="K883"/>
      <c r="L883"/>
      <c r="M883"/>
      <c r="N883"/>
      <c r="O883"/>
      <c r="P883"/>
      <c r="Q883"/>
      <c r="R883"/>
    </row>
    <row r="884" spans="1:18" x14ac:dyDescent="0.4">
      <c r="A884"/>
      <c r="B884"/>
      <c r="C884"/>
      <c r="D884"/>
      <c r="E884"/>
      <c r="F884"/>
      <c r="G884"/>
      <c r="H884"/>
      <c r="I884"/>
      <c r="J884"/>
      <c r="K884"/>
      <c r="L884"/>
      <c r="M884"/>
      <c r="N884"/>
      <c r="O884"/>
      <c r="P884"/>
      <c r="Q884"/>
      <c r="R884"/>
    </row>
    <row r="885" spans="1:18" x14ac:dyDescent="0.4">
      <c r="A885"/>
      <c r="B885"/>
      <c r="C885"/>
      <c r="D885"/>
      <c r="E885"/>
      <c r="F885"/>
      <c r="G885"/>
      <c r="H885"/>
      <c r="I885"/>
      <c r="J885"/>
      <c r="K885"/>
      <c r="L885"/>
      <c r="M885"/>
      <c r="N885"/>
      <c r="O885"/>
      <c r="P885"/>
      <c r="Q885"/>
      <c r="R885"/>
    </row>
    <row r="886" spans="1:18" x14ac:dyDescent="0.4">
      <c r="A886"/>
      <c r="B886"/>
      <c r="C886"/>
      <c r="D886"/>
      <c r="E886"/>
      <c r="F886"/>
      <c r="G886"/>
      <c r="H886"/>
      <c r="I886"/>
      <c r="J886"/>
      <c r="K886"/>
      <c r="L886"/>
      <c r="M886"/>
      <c r="N886"/>
      <c r="O886"/>
      <c r="P886"/>
      <c r="Q886"/>
      <c r="R886"/>
    </row>
    <row r="887" spans="1:18" x14ac:dyDescent="0.4">
      <c r="A887"/>
      <c r="B887"/>
      <c r="C887"/>
      <c r="D887"/>
      <c r="E887"/>
      <c r="F887"/>
      <c r="G887"/>
      <c r="H887"/>
      <c r="I887"/>
      <c r="J887"/>
      <c r="K887"/>
      <c r="L887"/>
      <c r="M887"/>
      <c r="N887"/>
      <c r="O887"/>
      <c r="P887"/>
      <c r="Q887"/>
      <c r="R887"/>
    </row>
    <row r="888" spans="1:18" x14ac:dyDescent="0.4">
      <c r="A888"/>
      <c r="B888"/>
      <c r="C888"/>
      <c r="D888"/>
      <c r="E888"/>
      <c r="F888"/>
      <c r="G888"/>
      <c r="H888"/>
      <c r="I888"/>
      <c r="J888"/>
      <c r="K888"/>
      <c r="L888"/>
      <c r="M888"/>
      <c r="N888"/>
      <c r="O888"/>
      <c r="P888"/>
      <c r="Q888"/>
      <c r="R888"/>
    </row>
    <row r="889" spans="1:18" x14ac:dyDescent="0.4">
      <c r="A889"/>
      <c r="B889"/>
      <c r="C889"/>
      <c r="D889"/>
      <c r="E889"/>
      <c r="F889"/>
      <c r="G889"/>
      <c r="H889"/>
      <c r="I889"/>
      <c r="J889"/>
      <c r="K889"/>
      <c r="L889"/>
      <c r="M889"/>
      <c r="N889"/>
      <c r="O889"/>
      <c r="P889"/>
      <c r="Q889"/>
      <c r="R889"/>
    </row>
    <row r="890" spans="1:18" x14ac:dyDescent="0.4">
      <c r="A890"/>
      <c r="B890"/>
      <c r="C890"/>
      <c r="D890"/>
      <c r="E890"/>
      <c r="F890"/>
      <c r="G890"/>
      <c r="H890"/>
      <c r="I890"/>
      <c r="J890"/>
      <c r="K890"/>
      <c r="L890"/>
      <c r="M890"/>
      <c r="N890"/>
      <c r="O890"/>
      <c r="P890"/>
      <c r="Q890"/>
      <c r="R890"/>
    </row>
    <row r="891" spans="1:18" x14ac:dyDescent="0.4">
      <c r="A891"/>
      <c r="B891"/>
      <c r="C891"/>
      <c r="D891"/>
      <c r="E891"/>
      <c r="F891"/>
      <c r="G891"/>
      <c r="H891"/>
      <c r="I891"/>
      <c r="J891"/>
      <c r="K891"/>
      <c r="L891"/>
      <c r="M891"/>
      <c r="N891"/>
      <c r="O891"/>
      <c r="P891"/>
      <c r="Q891"/>
      <c r="R891"/>
    </row>
    <row r="892" spans="1:18" x14ac:dyDescent="0.4">
      <c r="A892"/>
      <c r="B892"/>
      <c r="C892"/>
      <c r="D892"/>
      <c r="E892"/>
      <c r="F892"/>
      <c r="G892"/>
      <c r="H892"/>
      <c r="I892"/>
      <c r="J892"/>
      <c r="K892"/>
      <c r="L892"/>
      <c r="M892"/>
      <c r="N892"/>
      <c r="O892"/>
      <c r="P892"/>
      <c r="Q892"/>
      <c r="R892"/>
    </row>
    <row r="893" spans="1:18" x14ac:dyDescent="0.4">
      <c r="A893"/>
      <c r="B893"/>
      <c r="C893"/>
      <c r="D893"/>
      <c r="E893"/>
      <c r="F893"/>
      <c r="G893"/>
      <c r="H893"/>
      <c r="I893"/>
      <c r="J893"/>
      <c r="K893"/>
      <c r="L893"/>
      <c r="M893"/>
      <c r="N893"/>
      <c r="O893"/>
      <c r="P893"/>
      <c r="Q893"/>
      <c r="R893"/>
    </row>
    <row r="894" spans="1:18" x14ac:dyDescent="0.4">
      <c r="A894"/>
      <c r="B894"/>
      <c r="C894"/>
      <c r="D894"/>
      <c r="E894"/>
      <c r="F894"/>
      <c r="G894"/>
      <c r="H894"/>
      <c r="I894"/>
      <c r="J894"/>
      <c r="K894"/>
      <c r="L894"/>
      <c r="M894"/>
      <c r="N894"/>
      <c r="O894"/>
      <c r="P894"/>
      <c r="Q894"/>
      <c r="R894"/>
    </row>
    <row r="895" spans="1:18" x14ac:dyDescent="0.4">
      <c r="A895"/>
      <c r="B895"/>
      <c r="C895"/>
      <c r="D895"/>
      <c r="E895"/>
      <c r="F895"/>
      <c r="G895"/>
      <c r="H895"/>
      <c r="I895"/>
      <c r="J895"/>
      <c r="K895"/>
      <c r="L895"/>
      <c r="M895"/>
      <c r="N895"/>
      <c r="O895"/>
      <c r="P895"/>
      <c r="Q895"/>
      <c r="R895"/>
    </row>
    <row r="896" spans="1:18" x14ac:dyDescent="0.4">
      <c r="A896"/>
      <c r="B896"/>
      <c r="C896"/>
      <c r="D896"/>
      <c r="E896"/>
      <c r="F896"/>
      <c r="G896"/>
      <c r="H896"/>
      <c r="I896"/>
      <c r="J896"/>
      <c r="K896"/>
      <c r="L896"/>
      <c r="M896"/>
      <c r="N896"/>
      <c r="O896"/>
      <c r="P896"/>
      <c r="Q896"/>
      <c r="R896"/>
    </row>
    <row r="897" spans="1:18" x14ac:dyDescent="0.4">
      <c r="A897"/>
      <c r="B897"/>
      <c r="C897"/>
      <c r="D897"/>
      <c r="E897"/>
      <c r="F897"/>
      <c r="G897"/>
      <c r="H897"/>
      <c r="I897"/>
      <c r="J897"/>
      <c r="K897"/>
      <c r="L897"/>
      <c r="M897"/>
      <c r="N897"/>
      <c r="O897"/>
      <c r="P897"/>
      <c r="Q897"/>
      <c r="R897"/>
    </row>
    <row r="898" spans="1:18" x14ac:dyDescent="0.4">
      <c r="A898"/>
      <c r="B898"/>
      <c r="C898"/>
      <c r="D898"/>
      <c r="E898"/>
      <c r="F898"/>
      <c r="G898"/>
      <c r="H898"/>
      <c r="I898"/>
      <c r="J898"/>
      <c r="K898"/>
      <c r="L898"/>
      <c r="M898"/>
      <c r="N898"/>
      <c r="O898"/>
      <c r="P898"/>
      <c r="Q898"/>
      <c r="R898"/>
    </row>
    <row r="899" spans="1:18" x14ac:dyDescent="0.4">
      <c r="A899"/>
      <c r="B899"/>
      <c r="C899"/>
      <c r="D899"/>
      <c r="E899"/>
      <c r="F899"/>
      <c r="G899"/>
      <c r="H899"/>
      <c r="I899"/>
      <c r="J899"/>
      <c r="K899"/>
      <c r="L899"/>
      <c r="M899"/>
      <c r="N899"/>
      <c r="O899"/>
      <c r="P899"/>
      <c r="Q899"/>
      <c r="R899"/>
    </row>
    <row r="900" spans="1:18" x14ac:dyDescent="0.4">
      <c r="A900"/>
      <c r="B900"/>
      <c r="C900"/>
      <c r="D900"/>
      <c r="E900"/>
      <c r="F900"/>
      <c r="G900"/>
      <c r="H900"/>
      <c r="I900"/>
      <c r="J900"/>
      <c r="K900"/>
      <c r="L900"/>
      <c r="M900"/>
      <c r="N900"/>
      <c r="O900"/>
      <c r="P900"/>
      <c r="Q900"/>
      <c r="R900"/>
    </row>
    <row r="901" spans="1:18" x14ac:dyDescent="0.4">
      <c r="A901"/>
      <c r="B901"/>
      <c r="C901"/>
      <c r="D901"/>
      <c r="E901"/>
      <c r="F901"/>
      <c r="G901"/>
      <c r="H901"/>
      <c r="I901"/>
      <c r="J901"/>
      <c r="K901"/>
      <c r="L901"/>
      <c r="M901"/>
      <c r="N901"/>
      <c r="O901"/>
      <c r="P901"/>
      <c r="Q901"/>
      <c r="R901"/>
    </row>
    <row r="902" spans="1:18" x14ac:dyDescent="0.4">
      <c r="A902"/>
      <c r="B902"/>
      <c r="C902"/>
      <c r="D902"/>
      <c r="E902"/>
      <c r="F902"/>
      <c r="G902"/>
      <c r="H902"/>
      <c r="I902"/>
      <c r="J902"/>
      <c r="K902"/>
      <c r="L902"/>
      <c r="M902"/>
      <c r="N902"/>
      <c r="O902"/>
      <c r="P902"/>
      <c r="Q902"/>
      <c r="R902"/>
    </row>
    <row r="903" spans="1:18" x14ac:dyDescent="0.4">
      <c r="A903"/>
      <c r="B903"/>
      <c r="C903"/>
      <c r="D903"/>
      <c r="E903"/>
      <c r="F903"/>
      <c r="G903"/>
      <c r="H903"/>
      <c r="I903"/>
      <c r="J903"/>
      <c r="K903"/>
      <c r="L903"/>
      <c r="M903"/>
      <c r="N903"/>
      <c r="O903"/>
      <c r="P903"/>
      <c r="Q903"/>
      <c r="R903"/>
    </row>
    <row r="904" spans="1:18" x14ac:dyDescent="0.4">
      <c r="A904"/>
      <c r="B904"/>
      <c r="C904"/>
      <c r="D904"/>
      <c r="E904"/>
      <c r="F904"/>
      <c r="G904"/>
      <c r="H904"/>
      <c r="I904"/>
      <c r="J904"/>
      <c r="K904"/>
      <c r="L904"/>
      <c r="M904"/>
      <c r="N904"/>
      <c r="O904"/>
      <c r="P904"/>
      <c r="Q904"/>
      <c r="R904"/>
    </row>
    <row r="905" spans="1:18" x14ac:dyDescent="0.4">
      <c r="A905"/>
      <c r="B905"/>
      <c r="C905"/>
      <c r="D905"/>
      <c r="E905"/>
      <c r="F905"/>
      <c r="G905"/>
      <c r="H905"/>
      <c r="I905"/>
      <c r="J905"/>
      <c r="K905"/>
      <c r="L905"/>
      <c r="M905"/>
      <c r="N905"/>
      <c r="O905"/>
      <c r="P905"/>
      <c r="Q905"/>
      <c r="R905"/>
    </row>
    <row r="906" spans="1:18" x14ac:dyDescent="0.4">
      <c r="A906"/>
      <c r="B906"/>
      <c r="C906"/>
      <c r="D906"/>
      <c r="E906"/>
      <c r="F906"/>
      <c r="G906"/>
      <c r="H906"/>
      <c r="I906"/>
      <c r="J906"/>
      <c r="K906"/>
      <c r="L906"/>
      <c r="M906"/>
      <c r="N906"/>
      <c r="O906"/>
      <c r="P906"/>
      <c r="Q906"/>
      <c r="R906"/>
    </row>
    <row r="907" spans="1:18" x14ac:dyDescent="0.4">
      <c r="A907"/>
      <c r="B907"/>
      <c r="C907"/>
      <c r="D907"/>
      <c r="E907"/>
      <c r="F907"/>
      <c r="G907"/>
      <c r="H907"/>
      <c r="I907"/>
      <c r="J907"/>
      <c r="K907"/>
      <c r="L907"/>
      <c r="M907"/>
      <c r="N907"/>
      <c r="O907"/>
      <c r="P907"/>
      <c r="Q907"/>
      <c r="R907"/>
    </row>
    <row r="908" spans="1:18" x14ac:dyDescent="0.4">
      <c r="A908"/>
      <c r="B908"/>
      <c r="C908"/>
      <c r="D908"/>
      <c r="E908"/>
      <c r="F908"/>
      <c r="G908"/>
      <c r="H908"/>
      <c r="I908"/>
      <c r="J908"/>
      <c r="K908"/>
      <c r="L908"/>
      <c r="M908"/>
      <c r="N908"/>
      <c r="O908"/>
      <c r="P908"/>
      <c r="Q908"/>
      <c r="R908"/>
    </row>
    <row r="909" spans="1:18" x14ac:dyDescent="0.4">
      <c r="A909"/>
      <c r="B909"/>
      <c r="C909"/>
      <c r="D909"/>
      <c r="E909"/>
      <c r="F909"/>
      <c r="G909"/>
      <c r="H909"/>
      <c r="I909"/>
      <c r="J909"/>
      <c r="K909"/>
      <c r="L909"/>
      <c r="M909"/>
      <c r="N909"/>
      <c r="O909"/>
      <c r="P909"/>
      <c r="Q909"/>
      <c r="R909"/>
    </row>
    <row r="910" spans="1:18" x14ac:dyDescent="0.4">
      <c r="A910"/>
      <c r="B910"/>
      <c r="C910"/>
      <c r="D910"/>
      <c r="E910"/>
      <c r="F910"/>
      <c r="G910"/>
      <c r="H910"/>
      <c r="I910"/>
      <c r="J910"/>
      <c r="K910"/>
      <c r="L910"/>
      <c r="M910"/>
      <c r="N910"/>
      <c r="O910"/>
      <c r="P910"/>
      <c r="Q910"/>
      <c r="R910"/>
    </row>
    <row r="911" spans="1:18" x14ac:dyDescent="0.4">
      <c r="A911"/>
      <c r="B911"/>
      <c r="C911"/>
      <c r="D911"/>
      <c r="E911"/>
      <c r="F911"/>
      <c r="G911"/>
      <c r="H911"/>
      <c r="I911"/>
      <c r="J911"/>
      <c r="K911"/>
      <c r="L911"/>
      <c r="M911"/>
      <c r="N911"/>
      <c r="O911"/>
      <c r="P911"/>
      <c r="Q911"/>
      <c r="R911"/>
    </row>
    <row r="912" spans="1:18" x14ac:dyDescent="0.4">
      <c r="A912"/>
      <c r="B912"/>
      <c r="C912"/>
      <c r="D912"/>
      <c r="E912"/>
      <c r="F912"/>
      <c r="G912"/>
      <c r="H912"/>
      <c r="I912"/>
      <c r="J912"/>
      <c r="K912"/>
      <c r="L912"/>
      <c r="M912"/>
      <c r="N912"/>
      <c r="O912"/>
      <c r="P912"/>
      <c r="Q912"/>
      <c r="R912"/>
    </row>
    <row r="913" spans="1:18" x14ac:dyDescent="0.4">
      <c r="A913"/>
      <c r="B913"/>
      <c r="C913"/>
      <c r="D913"/>
      <c r="E913"/>
      <c r="F913"/>
      <c r="G913"/>
      <c r="H913"/>
      <c r="I913"/>
      <c r="J913"/>
      <c r="K913"/>
      <c r="L913"/>
      <c r="M913"/>
      <c r="N913"/>
      <c r="O913"/>
      <c r="P913"/>
      <c r="Q913"/>
      <c r="R913"/>
    </row>
    <row r="914" spans="1:18" x14ac:dyDescent="0.4">
      <c r="A914"/>
      <c r="B914"/>
      <c r="C914"/>
      <c r="D914"/>
      <c r="E914"/>
      <c r="F914"/>
      <c r="G914"/>
      <c r="H914"/>
      <c r="I914"/>
      <c r="J914"/>
      <c r="K914"/>
      <c r="L914"/>
      <c r="M914"/>
      <c r="N914"/>
      <c r="O914"/>
      <c r="P914"/>
      <c r="Q914"/>
      <c r="R914"/>
    </row>
    <row r="915" spans="1:18" x14ac:dyDescent="0.4">
      <c r="A915"/>
      <c r="B915"/>
      <c r="C915"/>
      <c r="D915"/>
      <c r="E915"/>
      <c r="F915"/>
      <c r="G915"/>
      <c r="H915"/>
      <c r="I915"/>
      <c r="J915"/>
      <c r="K915"/>
      <c r="L915"/>
      <c r="M915"/>
      <c r="N915"/>
      <c r="O915"/>
      <c r="P915"/>
      <c r="Q915"/>
      <c r="R915"/>
    </row>
    <row r="916" spans="1:18" x14ac:dyDescent="0.4">
      <c r="A916"/>
      <c r="B916"/>
      <c r="C916"/>
      <c r="D916"/>
      <c r="E916"/>
      <c r="F916"/>
      <c r="G916"/>
      <c r="H916"/>
      <c r="I916"/>
      <c r="J916"/>
      <c r="K916"/>
      <c r="L916"/>
      <c r="M916"/>
      <c r="N916"/>
      <c r="O916"/>
      <c r="P916"/>
      <c r="Q916"/>
      <c r="R916"/>
    </row>
    <row r="917" spans="1:18" x14ac:dyDescent="0.4">
      <c r="A917"/>
      <c r="B917"/>
      <c r="C917"/>
      <c r="D917"/>
      <c r="E917"/>
      <c r="F917"/>
      <c r="G917"/>
      <c r="H917"/>
      <c r="I917"/>
      <c r="J917"/>
      <c r="K917"/>
      <c r="L917"/>
      <c r="M917"/>
      <c r="N917"/>
      <c r="O917"/>
      <c r="P917"/>
      <c r="Q917"/>
      <c r="R917"/>
    </row>
    <row r="918" spans="1:18" x14ac:dyDescent="0.4">
      <c r="A918"/>
      <c r="B918"/>
      <c r="C918"/>
      <c r="D918"/>
      <c r="E918"/>
      <c r="F918"/>
      <c r="G918"/>
      <c r="H918"/>
      <c r="I918"/>
      <c r="J918"/>
      <c r="K918"/>
      <c r="L918"/>
      <c r="M918"/>
      <c r="N918"/>
      <c r="O918"/>
      <c r="P918"/>
      <c r="Q918"/>
      <c r="R918"/>
    </row>
    <row r="919" spans="1:18" x14ac:dyDescent="0.4">
      <c r="A919"/>
      <c r="B919"/>
      <c r="C919"/>
      <c r="D919"/>
      <c r="E919"/>
      <c r="F919"/>
      <c r="G919"/>
      <c r="H919"/>
      <c r="I919"/>
      <c r="J919"/>
      <c r="K919"/>
      <c r="L919"/>
      <c r="M919"/>
      <c r="N919"/>
      <c r="O919"/>
      <c r="P919"/>
      <c r="Q919"/>
      <c r="R919"/>
    </row>
    <row r="920" spans="1:18" x14ac:dyDescent="0.4">
      <c r="A920"/>
      <c r="B920"/>
      <c r="C920"/>
      <c r="D920"/>
      <c r="E920"/>
      <c r="F920"/>
      <c r="G920"/>
      <c r="H920"/>
      <c r="I920"/>
      <c r="J920"/>
      <c r="K920"/>
      <c r="L920"/>
      <c r="M920"/>
      <c r="N920"/>
      <c r="O920"/>
      <c r="P920"/>
      <c r="Q920"/>
      <c r="R920"/>
    </row>
    <row r="921" spans="1:18" x14ac:dyDescent="0.4">
      <c r="A921"/>
      <c r="B921"/>
      <c r="C921"/>
      <c r="D921"/>
      <c r="E921"/>
      <c r="F921"/>
      <c r="G921"/>
      <c r="H921"/>
      <c r="I921"/>
      <c r="J921"/>
      <c r="K921"/>
      <c r="L921"/>
      <c r="M921"/>
      <c r="N921"/>
      <c r="O921"/>
      <c r="P921"/>
      <c r="Q921"/>
      <c r="R921"/>
    </row>
    <row r="922" spans="1:18" x14ac:dyDescent="0.4">
      <c r="A922"/>
      <c r="B922"/>
      <c r="C922"/>
      <c r="D922"/>
      <c r="E922"/>
      <c r="F922"/>
      <c r="G922"/>
      <c r="H922"/>
      <c r="I922"/>
      <c r="J922"/>
      <c r="K922"/>
      <c r="L922"/>
      <c r="M922"/>
      <c r="N922"/>
      <c r="O922"/>
      <c r="P922"/>
      <c r="Q922"/>
      <c r="R922"/>
    </row>
    <row r="923" spans="1:18" x14ac:dyDescent="0.4">
      <c r="A923"/>
      <c r="B923"/>
      <c r="C923"/>
      <c r="D923"/>
      <c r="E923"/>
      <c r="F923"/>
      <c r="G923"/>
      <c r="H923"/>
      <c r="I923"/>
      <c r="J923"/>
      <c r="K923"/>
      <c r="L923"/>
      <c r="M923"/>
      <c r="N923"/>
      <c r="O923"/>
      <c r="P923"/>
      <c r="Q923"/>
      <c r="R923"/>
    </row>
    <row r="924" spans="1:18" x14ac:dyDescent="0.4">
      <c r="A924"/>
      <c r="B924"/>
      <c r="C924"/>
      <c r="D924"/>
      <c r="E924"/>
      <c r="F924"/>
      <c r="G924"/>
      <c r="H924"/>
      <c r="I924"/>
      <c r="J924"/>
      <c r="K924"/>
      <c r="L924"/>
      <c r="M924"/>
      <c r="N924"/>
      <c r="O924"/>
      <c r="P924"/>
      <c r="Q924"/>
      <c r="R924"/>
    </row>
    <row r="925" spans="1:18" x14ac:dyDescent="0.4">
      <c r="A925"/>
      <c r="B925"/>
      <c r="C925"/>
      <c r="D925"/>
      <c r="E925"/>
      <c r="F925"/>
      <c r="G925"/>
      <c r="H925"/>
      <c r="I925"/>
      <c r="J925"/>
      <c r="K925"/>
      <c r="L925"/>
      <c r="M925"/>
      <c r="N925"/>
      <c r="O925"/>
      <c r="P925"/>
      <c r="Q925"/>
      <c r="R925"/>
    </row>
    <row r="926" spans="1:18" x14ac:dyDescent="0.4">
      <c r="A926"/>
      <c r="B926"/>
      <c r="C926"/>
      <c r="D926"/>
      <c r="E926"/>
      <c r="F926"/>
      <c r="G926"/>
      <c r="H926"/>
      <c r="I926"/>
      <c r="J926"/>
      <c r="K926"/>
      <c r="L926"/>
      <c r="M926"/>
      <c r="N926"/>
      <c r="O926"/>
      <c r="P926"/>
      <c r="Q926"/>
      <c r="R926"/>
    </row>
    <row r="927" spans="1:18" x14ac:dyDescent="0.4">
      <c r="A927"/>
      <c r="B927"/>
      <c r="C927"/>
      <c r="D927"/>
      <c r="E927"/>
      <c r="F927"/>
      <c r="G927"/>
      <c r="H927"/>
      <c r="I927"/>
      <c r="J927"/>
      <c r="K927"/>
      <c r="L927"/>
      <c r="M927"/>
      <c r="N927"/>
      <c r="O927"/>
      <c r="P927"/>
      <c r="Q927"/>
      <c r="R927"/>
    </row>
    <row r="928" spans="1:18" x14ac:dyDescent="0.4">
      <c r="A928"/>
      <c r="B928"/>
      <c r="C928"/>
      <c r="D928"/>
      <c r="E928"/>
      <c r="F928"/>
      <c r="G928"/>
      <c r="H928"/>
      <c r="I928"/>
      <c r="J928"/>
      <c r="K928"/>
      <c r="L928"/>
      <c r="M928"/>
      <c r="N928"/>
      <c r="O928"/>
      <c r="P928"/>
      <c r="Q928"/>
      <c r="R928"/>
    </row>
    <row r="929" spans="1:18" x14ac:dyDescent="0.4">
      <c r="A929"/>
      <c r="B929"/>
      <c r="C929"/>
      <c r="D929"/>
      <c r="E929"/>
      <c r="F929"/>
      <c r="G929"/>
      <c r="H929"/>
      <c r="I929"/>
      <c r="J929"/>
      <c r="K929"/>
      <c r="L929"/>
      <c r="M929"/>
      <c r="N929"/>
      <c r="O929"/>
      <c r="P929"/>
      <c r="Q929"/>
      <c r="R929"/>
    </row>
    <row r="930" spans="1:18" x14ac:dyDescent="0.4">
      <c r="A930"/>
      <c r="B930"/>
      <c r="C930"/>
      <c r="D930"/>
      <c r="E930"/>
      <c r="F930"/>
      <c r="G930"/>
      <c r="H930"/>
      <c r="I930"/>
      <c r="J930"/>
      <c r="K930"/>
      <c r="L930"/>
      <c r="M930"/>
      <c r="N930"/>
      <c r="O930"/>
      <c r="P930"/>
      <c r="Q930"/>
      <c r="R930"/>
    </row>
    <row r="931" spans="1:18" x14ac:dyDescent="0.4">
      <c r="A931"/>
      <c r="B931"/>
      <c r="C931"/>
      <c r="D931"/>
      <c r="E931"/>
      <c r="F931"/>
      <c r="G931"/>
      <c r="H931"/>
      <c r="I931"/>
      <c r="J931"/>
      <c r="K931"/>
      <c r="L931"/>
      <c r="M931"/>
      <c r="N931"/>
      <c r="O931"/>
      <c r="P931"/>
      <c r="Q931"/>
      <c r="R931"/>
    </row>
    <row r="932" spans="1:18" x14ac:dyDescent="0.4">
      <c r="A932"/>
      <c r="B932"/>
      <c r="C932"/>
      <c r="D932"/>
      <c r="E932"/>
      <c r="F932"/>
      <c r="G932"/>
      <c r="H932"/>
      <c r="I932"/>
      <c r="J932"/>
      <c r="K932"/>
      <c r="L932"/>
      <c r="M932"/>
      <c r="N932"/>
      <c r="O932"/>
      <c r="P932"/>
      <c r="Q932"/>
      <c r="R932"/>
    </row>
    <row r="933" spans="1:18" x14ac:dyDescent="0.4">
      <c r="A933"/>
      <c r="B933"/>
      <c r="C933"/>
      <c r="D933"/>
      <c r="E933"/>
      <c r="F933"/>
      <c r="G933"/>
      <c r="H933"/>
      <c r="I933"/>
      <c r="J933"/>
      <c r="K933"/>
      <c r="L933"/>
      <c r="M933"/>
      <c r="N933"/>
      <c r="O933"/>
      <c r="P933"/>
      <c r="Q933"/>
      <c r="R933"/>
    </row>
    <row r="934" spans="1:18" x14ac:dyDescent="0.4">
      <c r="A934"/>
      <c r="B934"/>
      <c r="C934"/>
      <c r="D934"/>
      <c r="E934"/>
      <c r="F934"/>
      <c r="G934"/>
      <c r="H934"/>
      <c r="I934"/>
      <c r="J934"/>
      <c r="K934"/>
      <c r="L934"/>
      <c r="M934"/>
      <c r="N934"/>
      <c r="O934"/>
      <c r="P934"/>
      <c r="Q934"/>
      <c r="R934"/>
    </row>
    <row r="935" spans="1:18" x14ac:dyDescent="0.4">
      <c r="A935"/>
      <c r="B935"/>
      <c r="C935"/>
      <c r="D935"/>
      <c r="E935"/>
      <c r="F935"/>
      <c r="G935"/>
      <c r="H935"/>
      <c r="I935"/>
      <c r="J935"/>
      <c r="K935"/>
      <c r="L935"/>
      <c r="M935"/>
      <c r="N935"/>
      <c r="O935"/>
      <c r="P935"/>
      <c r="Q935"/>
      <c r="R935"/>
    </row>
    <row r="936" spans="1:18" x14ac:dyDescent="0.4">
      <c r="A936"/>
      <c r="B936"/>
      <c r="C936"/>
      <c r="D936"/>
      <c r="E936"/>
      <c r="F936"/>
      <c r="G936"/>
      <c r="H936"/>
      <c r="I936"/>
      <c r="J936"/>
      <c r="K936"/>
      <c r="L936"/>
      <c r="M936"/>
      <c r="N936"/>
      <c r="O936"/>
      <c r="P936"/>
      <c r="Q936"/>
      <c r="R936"/>
    </row>
    <row r="937" spans="1:18" x14ac:dyDescent="0.4">
      <c r="A937"/>
      <c r="B937"/>
      <c r="C937"/>
      <c r="D937"/>
      <c r="E937"/>
      <c r="F937"/>
      <c r="G937"/>
      <c r="H937"/>
      <c r="I937"/>
      <c r="J937"/>
      <c r="K937"/>
      <c r="L937"/>
      <c r="M937"/>
      <c r="N937"/>
      <c r="O937"/>
      <c r="P937"/>
      <c r="Q937"/>
      <c r="R937"/>
    </row>
    <row r="938" spans="1:18" x14ac:dyDescent="0.4">
      <c r="A938"/>
      <c r="B938"/>
      <c r="C938"/>
      <c r="D938"/>
      <c r="E938"/>
      <c r="F938"/>
      <c r="G938"/>
      <c r="H938"/>
      <c r="I938"/>
      <c r="J938"/>
      <c r="K938"/>
      <c r="L938"/>
      <c r="M938"/>
      <c r="N938"/>
      <c r="O938"/>
      <c r="P938"/>
      <c r="Q938"/>
      <c r="R938"/>
    </row>
    <row r="939" spans="1:18" x14ac:dyDescent="0.4">
      <c r="A939"/>
      <c r="B939"/>
      <c r="C939"/>
      <c r="D939"/>
      <c r="E939"/>
      <c r="F939"/>
      <c r="G939"/>
      <c r="H939"/>
      <c r="I939"/>
      <c r="J939"/>
      <c r="K939"/>
      <c r="L939"/>
      <c r="M939"/>
      <c r="N939"/>
      <c r="O939"/>
      <c r="P939"/>
      <c r="Q939"/>
      <c r="R939"/>
    </row>
    <row r="940" spans="1:18" x14ac:dyDescent="0.4">
      <c r="A940"/>
      <c r="B940"/>
      <c r="C940"/>
      <c r="D940"/>
      <c r="E940"/>
      <c r="F940"/>
      <c r="G940"/>
      <c r="H940"/>
      <c r="I940"/>
      <c r="J940"/>
      <c r="K940"/>
      <c r="L940"/>
      <c r="M940"/>
      <c r="N940"/>
      <c r="O940"/>
      <c r="P940"/>
      <c r="Q940"/>
      <c r="R940"/>
    </row>
    <row r="941" spans="1:18" x14ac:dyDescent="0.4">
      <c r="A941"/>
      <c r="B941"/>
      <c r="C941"/>
      <c r="D941"/>
      <c r="E941"/>
      <c r="F941"/>
      <c r="G941"/>
      <c r="H941"/>
      <c r="I941"/>
      <c r="J941"/>
      <c r="K941"/>
      <c r="L941"/>
      <c r="M941"/>
      <c r="N941"/>
      <c r="O941"/>
      <c r="P941"/>
      <c r="Q941"/>
      <c r="R941"/>
    </row>
    <row r="942" spans="1:18" x14ac:dyDescent="0.4">
      <c r="A942"/>
      <c r="B942"/>
      <c r="C942"/>
      <c r="D942"/>
      <c r="E942"/>
      <c r="F942"/>
      <c r="G942"/>
      <c r="H942"/>
      <c r="I942"/>
      <c r="J942"/>
      <c r="K942"/>
      <c r="L942"/>
      <c r="M942"/>
      <c r="N942"/>
      <c r="O942"/>
      <c r="P942"/>
      <c r="Q942"/>
      <c r="R942"/>
    </row>
    <row r="943" spans="1:18" x14ac:dyDescent="0.4">
      <c r="A943"/>
      <c r="B943"/>
      <c r="C943"/>
      <c r="D943"/>
      <c r="E943"/>
      <c r="F943"/>
      <c r="G943"/>
      <c r="H943"/>
      <c r="I943"/>
      <c r="J943"/>
      <c r="K943"/>
      <c r="L943"/>
      <c r="M943"/>
      <c r="N943"/>
      <c r="O943"/>
      <c r="P943"/>
      <c r="Q943"/>
      <c r="R943"/>
    </row>
    <row r="944" spans="1:18" x14ac:dyDescent="0.4">
      <c r="A944"/>
      <c r="B944"/>
      <c r="C944"/>
      <c r="D944"/>
      <c r="E944"/>
      <c r="F944"/>
      <c r="G944"/>
      <c r="H944"/>
      <c r="I944"/>
      <c r="J944"/>
      <c r="K944"/>
      <c r="L944"/>
      <c r="M944"/>
      <c r="N944"/>
      <c r="O944"/>
      <c r="P944"/>
      <c r="Q944"/>
      <c r="R944"/>
    </row>
    <row r="945" spans="1:18" x14ac:dyDescent="0.4">
      <c r="A945"/>
      <c r="B945"/>
      <c r="C945"/>
      <c r="D945"/>
      <c r="E945"/>
      <c r="F945"/>
      <c r="G945"/>
      <c r="H945"/>
      <c r="I945"/>
      <c r="J945"/>
      <c r="K945"/>
      <c r="L945"/>
      <c r="M945"/>
      <c r="N945"/>
      <c r="O945"/>
      <c r="P945"/>
      <c r="Q945"/>
      <c r="R945"/>
    </row>
    <row r="946" spans="1:18" x14ac:dyDescent="0.4">
      <c r="A946"/>
      <c r="B946"/>
      <c r="C946"/>
      <c r="D946"/>
      <c r="E946"/>
      <c r="F946"/>
      <c r="G946"/>
      <c r="H946"/>
      <c r="I946"/>
      <c r="J946"/>
      <c r="K946"/>
      <c r="L946"/>
      <c r="M946"/>
      <c r="N946"/>
      <c r="O946"/>
      <c r="P946"/>
      <c r="Q946"/>
      <c r="R946"/>
    </row>
    <row r="947" spans="1:18" x14ac:dyDescent="0.4">
      <c r="A947"/>
      <c r="B947"/>
      <c r="C947"/>
      <c r="D947"/>
      <c r="E947"/>
      <c r="F947"/>
      <c r="G947"/>
      <c r="H947"/>
      <c r="I947"/>
      <c r="J947"/>
      <c r="K947"/>
      <c r="L947"/>
      <c r="M947"/>
      <c r="N947"/>
      <c r="O947"/>
      <c r="P947"/>
      <c r="Q947"/>
      <c r="R947"/>
    </row>
    <row r="948" spans="1:18" x14ac:dyDescent="0.4">
      <c r="A948"/>
      <c r="B948"/>
      <c r="C948"/>
      <c r="D948"/>
      <c r="E948"/>
      <c r="F948"/>
      <c r="G948"/>
      <c r="H948"/>
      <c r="I948"/>
      <c r="J948"/>
      <c r="K948"/>
      <c r="L948"/>
      <c r="M948"/>
      <c r="N948"/>
      <c r="O948"/>
      <c r="P948"/>
      <c r="Q948"/>
      <c r="R948"/>
    </row>
    <row r="949" spans="1:18" x14ac:dyDescent="0.4">
      <c r="A949"/>
      <c r="B949"/>
      <c r="C949"/>
      <c r="D949"/>
      <c r="E949"/>
      <c r="F949"/>
      <c r="G949"/>
      <c r="H949"/>
      <c r="I949"/>
      <c r="J949"/>
      <c r="K949"/>
      <c r="L949"/>
      <c r="M949"/>
      <c r="N949"/>
      <c r="O949"/>
      <c r="P949"/>
      <c r="Q949"/>
      <c r="R949"/>
    </row>
    <row r="950" spans="1:18" x14ac:dyDescent="0.4">
      <c r="A950"/>
      <c r="B950"/>
      <c r="C950"/>
      <c r="D950"/>
      <c r="E950"/>
      <c r="F950"/>
      <c r="G950"/>
      <c r="H950"/>
      <c r="I950"/>
      <c r="J950"/>
      <c r="K950"/>
      <c r="L950"/>
      <c r="M950"/>
      <c r="N950"/>
      <c r="O950"/>
      <c r="P950"/>
      <c r="Q950"/>
      <c r="R950"/>
    </row>
    <row r="951" spans="1:18" x14ac:dyDescent="0.4">
      <c r="A951"/>
      <c r="B951"/>
      <c r="C951"/>
      <c r="D951"/>
      <c r="E951"/>
      <c r="F951"/>
      <c r="G951"/>
      <c r="H951"/>
      <c r="I951"/>
      <c r="J951"/>
      <c r="K951"/>
      <c r="L951"/>
      <c r="M951"/>
      <c r="N951"/>
      <c r="O951"/>
      <c r="P951"/>
      <c r="Q951"/>
      <c r="R951"/>
    </row>
    <row r="952" spans="1:18" x14ac:dyDescent="0.4">
      <c r="A952"/>
      <c r="B952"/>
      <c r="C952"/>
      <c r="D952"/>
      <c r="E952"/>
      <c r="F952"/>
      <c r="G952"/>
      <c r="H952"/>
      <c r="I952"/>
      <c r="J952"/>
      <c r="K952"/>
      <c r="L952"/>
      <c r="M952"/>
      <c r="N952"/>
      <c r="O952"/>
      <c r="P952"/>
      <c r="Q952"/>
      <c r="R952"/>
    </row>
    <row r="953" spans="1:18" x14ac:dyDescent="0.4">
      <c r="A953"/>
      <c r="B953"/>
      <c r="C953"/>
      <c r="D953"/>
      <c r="E953"/>
      <c r="F953"/>
      <c r="G953"/>
      <c r="H953"/>
      <c r="I953"/>
      <c r="J953"/>
      <c r="K953"/>
      <c r="L953"/>
      <c r="M953"/>
      <c r="N953"/>
      <c r="O953"/>
      <c r="P953"/>
      <c r="Q953"/>
      <c r="R953"/>
    </row>
    <row r="954" spans="1:18" x14ac:dyDescent="0.4">
      <c r="A954"/>
      <c r="B954"/>
      <c r="C954"/>
      <c r="D954"/>
      <c r="E954"/>
      <c r="F954"/>
      <c r="G954"/>
      <c r="H954"/>
      <c r="I954"/>
      <c r="J954"/>
      <c r="K954"/>
      <c r="L954"/>
      <c r="M954"/>
      <c r="N954"/>
      <c r="O954"/>
      <c r="P954"/>
      <c r="Q954"/>
      <c r="R954"/>
    </row>
    <row r="955" spans="1:18" x14ac:dyDescent="0.4">
      <c r="A955"/>
      <c r="B955"/>
      <c r="C955"/>
      <c r="D955"/>
      <c r="E955"/>
      <c r="F955"/>
      <c r="G955"/>
      <c r="H955"/>
      <c r="I955"/>
      <c r="J955"/>
      <c r="K955"/>
      <c r="L955"/>
      <c r="M955"/>
      <c r="N955"/>
      <c r="O955"/>
      <c r="P955"/>
      <c r="Q955"/>
      <c r="R955"/>
    </row>
    <row r="956" spans="1:18" x14ac:dyDescent="0.4">
      <c r="A956"/>
      <c r="B956"/>
      <c r="C956"/>
      <c r="D956"/>
      <c r="E956"/>
      <c r="F956"/>
      <c r="G956"/>
      <c r="H956"/>
      <c r="I956"/>
      <c r="J956"/>
      <c r="K956"/>
      <c r="L956"/>
      <c r="M956"/>
      <c r="N956"/>
      <c r="O956"/>
      <c r="P956"/>
      <c r="Q956"/>
      <c r="R956"/>
    </row>
    <row r="957" spans="1:18" x14ac:dyDescent="0.4">
      <c r="A957"/>
      <c r="B957"/>
      <c r="C957"/>
      <c r="D957"/>
      <c r="E957"/>
      <c r="F957"/>
      <c r="G957"/>
      <c r="H957"/>
      <c r="I957"/>
      <c r="J957"/>
      <c r="K957"/>
      <c r="L957"/>
      <c r="M957"/>
      <c r="N957"/>
      <c r="O957"/>
      <c r="P957"/>
      <c r="Q957"/>
      <c r="R957"/>
    </row>
    <row r="958" spans="1:18" x14ac:dyDescent="0.4">
      <c r="A958"/>
      <c r="B958"/>
      <c r="C958"/>
      <c r="D958"/>
      <c r="E958"/>
      <c r="F958"/>
      <c r="G958"/>
      <c r="H958"/>
      <c r="I958"/>
      <c r="J958"/>
      <c r="K958"/>
      <c r="L958"/>
      <c r="M958"/>
      <c r="N958"/>
      <c r="O958"/>
      <c r="P958"/>
      <c r="Q958"/>
      <c r="R958"/>
    </row>
    <row r="959" spans="1:18" x14ac:dyDescent="0.4">
      <c r="A959"/>
      <c r="B959"/>
      <c r="C959"/>
      <c r="D959"/>
      <c r="E959"/>
      <c r="F959"/>
      <c r="G959"/>
      <c r="H959"/>
      <c r="I959"/>
      <c r="J959"/>
      <c r="K959"/>
      <c r="L959"/>
      <c r="M959"/>
      <c r="N959"/>
      <c r="O959"/>
      <c r="P959"/>
      <c r="Q959"/>
      <c r="R959"/>
    </row>
    <row r="960" spans="1:18" x14ac:dyDescent="0.4">
      <c r="A960"/>
      <c r="B960"/>
      <c r="C960"/>
      <c r="D960"/>
      <c r="E960"/>
      <c r="F960"/>
      <c r="G960"/>
      <c r="H960"/>
      <c r="I960"/>
      <c r="J960"/>
      <c r="K960"/>
      <c r="L960"/>
      <c r="M960"/>
      <c r="N960"/>
      <c r="O960"/>
      <c r="P960"/>
      <c r="Q960"/>
      <c r="R960"/>
    </row>
    <row r="961" spans="1:18" x14ac:dyDescent="0.4">
      <c r="A961"/>
      <c r="B961"/>
      <c r="C961"/>
      <c r="D961"/>
      <c r="E961"/>
      <c r="F961"/>
      <c r="G961"/>
      <c r="H961"/>
      <c r="I961"/>
      <c r="J961"/>
      <c r="K961"/>
      <c r="L961"/>
      <c r="M961"/>
      <c r="N961"/>
      <c r="O961"/>
      <c r="P961"/>
      <c r="Q961"/>
      <c r="R961"/>
    </row>
    <row r="962" spans="1:18" x14ac:dyDescent="0.4">
      <c r="A962"/>
      <c r="B962"/>
      <c r="C962"/>
      <c r="D962"/>
      <c r="E962"/>
      <c r="F962"/>
      <c r="G962"/>
      <c r="H962"/>
      <c r="I962"/>
      <c r="J962"/>
      <c r="K962"/>
      <c r="L962"/>
      <c r="M962"/>
      <c r="N962"/>
      <c r="O962"/>
      <c r="P962"/>
      <c r="Q962"/>
      <c r="R962"/>
    </row>
    <row r="963" spans="1:18" x14ac:dyDescent="0.4">
      <c r="A963"/>
      <c r="B963"/>
      <c r="C963"/>
      <c r="D963"/>
      <c r="E963"/>
      <c r="F963"/>
      <c r="G963"/>
      <c r="H963"/>
      <c r="I963"/>
      <c r="J963"/>
      <c r="K963"/>
      <c r="L963"/>
      <c r="M963"/>
      <c r="N963"/>
      <c r="O963"/>
      <c r="P963"/>
      <c r="Q963"/>
      <c r="R963"/>
    </row>
    <row r="964" spans="1:18" x14ac:dyDescent="0.4">
      <c r="A964"/>
      <c r="B964"/>
      <c r="C964"/>
      <c r="D964"/>
      <c r="E964"/>
      <c r="F964"/>
      <c r="G964"/>
      <c r="H964"/>
      <c r="I964"/>
      <c r="J964"/>
      <c r="K964"/>
      <c r="L964"/>
      <c r="M964"/>
      <c r="N964"/>
      <c r="O964"/>
      <c r="P964"/>
      <c r="Q964"/>
      <c r="R964"/>
    </row>
    <row r="965" spans="1:18" x14ac:dyDescent="0.4">
      <c r="A965"/>
      <c r="B965"/>
      <c r="C965"/>
      <c r="D965"/>
      <c r="E965"/>
      <c r="F965"/>
      <c r="G965"/>
      <c r="H965"/>
      <c r="I965"/>
      <c r="J965"/>
      <c r="K965"/>
      <c r="L965"/>
      <c r="M965"/>
      <c r="N965"/>
      <c r="O965"/>
      <c r="P965"/>
      <c r="Q965"/>
      <c r="R965"/>
    </row>
    <row r="966" spans="1:18" x14ac:dyDescent="0.4">
      <c r="A966"/>
      <c r="B966"/>
      <c r="C966"/>
      <c r="D966"/>
      <c r="E966"/>
      <c r="F966"/>
      <c r="G966"/>
      <c r="H966"/>
      <c r="I966"/>
      <c r="J966"/>
      <c r="K966"/>
      <c r="L966"/>
      <c r="M966"/>
      <c r="N966"/>
      <c r="O966"/>
      <c r="P966"/>
      <c r="Q966"/>
      <c r="R966"/>
    </row>
    <row r="967" spans="1:18" x14ac:dyDescent="0.4">
      <c r="A967"/>
      <c r="B967"/>
      <c r="C967"/>
      <c r="D967"/>
      <c r="E967"/>
      <c r="F967"/>
      <c r="G967"/>
      <c r="H967"/>
      <c r="I967"/>
      <c r="J967"/>
      <c r="K967"/>
      <c r="L967"/>
      <c r="M967"/>
      <c r="N967"/>
      <c r="O967"/>
      <c r="P967"/>
      <c r="Q967"/>
      <c r="R967"/>
    </row>
    <row r="968" spans="1:18" x14ac:dyDescent="0.4">
      <c r="A968"/>
      <c r="B968"/>
      <c r="C968"/>
      <c r="D968"/>
      <c r="E968"/>
      <c r="F968"/>
      <c r="G968"/>
      <c r="H968"/>
      <c r="I968"/>
      <c r="J968"/>
      <c r="K968"/>
      <c r="L968"/>
      <c r="M968"/>
      <c r="N968"/>
      <c r="O968"/>
      <c r="P968"/>
      <c r="Q968"/>
      <c r="R968"/>
    </row>
    <row r="969" spans="1:18" x14ac:dyDescent="0.4">
      <c r="A969"/>
      <c r="B969"/>
      <c r="C969"/>
      <c r="D969"/>
      <c r="E969"/>
      <c r="F969"/>
      <c r="G969"/>
      <c r="H969"/>
      <c r="I969"/>
      <c r="J969"/>
      <c r="K969"/>
      <c r="L969"/>
      <c r="M969"/>
      <c r="N969"/>
      <c r="O969"/>
      <c r="P969"/>
      <c r="Q969"/>
      <c r="R969"/>
    </row>
    <row r="970" spans="1:18" x14ac:dyDescent="0.4">
      <c r="A970"/>
      <c r="B970"/>
      <c r="C970"/>
      <c r="D970"/>
      <c r="E970"/>
      <c r="F970"/>
      <c r="G970"/>
      <c r="H970"/>
      <c r="I970"/>
      <c r="J970"/>
      <c r="K970"/>
      <c r="L970"/>
      <c r="M970"/>
      <c r="N970"/>
      <c r="O970"/>
      <c r="P970"/>
      <c r="Q970"/>
      <c r="R970"/>
    </row>
    <row r="971" spans="1:18" x14ac:dyDescent="0.4">
      <c r="A971"/>
      <c r="B971"/>
      <c r="C971"/>
      <c r="D971"/>
      <c r="E971"/>
      <c r="F971"/>
      <c r="G971"/>
      <c r="H971"/>
      <c r="I971"/>
      <c r="J971"/>
      <c r="K971"/>
      <c r="L971"/>
      <c r="M971"/>
      <c r="N971"/>
      <c r="O971"/>
      <c r="P971"/>
      <c r="Q971"/>
      <c r="R971"/>
    </row>
    <row r="972" spans="1:18" x14ac:dyDescent="0.4">
      <c r="A972"/>
      <c r="B972"/>
      <c r="C972"/>
      <c r="D972"/>
      <c r="E972"/>
      <c r="F972"/>
      <c r="G972"/>
      <c r="H972"/>
      <c r="I972"/>
      <c r="J972"/>
      <c r="K972"/>
      <c r="L972"/>
      <c r="M972"/>
      <c r="N972"/>
      <c r="O972"/>
      <c r="P972"/>
      <c r="Q972"/>
      <c r="R972"/>
    </row>
    <row r="973" spans="1:18" x14ac:dyDescent="0.4">
      <c r="A973"/>
      <c r="B973"/>
      <c r="C973"/>
      <c r="D973"/>
      <c r="E973"/>
      <c r="F973"/>
      <c r="G973"/>
      <c r="H973"/>
      <c r="I973"/>
      <c r="J973"/>
      <c r="K973"/>
      <c r="L973"/>
      <c r="M973"/>
      <c r="N973"/>
      <c r="O973"/>
      <c r="P973"/>
      <c r="Q973"/>
      <c r="R973"/>
    </row>
    <row r="974" spans="1:18" x14ac:dyDescent="0.4">
      <c r="A974"/>
      <c r="B974"/>
      <c r="C974"/>
      <c r="D974"/>
      <c r="E974"/>
      <c r="F974"/>
      <c r="G974"/>
      <c r="H974"/>
      <c r="I974"/>
      <c r="J974"/>
      <c r="K974"/>
      <c r="L974"/>
      <c r="M974"/>
      <c r="N974"/>
      <c r="O974"/>
      <c r="P974"/>
      <c r="Q974"/>
      <c r="R974"/>
    </row>
    <row r="975" spans="1:18" x14ac:dyDescent="0.4">
      <c r="A975"/>
      <c r="B975"/>
      <c r="C975"/>
      <c r="D975"/>
      <c r="E975"/>
      <c r="F975"/>
      <c r="G975"/>
      <c r="H975"/>
      <c r="I975"/>
      <c r="J975"/>
      <c r="K975"/>
      <c r="L975"/>
      <c r="M975"/>
      <c r="N975"/>
      <c r="O975"/>
      <c r="P975"/>
      <c r="Q975"/>
      <c r="R975"/>
    </row>
    <row r="976" spans="1:18" x14ac:dyDescent="0.4">
      <c r="A976"/>
      <c r="B976"/>
      <c r="C976"/>
      <c r="D976"/>
      <c r="E976"/>
      <c r="F976"/>
      <c r="G976"/>
      <c r="H976"/>
      <c r="I976"/>
      <c r="J976"/>
      <c r="K976"/>
      <c r="L976"/>
      <c r="M976"/>
      <c r="N976"/>
      <c r="O976"/>
      <c r="P976"/>
      <c r="Q976"/>
      <c r="R976"/>
    </row>
    <row r="977" spans="1:18" x14ac:dyDescent="0.4">
      <c r="A977"/>
      <c r="B977"/>
      <c r="C977"/>
      <c r="D977"/>
      <c r="E977"/>
      <c r="F977"/>
      <c r="G977"/>
      <c r="H977"/>
      <c r="I977"/>
      <c r="J977"/>
      <c r="K977"/>
      <c r="L977"/>
      <c r="M977"/>
      <c r="N977"/>
      <c r="O977"/>
      <c r="P977"/>
      <c r="Q977"/>
      <c r="R977"/>
    </row>
    <row r="978" spans="1:18" x14ac:dyDescent="0.4">
      <c r="A978"/>
      <c r="B978"/>
      <c r="C978"/>
      <c r="D978"/>
      <c r="E978"/>
      <c r="F978"/>
      <c r="G978"/>
      <c r="H978"/>
      <c r="I978"/>
      <c r="J978"/>
      <c r="K978"/>
      <c r="L978"/>
      <c r="M978"/>
      <c r="N978"/>
      <c r="O978"/>
      <c r="P978"/>
      <c r="Q978"/>
      <c r="R978"/>
    </row>
    <row r="979" spans="1:18" x14ac:dyDescent="0.4">
      <c r="A979"/>
      <c r="B979"/>
      <c r="C979"/>
      <c r="D979"/>
      <c r="E979"/>
      <c r="F979"/>
      <c r="G979"/>
      <c r="H979"/>
      <c r="I979"/>
      <c r="J979"/>
      <c r="K979"/>
      <c r="L979"/>
      <c r="M979"/>
      <c r="N979"/>
      <c r="O979"/>
      <c r="P979"/>
      <c r="Q979"/>
      <c r="R979"/>
    </row>
    <row r="980" spans="1:18" x14ac:dyDescent="0.4">
      <c r="A980"/>
      <c r="B980"/>
      <c r="C980"/>
      <c r="D980"/>
      <c r="E980"/>
      <c r="F980"/>
      <c r="G980"/>
      <c r="H980"/>
      <c r="I980"/>
      <c r="J980"/>
      <c r="K980"/>
      <c r="L980"/>
      <c r="M980"/>
      <c r="N980"/>
      <c r="O980"/>
      <c r="P980"/>
      <c r="Q980"/>
      <c r="R980"/>
    </row>
    <row r="981" spans="1:18" x14ac:dyDescent="0.4">
      <c r="A981"/>
      <c r="B981"/>
      <c r="C981"/>
      <c r="D981"/>
      <c r="E981"/>
      <c r="F981"/>
      <c r="G981"/>
      <c r="H981"/>
      <c r="I981"/>
      <c r="J981"/>
      <c r="K981"/>
      <c r="L981"/>
      <c r="M981"/>
      <c r="N981"/>
      <c r="O981"/>
      <c r="P981"/>
      <c r="Q981"/>
      <c r="R981"/>
    </row>
    <row r="982" spans="1:18" x14ac:dyDescent="0.4">
      <c r="A982"/>
      <c r="B982"/>
      <c r="C982"/>
      <c r="D982"/>
      <c r="E982"/>
      <c r="F982"/>
      <c r="G982"/>
      <c r="H982"/>
      <c r="I982"/>
      <c r="J982"/>
      <c r="K982"/>
      <c r="L982"/>
      <c r="M982"/>
      <c r="N982"/>
      <c r="O982"/>
      <c r="P982"/>
      <c r="Q982"/>
      <c r="R982"/>
    </row>
    <row r="983" spans="1:18" x14ac:dyDescent="0.4">
      <c r="A983"/>
      <c r="B983"/>
      <c r="C983"/>
      <c r="D983"/>
      <c r="E983"/>
      <c r="F983"/>
      <c r="G983"/>
      <c r="H983"/>
      <c r="I983"/>
      <c r="J983"/>
      <c r="K983"/>
      <c r="L983"/>
      <c r="M983"/>
      <c r="N983"/>
      <c r="O983"/>
      <c r="P983"/>
      <c r="Q983"/>
      <c r="R983"/>
    </row>
    <row r="984" spans="1:18" x14ac:dyDescent="0.4">
      <c r="A984"/>
      <c r="B984"/>
      <c r="C984"/>
      <c r="D984"/>
      <c r="E984"/>
      <c r="F984"/>
      <c r="G984"/>
      <c r="H984"/>
      <c r="I984"/>
      <c r="J984"/>
      <c r="K984"/>
      <c r="L984"/>
      <c r="M984"/>
      <c r="N984"/>
      <c r="O984"/>
      <c r="P984"/>
      <c r="Q984"/>
      <c r="R984"/>
    </row>
    <row r="985" spans="1:18" x14ac:dyDescent="0.4">
      <c r="A985"/>
      <c r="B985"/>
      <c r="C985"/>
      <c r="D985"/>
      <c r="E985"/>
      <c r="F985"/>
      <c r="G985"/>
      <c r="H985"/>
      <c r="I985"/>
      <c r="J985"/>
      <c r="K985"/>
      <c r="L985"/>
      <c r="M985"/>
      <c r="N985"/>
      <c r="O985"/>
      <c r="P985"/>
      <c r="Q985"/>
      <c r="R985"/>
    </row>
    <row r="986" spans="1:18" x14ac:dyDescent="0.4">
      <c r="A986"/>
      <c r="B986"/>
      <c r="C986"/>
      <c r="D986"/>
      <c r="E986"/>
      <c r="F986"/>
      <c r="G986"/>
      <c r="H986"/>
      <c r="I986"/>
      <c r="J986"/>
      <c r="K986"/>
      <c r="L986"/>
      <c r="M986"/>
      <c r="N986"/>
      <c r="O986"/>
      <c r="P986"/>
      <c r="Q986"/>
      <c r="R986"/>
    </row>
    <row r="987" spans="1:18" x14ac:dyDescent="0.4">
      <c r="A987"/>
      <c r="B987"/>
      <c r="C987"/>
      <c r="D987"/>
      <c r="E987"/>
      <c r="F987"/>
      <c r="G987"/>
      <c r="H987"/>
      <c r="I987"/>
      <c r="J987"/>
      <c r="K987"/>
      <c r="L987"/>
      <c r="M987"/>
      <c r="N987"/>
      <c r="O987"/>
      <c r="P987"/>
      <c r="Q987"/>
      <c r="R987"/>
    </row>
    <row r="988" spans="1:18" x14ac:dyDescent="0.4">
      <c r="A988"/>
      <c r="B988"/>
      <c r="C988"/>
      <c r="D988"/>
      <c r="E988"/>
      <c r="F988"/>
      <c r="G988"/>
      <c r="H988"/>
      <c r="I988"/>
      <c r="J988"/>
      <c r="K988"/>
      <c r="L988"/>
      <c r="M988"/>
      <c r="N988"/>
      <c r="O988"/>
      <c r="P988"/>
      <c r="Q988"/>
      <c r="R988"/>
    </row>
    <row r="989" spans="1:18" x14ac:dyDescent="0.4">
      <c r="A989"/>
      <c r="B989"/>
      <c r="C989"/>
      <c r="D989"/>
      <c r="E989"/>
      <c r="F989"/>
      <c r="G989"/>
      <c r="H989"/>
      <c r="I989"/>
      <c r="J989"/>
      <c r="K989"/>
      <c r="L989"/>
      <c r="M989"/>
      <c r="N989"/>
      <c r="O989"/>
      <c r="P989"/>
      <c r="Q989"/>
      <c r="R989"/>
    </row>
    <row r="990" spans="1:18" x14ac:dyDescent="0.4">
      <c r="A990"/>
      <c r="B990"/>
      <c r="C990"/>
      <c r="D990"/>
      <c r="E990"/>
      <c r="F990"/>
      <c r="G990"/>
      <c r="H990"/>
      <c r="I990"/>
      <c r="J990"/>
      <c r="K990"/>
      <c r="L990"/>
      <c r="M990"/>
      <c r="N990"/>
      <c r="O990"/>
      <c r="P990"/>
      <c r="Q990"/>
      <c r="R990"/>
    </row>
    <row r="991" spans="1:18" x14ac:dyDescent="0.4">
      <c r="A991"/>
      <c r="B991"/>
      <c r="C991"/>
      <c r="D991"/>
      <c r="E991"/>
      <c r="F991"/>
      <c r="G991"/>
      <c r="H991"/>
      <c r="I991"/>
      <c r="J991"/>
      <c r="K991"/>
      <c r="L991"/>
      <c r="M991"/>
      <c r="N991"/>
      <c r="O991"/>
      <c r="P991"/>
      <c r="Q991"/>
      <c r="R991"/>
    </row>
    <row r="992" spans="1:18" x14ac:dyDescent="0.4">
      <c r="A992"/>
      <c r="B992"/>
      <c r="C992"/>
      <c r="D992"/>
      <c r="E992"/>
      <c r="F992"/>
      <c r="G992"/>
      <c r="H992"/>
      <c r="I992"/>
      <c r="J992"/>
      <c r="K992"/>
      <c r="L992"/>
      <c r="M992"/>
      <c r="N992"/>
      <c r="O992"/>
      <c r="P992"/>
      <c r="Q992"/>
      <c r="R992"/>
    </row>
    <row r="993" spans="1:18" x14ac:dyDescent="0.4">
      <c r="A993"/>
      <c r="B993"/>
      <c r="C993"/>
      <c r="D993"/>
      <c r="E993"/>
      <c r="F993"/>
      <c r="G993"/>
      <c r="H993"/>
      <c r="I993"/>
      <c r="J993"/>
      <c r="K993"/>
      <c r="L993"/>
      <c r="M993"/>
      <c r="N993"/>
      <c r="O993"/>
      <c r="P993"/>
      <c r="Q993"/>
      <c r="R993"/>
    </row>
    <row r="994" spans="1:18" x14ac:dyDescent="0.4">
      <c r="A994"/>
      <c r="B994"/>
      <c r="C994"/>
      <c r="D994"/>
      <c r="E994"/>
      <c r="F994"/>
      <c r="G994"/>
      <c r="H994"/>
      <c r="I994"/>
      <c r="J994"/>
      <c r="K994"/>
      <c r="L994"/>
      <c r="M994"/>
      <c r="N994"/>
      <c r="O994"/>
      <c r="P994"/>
      <c r="Q994"/>
      <c r="R994"/>
    </row>
    <row r="995" spans="1:18" x14ac:dyDescent="0.4">
      <c r="A995"/>
      <c r="B995"/>
      <c r="C995"/>
      <c r="D995"/>
      <c r="E995"/>
      <c r="F995"/>
      <c r="G995"/>
      <c r="H995"/>
      <c r="I995"/>
      <c r="J995"/>
      <c r="K995"/>
      <c r="L995"/>
      <c r="M995"/>
      <c r="N995"/>
      <c r="O995"/>
      <c r="P995"/>
      <c r="Q995"/>
      <c r="R995"/>
    </row>
    <row r="996" spans="1:18" x14ac:dyDescent="0.4">
      <c r="A996"/>
      <c r="B996"/>
      <c r="C996"/>
      <c r="D996"/>
      <c r="E996"/>
      <c r="F996"/>
      <c r="G996"/>
      <c r="H996"/>
      <c r="I996"/>
      <c r="J996"/>
      <c r="K996"/>
      <c r="L996"/>
      <c r="M996"/>
      <c r="N996"/>
      <c r="O996"/>
      <c r="P996"/>
      <c r="Q996"/>
      <c r="R996"/>
    </row>
    <row r="997" spans="1:18" x14ac:dyDescent="0.4">
      <c r="A997"/>
      <c r="B997"/>
      <c r="C997"/>
      <c r="D997"/>
      <c r="E997"/>
      <c r="F997"/>
      <c r="G997"/>
      <c r="H997"/>
      <c r="I997"/>
      <c r="J997"/>
      <c r="K997"/>
      <c r="L997"/>
      <c r="M997"/>
      <c r="N997"/>
      <c r="O997"/>
      <c r="P997"/>
      <c r="Q997"/>
      <c r="R997"/>
    </row>
    <row r="998" spans="1:18" x14ac:dyDescent="0.4">
      <c r="A998"/>
      <c r="B998"/>
      <c r="C998"/>
      <c r="D998"/>
      <c r="E998"/>
      <c r="F998"/>
      <c r="G998"/>
      <c r="H998"/>
      <c r="I998"/>
      <c r="J998"/>
      <c r="K998"/>
      <c r="L998"/>
      <c r="M998"/>
      <c r="N998"/>
      <c r="O998"/>
      <c r="P998"/>
      <c r="Q998"/>
      <c r="R998"/>
    </row>
    <row r="999" spans="1:18" x14ac:dyDescent="0.4">
      <c r="A999"/>
      <c r="B999"/>
      <c r="C999"/>
      <c r="D999"/>
      <c r="E999"/>
      <c r="F999"/>
      <c r="G999"/>
      <c r="H999"/>
      <c r="I999"/>
      <c r="J999"/>
      <c r="K999"/>
      <c r="L999"/>
      <c r="M999"/>
      <c r="N999"/>
      <c r="O999"/>
      <c r="P999"/>
      <c r="Q999"/>
      <c r="R999"/>
    </row>
    <row r="1000" spans="1:18" x14ac:dyDescent="0.4">
      <c r="A1000"/>
      <c r="B1000"/>
      <c r="C1000"/>
      <c r="D1000"/>
      <c r="E1000"/>
      <c r="F1000"/>
      <c r="G1000"/>
      <c r="H1000"/>
      <c r="I1000"/>
      <c r="J1000"/>
      <c r="K1000"/>
      <c r="L1000"/>
      <c r="M1000"/>
      <c r="N1000"/>
      <c r="O1000"/>
      <c r="P1000"/>
      <c r="Q1000"/>
      <c r="R1000"/>
    </row>
  </sheetData>
  <sheetProtection sheet="1" objects="1" scenarios="1"/>
  <mergeCells count="24">
    <mergeCell ref="E7:E8"/>
    <mergeCell ref="F7:F8"/>
    <mergeCell ref="H7:H8"/>
    <mergeCell ref="A7:A8"/>
    <mergeCell ref="B7:B8"/>
    <mergeCell ref="C7:C8"/>
    <mergeCell ref="D7:D8"/>
    <mergeCell ref="R7:R8"/>
    <mergeCell ref="N7:N8"/>
    <mergeCell ref="O7:O8"/>
    <mergeCell ref="P7:P8"/>
    <mergeCell ref="L7:L8"/>
    <mergeCell ref="M7:M8"/>
    <mergeCell ref="Q7:Q8"/>
    <mergeCell ref="M6:R6"/>
    <mergeCell ref="G7:G8"/>
    <mergeCell ref="I7:I8"/>
    <mergeCell ref="J7:J8"/>
    <mergeCell ref="A4:C4"/>
    <mergeCell ref="A6:C6"/>
    <mergeCell ref="D6:F6"/>
    <mergeCell ref="I6:L6"/>
    <mergeCell ref="G6:H6"/>
    <mergeCell ref="K7:K8"/>
  </mergeCells>
  <phoneticPr fontId="2" type="noConversion"/>
  <dataValidations count="1">
    <dataValidation type="list" allowBlank="1" showInputMessage="1" showErrorMessage="1" sqref="H9:H83">
      <formula1>"Oui"</formula1>
    </dataValidation>
  </dataValidations>
  <pageMargins left="0.2" right="0.19" top="0.52" bottom="0.53" header="0.5" footer="0.5"/>
  <pageSetup paperSize="9" scale="58"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1000"/>
  <sheetViews>
    <sheetView zoomScaleNormal="100" workbookViewId="0">
      <pane xSplit="3" ySplit="8" topLeftCell="D9" activePane="bottomRight" state="frozen"/>
      <selection pane="topRight" activeCell="D1" sqref="D1"/>
      <selection pane="bottomLeft" activeCell="A9" sqref="A9"/>
      <selection pane="bottomRight" activeCell="I9" sqref="I9"/>
    </sheetView>
  </sheetViews>
  <sheetFormatPr defaultColWidth="9.1640625" defaultRowHeight="12.3" x14ac:dyDescent="0.4"/>
  <cols>
    <col min="1" max="1" width="18.27734375" style="1" customWidth="1"/>
    <col min="2" max="3" width="23.44140625" style="1" customWidth="1"/>
    <col min="4" max="4" width="17.71875" style="1" customWidth="1"/>
    <col min="5" max="6" width="13.27734375" style="1" customWidth="1"/>
    <col min="7" max="10" width="11.71875" style="1" customWidth="1"/>
    <col min="11" max="16" width="12.71875" style="1" customWidth="1"/>
    <col min="17" max="17" width="13.83203125" style="1" customWidth="1"/>
    <col min="18" max="16384" width="9.1640625" style="1"/>
  </cols>
  <sheetData>
    <row r="1" spans="1:17" ht="22.5" x14ac:dyDescent="0.75">
      <c r="A1" s="4" t="s">
        <v>87</v>
      </c>
      <c r="B1" s="5"/>
      <c r="C1" s="5"/>
      <c r="D1" s="5"/>
      <c r="E1" s="5"/>
      <c r="F1" s="5"/>
      <c r="G1" s="5"/>
      <c r="H1" s="5"/>
      <c r="I1" s="5"/>
      <c r="J1" s="5"/>
      <c r="K1" s="5"/>
      <c r="L1" s="5"/>
      <c r="M1" s="5"/>
      <c r="N1" s="5"/>
      <c r="O1" s="5"/>
      <c r="P1" s="5"/>
      <c r="Q1" s="5"/>
    </row>
    <row r="2" spans="1:17" x14ac:dyDescent="0.4">
      <c r="A2" s="130" t="s">
        <v>64</v>
      </c>
      <c r="B2" s="5"/>
      <c r="C2" s="5"/>
      <c r="D2" s="5"/>
      <c r="E2" s="5"/>
      <c r="F2" s="5"/>
      <c r="G2" s="5"/>
      <c r="H2" s="5"/>
      <c r="I2" s="5"/>
      <c r="J2" s="5"/>
      <c r="K2" s="5"/>
      <c r="L2" s="5"/>
      <c r="M2" s="5"/>
      <c r="N2" s="5"/>
      <c r="O2" s="5"/>
      <c r="P2" s="5"/>
      <c r="Q2" s="5"/>
    </row>
    <row r="3" spans="1:17" x14ac:dyDescent="0.4">
      <c r="A3" s="5"/>
      <c r="B3" s="5"/>
      <c r="C3" s="5"/>
      <c r="D3" s="5"/>
      <c r="E3" s="5"/>
      <c r="F3" s="5"/>
      <c r="G3" s="5"/>
      <c r="H3" s="5"/>
      <c r="I3" s="5"/>
      <c r="J3" s="5"/>
      <c r="K3" s="5"/>
      <c r="L3" s="5"/>
      <c r="M3" s="5"/>
      <c r="N3" s="5"/>
      <c r="O3" s="5"/>
      <c r="P3" s="5"/>
      <c r="Q3" s="5"/>
    </row>
    <row r="4" spans="1:17" x14ac:dyDescent="0.4">
      <c r="A4" s="244" t="s">
        <v>7</v>
      </c>
      <c r="B4" s="244"/>
      <c r="C4" s="244"/>
      <c r="D4" s="6">
        <f>SUM(D$9:D$1000)</f>
        <v>6767890</v>
      </c>
      <c r="E4" s="268"/>
      <c r="F4" s="269"/>
      <c r="G4" s="6">
        <f t="shared" ref="G4:Q4" si="0">SUM(G$9:G$1000)</f>
        <v>2081886</v>
      </c>
      <c r="H4" s="6">
        <f t="shared" si="0"/>
        <v>4686004</v>
      </c>
      <c r="I4" s="6">
        <f t="shared" si="0"/>
        <v>0</v>
      </c>
      <c r="J4" s="6">
        <f t="shared" si="0"/>
        <v>4686004</v>
      </c>
      <c r="K4" s="6">
        <f t="shared" si="0"/>
        <v>5829280.7999999998</v>
      </c>
      <c r="L4" s="6">
        <f t="shared" si="0"/>
        <v>13120811.199999999</v>
      </c>
      <c r="M4" s="6">
        <f t="shared" si="0"/>
        <v>0</v>
      </c>
      <c r="N4" s="6">
        <f t="shared" si="0"/>
        <v>18950092</v>
      </c>
      <c r="O4" s="6">
        <f t="shared" si="0"/>
        <v>0</v>
      </c>
      <c r="P4" s="6">
        <f t="shared" si="0"/>
        <v>18950092</v>
      </c>
      <c r="Q4" s="6">
        <f t="shared" si="0"/>
        <v>37925</v>
      </c>
    </row>
    <row r="5" spans="1:17" s="2" customFormat="1" ht="2.25" customHeight="1" x14ac:dyDescent="0.4">
      <c r="A5" s="7"/>
      <c r="B5" s="7"/>
      <c r="C5" s="7"/>
      <c r="D5" s="8"/>
      <c r="E5" s="8"/>
      <c r="F5" s="9"/>
      <c r="G5" s="9"/>
      <c r="H5" s="9"/>
      <c r="I5" s="9"/>
      <c r="J5" s="8"/>
      <c r="K5" s="8"/>
      <c r="L5" s="8"/>
      <c r="M5" s="8"/>
      <c r="N5" s="8"/>
      <c r="O5" s="9"/>
      <c r="P5" s="9"/>
      <c r="Q5" s="9"/>
    </row>
    <row r="6" spans="1:17" x14ac:dyDescent="0.4">
      <c r="A6" s="300" t="s">
        <v>51</v>
      </c>
      <c r="B6" s="300"/>
      <c r="C6" s="300"/>
      <c r="D6" s="145"/>
      <c r="E6" s="257" t="s">
        <v>65</v>
      </c>
      <c r="F6" s="279"/>
      <c r="G6" s="257" t="s">
        <v>66</v>
      </c>
      <c r="H6" s="291"/>
      <c r="I6" s="291"/>
      <c r="J6" s="291"/>
      <c r="K6" s="258" t="s">
        <v>87</v>
      </c>
      <c r="L6" s="259"/>
      <c r="M6" s="259"/>
      <c r="N6" s="259"/>
      <c r="O6" s="259"/>
      <c r="P6" s="259"/>
      <c r="Q6" s="294"/>
    </row>
    <row r="7" spans="1:17" ht="12" customHeight="1" x14ac:dyDescent="0.4">
      <c r="A7" s="275" t="s">
        <v>54</v>
      </c>
      <c r="B7" s="275" t="s">
        <v>55</v>
      </c>
      <c r="C7" s="275" t="s">
        <v>0</v>
      </c>
      <c r="D7" s="282" t="s">
        <v>91</v>
      </c>
      <c r="E7" s="277" t="s">
        <v>59</v>
      </c>
      <c r="F7" s="277" t="s">
        <v>3</v>
      </c>
      <c r="G7" s="301" t="s">
        <v>59</v>
      </c>
      <c r="H7" s="291" t="s">
        <v>3</v>
      </c>
      <c r="I7" s="291"/>
      <c r="J7" s="291"/>
      <c r="K7" s="266" t="s">
        <v>92</v>
      </c>
      <c r="L7" s="266" t="s">
        <v>93</v>
      </c>
      <c r="M7" s="296" t="s">
        <v>94</v>
      </c>
      <c r="N7" s="298" t="s">
        <v>67</v>
      </c>
      <c r="O7" s="247" t="s">
        <v>68</v>
      </c>
      <c r="P7" s="289" t="s">
        <v>82</v>
      </c>
      <c r="Q7" s="266" t="s">
        <v>95</v>
      </c>
    </row>
    <row r="8" spans="1:17" ht="25.5" customHeight="1" x14ac:dyDescent="0.4">
      <c r="A8" s="276"/>
      <c r="B8" s="276"/>
      <c r="C8" s="276"/>
      <c r="D8" s="293"/>
      <c r="E8" s="278"/>
      <c r="F8" s="278"/>
      <c r="G8" s="287"/>
      <c r="H8" s="144" t="s">
        <v>134</v>
      </c>
      <c r="I8" s="144" t="s">
        <v>135</v>
      </c>
      <c r="J8" s="97" t="s">
        <v>6</v>
      </c>
      <c r="K8" s="295"/>
      <c r="L8" s="295"/>
      <c r="M8" s="297"/>
      <c r="N8" s="299"/>
      <c r="O8" s="248"/>
      <c r="P8" s="292"/>
      <c r="Q8" s="267"/>
    </row>
    <row r="9" spans="1:17" x14ac:dyDescent="0.4">
      <c r="A9" s="12" t="str">
        <f>IF(INTRO!$E$39="Non endémique"," ",IF(COUNTRY_INFO!A9=0," ",COUNTRY_INFO!A9))</f>
        <v>Mali</v>
      </c>
      <c r="B9" s="12" t="str">
        <f>IF(INTRO!$E$39="Non endémique"," ",IF(COUNTRY_INFO!B9=0," ",COUNTRY_INFO!B9))</f>
        <v>Kayes</v>
      </c>
      <c r="C9" s="12" t="str">
        <f>IF(INTRO!$E$39="Non endémique"," ",IF(COUNTRY_INFO!C9=0," ",COUNTRY_INFO!C9))</f>
        <v>Bafoulabe</v>
      </c>
      <c r="D9" s="13">
        <f>IF(INTRO!$E$39="Non endémique",0,IF(INTRO!$E$39="Endémique mais pas de CP",IF(COUNTRY_INFO!$H9=1,COUNTRY_INFO!F9+COUNTRY_INFO!G9,0),IF(COUNTRY_INFO!$H9=1,COUNTRY_INFO!F9+COUNTRY_INFO!G9,IF(COUNTRY_INFO!$I9=1,IF(COUNTRY_INFO!M9&gt;=(COUNTRY_INFO!F9+COUNTRY_INFO!G9),COUNTRY_INFO!F9+COUNTRY_INFO!G9,COUNTRY_INFO!$M9),0))))</f>
        <v>137446</v>
      </c>
      <c r="E9" s="14">
        <f>IF(AND(INTRO!$E$39="Non endémique",INTRO!$E$37="Non endémique"),"Non requis",IF(INTRO!$E$39="Non endémique","Traiter avec DEC",COUNTRY_INFO!P9))</f>
        <v>0</v>
      </c>
      <c r="F9" s="14">
        <f>IF(INTRO!$E$39&lt;&gt;"Non endémique",COUNTRY_INFO!Q9,"Non requis")</f>
        <v>1</v>
      </c>
      <c r="G9" s="13">
        <f>IF(COUNTRY_INFO!H9=1, IF($E9=1,$D9, 0),0)</f>
        <v>0</v>
      </c>
      <c r="H9" s="13">
        <f>IF(INTRO!$E$39&lt;&gt;"Endémique",0, IF(AND(COUNTRY_INFO!$I9=1,$F9&lt;&gt;0),IF(COUNTRY_INFO!M9&gt;=(COUNTRY_INFO!F9+COUNTRY_INFO!G9),COUNTRY_INFO!F9+COUNTRY_INFO!G9,COUNTRY_INFO!$M9), 0))</f>
        <v>137446</v>
      </c>
      <c r="I9" s="3"/>
      <c r="J9" s="13">
        <f t="shared" ref="J9:J40" si="1">IF(I9=0,H9,IF(I9&gt;H9,H9,I9))</f>
        <v>137446</v>
      </c>
      <c r="K9" s="13">
        <f t="shared" ref="K9:K40" si="2">IF(G9&lt;J9,0,IF($E9=1, (G9-J9)*2.8, 0))</f>
        <v>0</v>
      </c>
      <c r="L9" s="13">
        <f t="shared" ref="L9:L40" si="3">IF($E9&lt;$F9, J9*(F9-E9)*2.8, 0)</f>
        <v>384848.8</v>
      </c>
      <c r="M9" s="13">
        <f t="shared" ref="M9:M40" si="4">IF(AND($E9=1, $F9&lt;&gt;0), J9*2.8, 0)</f>
        <v>0</v>
      </c>
      <c r="N9" s="13">
        <f t="shared" ref="N9:N40" si="5">SUM(K9:M9)</f>
        <v>384848.8</v>
      </c>
      <c r="O9" s="24"/>
      <c r="P9" s="15">
        <f t="shared" ref="P9:P40" si="6">IF($N9&gt;$O9,$N9-$O9,0)</f>
        <v>384848.8</v>
      </c>
      <c r="Q9" s="15">
        <f t="shared" ref="Q9:Q40" si="7">ROUNDUP($N9/500,0)</f>
        <v>770</v>
      </c>
    </row>
    <row r="10" spans="1:17" x14ac:dyDescent="0.4">
      <c r="A10" s="12" t="str">
        <f>IF(INTRO!$E$39="Non endémique"," ",IF(COUNTRY_INFO!A10=0," ",COUNTRY_INFO!A10))</f>
        <v>Mali</v>
      </c>
      <c r="B10" s="12" t="str">
        <f>IF(INTRO!$E$39="Non endémique"," ",IF(COUNTRY_INFO!B10=0," ",COUNTRY_INFO!B10))</f>
        <v>Kayes</v>
      </c>
      <c r="C10" s="12" t="str">
        <f>IF(INTRO!$E$39="Non endémique"," ",IF(COUNTRY_INFO!C10=0," ",COUNTRY_INFO!C10))</f>
        <v>Oussoubidiagna</v>
      </c>
      <c r="D10" s="13">
        <f>IF(INTRO!$E$39="Non endémique",0,IF(INTRO!$E$39="Endémique mais pas de CP",IF(COUNTRY_INFO!$H10=1,COUNTRY_INFO!F10+COUNTRY_INFO!G10,0),IF(COUNTRY_INFO!$H10=1,COUNTRY_INFO!F10+COUNTRY_INFO!G10,IF(COUNTRY_INFO!$I10=1,IF(COUNTRY_INFO!M10&gt;=(COUNTRY_INFO!F10+COUNTRY_INFO!G10),COUNTRY_INFO!F10+COUNTRY_INFO!G10,COUNTRY_INFO!$M10),0))))</f>
        <v>112455</v>
      </c>
      <c r="E10" s="14">
        <f>IF(AND(INTRO!$E$39="Non endémique",INTRO!$E$37="Non endémique"),"Non requis",IF(INTRO!$E$39="Non endémique","Traiter avec DEC",COUNTRY_INFO!P10))</f>
        <v>0</v>
      </c>
      <c r="F10" s="14">
        <f>IF(INTRO!$E$39&lt;&gt;"Non endémique",COUNTRY_INFO!Q10,"Non requis")</f>
        <v>1</v>
      </c>
      <c r="G10" s="13">
        <f>IF(COUNTRY_INFO!H10=1, IF($E10=1,$D10, 0),0)</f>
        <v>0</v>
      </c>
      <c r="H10" s="13">
        <f>IF(INTRO!$E$39&lt;&gt;"Endémique",0, IF(AND(COUNTRY_INFO!$I10=1,$F10&lt;&gt;0),IF(COUNTRY_INFO!M10&gt;=(COUNTRY_INFO!F10+COUNTRY_INFO!G10),COUNTRY_INFO!F10+COUNTRY_INFO!G10,COUNTRY_INFO!$M10), 0))</f>
        <v>112455</v>
      </c>
      <c r="I10" s="3"/>
      <c r="J10" s="13">
        <f t="shared" si="1"/>
        <v>112455</v>
      </c>
      <c r="K10" s="13">
        <f t="shared" si="2"/>
        <v>0</v>
      </c>
      <c r="L10" s="13">
        <f t="shared" si="3"/>
        <v>314874</v>
      </c>
      <c r="M10" s="13">
        <f t="shared" si="4"/>
        <v>0</v>
      </c>
      <c r="N10" s="13">
        <f t="shared" si="5"/>
        <v>314874</v>
      </c>
      <c r="O10" s="24"/>
      <c r="P10" s="15">
        <f t="shared" si="6"/>
        <v>314874</v>
      </c>
      <c r="Q10" s="15">
        <f t="shared" si="7"/>
        <v>630</v>
      </c>
    </row>
    <row r="11" spans="1:17" x14ac:dyDescent="0.4">
      <c r="A11" s="12" t="str">
        <f>IF(INTRO!$E$39="Non endémique"," ",IF(COUNTRY_INFO!A11=0," ",COUNTRY_INFO!A11))</f>
        <v>Mali</v>
      </c>
      <c r="B11" s="12" t="str">
        <f>IF(INTRO!$E$39="Non endémique"," ",IF(COUNTRY_INFO!B11=0," ",COUNTRY_INFO!B11))</f>
        <v>Kayes</v>
      </c>
      <c r="C11" s="12" t="str">
        <f>IF(INTRO!$E$39="Non endémique"," ",IF(COUNTRY_INFO!C11=0," ",COUNTRY_INFO!C11))</f>
        <v>Diema</v>
      </c>
      <c r="D11" s="13">
        <f>IF(INTRO!$E$39="Non endémique",0,IF(INTRO!$E$39="Endémique mais pas de CP",IF(COUNTRY_INFO!$H11=1,COUNTRY_INFO!F11+COUNTRY_INFO!G11,0),IF(COUNTRY_INFO!$H11=1,COUNTRY_INFO!F11+COUNTRY_INFO!G11,IF(COUNTRY_INFO!$I11=1,IF(COUNTRY_INFO!M11&gt;=(COUNTRY_INFO!F11+COUNTRY_INFO!G11),COUNTRY_INFO!F11+COUNTRY_INFO!G11,COUNTRY_INFO!$M11),0))))</f>
        <v>0</v>
      </c>
      <c r="E11" s="14">
        <f>IF(AND(INTRO!$E$39="Non endémique",INTRO!$E$37="Non endémique"),"Non requis",IF(INTRO!$E$39="Non endémique","Traiter avec DEC",COUNTRY_INFO!P11))</f>
        <v>0</v>
      </c>
      <c r="F11" s="14">
        <f>IF(INTRO!$E$39&lt;&gt;"Non endémique",COUNTRY_INFO!Q11,"Non requis")</f>
        <v>0</v>
      </c>
      <c r="G11" s="13">
        <f>IF(COUNTRY_INFO!H11=1, IF($E11=1,$D11, 0),0)</f>
        <v>0</v>
      </c>
      <c r="H11" s="13">
        <f>IF(INTRO!$E$39&lt;&gt;"Endémique",0, IF(AND(COUNTRY_INFO!$I11=1,$F11&lt;&gt;0),IF(COUNTRY_INFO!M11&gt;=(COUNTRY_INFO!F11+COUNTRY_INFO!G11),COUNTRY_INFO!F11+COUNTRY_INFO!G11,COUNTRY_INFO!$M11), 0))</f>
        <v>0</v>
      </c>
      <c r="I11" s="3"/>
      <c r="J11" s="13">
        <f t="shared" si="1"/>
        <v>0</v>
      </c>
      <c r="K11" s="13">
        <f t="shared" si="2"/>
        <v>0</v>
      </c>
      <c r="L11" s="13">
        <f t="shared" si="3"/>
        <v>0</v>
      </c>
      <c r="M11" s="13">
        <f t="shared" si="4"/>
        <v>0</v>
      </c>
      <c r="N11" s="13">
        <f t="shared" si="5"/>
        <v>0</v>
      </c>
      <c r="O11" s="24"/>
      <c r="P11" s="15">
        <f t="shared" si="6"/>
        <v>0</v>
      </c>
      <c r="Q11" s="15">
        <f t="shared" si="7"/>
        <v>0</v>
      </c>
    </row>
    <row r="12" spans="1:17" x14ac:dyDescent="0.4">
      <c r="A12" s="12" t="str">
        <f>IF(INTRO!$E$39="Non endémique"," ",IF(COUNTRY_INFO!A12=0," ",COUNTRY_INFO!A12))</f>
        <v>Mali</v>
      </c>
      <c r="B12" s="12" t="str">
        <f>IF(INTRO!$E$39="Non endémique"," ",IF(COUNTRY_INFO!B12=0," ",COUNTRY_INFO!B12))</f>
        <v>Kayes</v>
      </c>
      <c r="C12" s="12" t="str">
        <f>IF(INTRO!$E$39="Non endémique"," ",IF(COUNTRY_INFO!C12=0," ",COUNTRY_INFO!C12))</f>
        <v>Kayes</v>
      </c>
      <c r="D12" s="13">
        <f>IF(INTRO!$E$39="Non endémique",0,IF(INTRO!$E$39="Endémique mais pas de CP",IF(COUNTRY_INFO!$H12=1,COUNTRY_INFO!F12+COUNTRY_INFO!G12,0),IF(COUNTRY_INFO!$H12=1,COUNTRY_INFO!F12+COUNTRY_INFO!G12,IF(COUNTRY_INFO!$I12=1,IF(COUNTRY_INFO!M12&gt;=(COUNTRY_INFO!F12+COUNTRY_INFO!G12),COUNTRY_INFO!F12+COUNTRY_INFO!G12,COUNTRY_INFO!$M12),0))))</f>
        <v>548420</v>
      </c>
      <c r="E12" s="14">
        <f>IF(AND(INTRO!$E$39="Non endémique",INTRO!$E$37="Non endémique"),"Non requis",IF(INTRO!$E$39="Non endémique","Traiter avec DEC",COUNTRY_INFO!P12))</f>
        <v>0</v>
      </c>
      <c r="F12" s="14">
        <f>IF(INTRO!$E$39&lt;&gt;"Non endémique",COUNTRY_INFO!Q12,"Non requis")</f>
        <v>1</v>
      </c>
      <c r="G12" s="13">
        <f>IF(COUNTRY_INFO!H12=1, IF($E12=1,$D12, 0),0)</f>
        <v>0</v>
      </c>
      <c r="H12" s="13">
        <f>IF(INTRO!$E$39&lt;&gt;"Endémique",0, IF(AND(COUNTRY_INFO!$I12=1,$F12&lt;&gt;0),IF(COUNTRY_INFO!M12&gt;=(COUNTRY_INFO!F12+COUNTRY_INFO!G12),COUNTRY_INFO!F12+COUNTRY_INFO!G12,COUNTRY_INFO!$M12), 0))</f>
        <v>548420</v>
      </c>
      <c r="I12" s="3"/>
      <c r="J12" s="13">
        <f t="shared" si="1"/>
        <v>548420</v>
      </c>
      <c r="K12" s="13">
        <f t="shared" si="2"/>
        <v>0</v>
      </c>
      <c r="L12" s="13">
        <f t="shared" si="3"/>
        <v>1535576</v>
      </c>
      <c r="M12" s="13">
        <f t="shared" si="4"/>
        <v>0</v>
      </c>
      <c r="N12" s="13">
        <f t="shared" si="5"/>
        <v>1535576</v>
      </c>
      <c r="O12" s="24"/>
      <c r="P12" s="15">
        <f t="shared" si="6"/>
        <v>1535576</v>
      </c>
      <c r="Q12" s="15">
        <f t="shared" si="7"/>
        <v>3072</v>
      </c>
    </row>
    <row r="13" spans="1:17" x14ac:dyDescent="0.4">
      <c r="A13" s="12" t="str">
        <f>IF(INTRO!$E$39="Non endémique"," ",IF(COUNTRY_INFO!A13=0," ",COUNTRY_INFO!A13))</f>
        <v>Mali</v>
      </c>
      <c r="B13" s="12" t="str">
        <f>IF(INTRO!$E$39="Non endémique"," ",IF(COUNTRY_INFO!B13=0," ",COUNTRY_INFO!B13))</f>
        <v>Kayes</v>
      </c>
      <c r="C13" s="12" t="str">
        <f>IF(INTRO!$E$39="Non endémique"," ",IF(COUNTRY_INFO!C13=0," ",COUNTRY_INFO!C13))</f>
        <v>Kenieba</v>
      </c>
      <c r="D13" s="13">
        <f>IF(INTRO!$E$39="Non endémique",0,IF(INTRO!$E$39="Endémique mais pas de CP",IF(COUNTRY_INFO!$H13=1,COUNTRY_INFO!F13+COUNTRY_INFO!G13,0),IF(COUNTRY_INFO!$H13=1,COUNTRY_INFO!F13+COUNTRY_INFO!G13,IF(COUNTRY_INFO!$I13=1,IF(COUNTRY_INFO!M13&gt;=(COUNTRY_INFO!F13+COUNTRY_INFO!G13),COUNTRY_INFO!F13+COUNTRY_INFO!G13,COUNTRY_INFO!$M13),0))))</f>
        <v>207412</v>
      </c>
      <c r="E13" s="14">
        <f>IF(AND(INTRO!$E$39="Non endémique",INTRO!$E$37="Non endémique"),"Non requis",IF(INTRO!$E$39="Non endémique","Traiter avec DEC",COUNTRY_INFO!P13))</f>
        <v>0</v>
      </c>
      <c r="F13" s="14">
        <f>IF(INTRO!$E$39&lt;&gt;"Non endémique",COUNTRY_INFO!Q13,"Non requis")</f>
        <v>1</v>
      </c>
      <c r="G13" s="13">
        <f>IF(COUNTRY_INFO!H13=1, IF($E13=1,$D13, 0),0)</f>
        <v>0</v>
      </c>
      <c r="H13" s="13">
        <f>IF(INTRO!$E$39&lt;&gt;"Endémique",0, IF(AND(COUNTRY_INFO!$I13=1,$F13&lt;&gt;0),IF(COUNTRY_INFO!M13&gt;=(COUNTRY_INFO!F13+COUNTRY_INFO!G13),COUNTRY_INFO!F13+COUNTRY_INFO!G13,COUNTRY_INFO!$M13), 0))</f>
        <v>207412</v>
      </c>
      <c r="I13" s="3"/>
      <c r="J13" s="13">
        <f t="shared" si="1"/>
        <v>207412</v>
      </c>
      <c r="K13" s="13">
        <f t="shared" si="2"/>
        <v>0</v>
      </c>
      <c r="L13" s="13">
        <f t="shared" si="3"/>
        <v>580753.6</v>
      </c>
      <c r="M13" s="13">
        <f t="shared" si="4"/>
        <v>0</v>
      </c>
      <c r="N13" s="13">
        <f t="shared" si="5"/>
        <v>580753.6</v>
      </c>
      <c r="O13" s="24"/>
      <c r="P13" s="15">
        <f t="shared" si="6"/>
        <v>580753.6</v>
      </c>
      <c r="Q13" s="15">
        <f t="shared" si="7"/>
        <v>1162</v>
      </c>
    </row>
    <row r="14" spans="1:17" x14ac:dyDescent="0.4">
      <c r="A14" s="12" t="str">
        <f>IF(INTRO!$E$39="Non endémique"," ",IF(COUNTRY_INFO!A14=0," ",COUNTRY_INFO!A14))</f>
        <v>Mali</v>
      </c>
      <c r="B14" s="12" t="str">
        <f>IF(INTRO!$E$39="Non endémique"," ",IF(COUNTRY_INFO!B14=0," ",COUNTRY_INFO!B14))</f>
        <v>Kayes</v>
      </c>
      <c r="C14" s="12" t="str">
        <f>IF(INTRO!$E$39="Non endémique"," ",IF(COUNTRY_INFO!C14=0," ",COUNTRY_INFO!C14))</f>
        <v>Kita</v>
      </c>
      <c r="D14" s="13">
        <f>IF(INTRO!$E$39="Non endémique",0,IF(INTRO!$E$39="Endémique mais pas de CP",IF(COUNTRY_INFO!$H14=1,COUNTRY_INFO!F14+COUNTRY_INFO!G14,0),IF(COUNTRY_INFO!$H14=1,COUNTRY_INFO!F14+COUNTRY_INFO!G14,IF(COUNTRY_INFO!$I14=1,IF(COUNTRY_INFO!M14&gt;=(COUNTRY_INFO!F14+COUNTRY_INFO!G14),COUNTRY_INFO!F14+COUNTRY_INFO!G14,COUNTRY_INFO!$M14),0))))</f>
        <v>369180</v>
      </c>
      <c r="E14" s="14">
        <f>IF(AND(INTRO!$E$39="Non endémique",INTRO!$E$37="Non endémique"),"Non requis",IF(INTRO!$E$39="Non endémique","Traiter avec DEC",COUNTRY_INFO!P14))</f>
        <v>0</v>
      </c>
      <c r="F14" s="14">
        <f>IF(INTRO!$E$39&lt;&gt;"Non endémique",COUNTRY_INFO!Q14,"Non requis")</f>
        <v>1</v>
      </c>
      <c r="G14" s="13">
        <f>IF(COUNTRY_INFO!H14=1, IF($E14=1,$D14, 0),0)</f>
        <v>0</v>
      </c>
      <c r="H14" s="13">
        <f>IF(INTRO!$E$39&lt;&gt;"Endémique",0, IF(AND(COUNTRY_INFO!$I14=1,$F14&lt;&gt;0),IF(COUNTRY_INFO!M14&gt;=(COUNTRY_INFO!F14+COUNTRY_INFO!G14),COUNTRY_INFO!F14+COUNTRY_INFO!G14,COUNTRY_INFO!$M14), 0))</f>
        <v>369180</v>
      </c>
      <c r="I14" s="3"/>
      <c r="J14" s="13">
        <f t="shared" si="1"/>
        <v>369180</v>
      </c>
      <c r="K14" s="13">
        <f t="shared" si="2"/>
        <v>0</v>
      </c>
      <c r="L14" s="13">
        <f t="shared" si="3"/>
        <v>1033703.9999999999</v>
      </c>
      <c r="M14" s="13">
        <f t="shared" si="4"/>
        <v>0</v>
      </c>
      <c r="N14" s="13">
        <f t="shared" si="5"/>
        <v>1033703.9999999999</v>
      </c>
      <c r="O14" s="24"/>
      <c r="P14" s="15">
        <f t="shared" si="6"/>
        <v>1033703.9999999999</v>
      </c>
      <c r="Q14" s="15">
        <f t="shared" si="7"/>
        <v>2068</v>
      </c>
    </row>
    <row r="15" spans="1:17" x14ac:dyDescent="0.4">
      <c r="A15" s="12" t="str">
        <f>IF(INTRO!$E$39="Non endémique"," ",IF(COUNTRY_INFO!A15=0," ",COUNTRY_INFO!A15))</f>
        <v>Mali</v>
      </c>
      <c r="B15" s="12" t="str">
        <f>IF(INTRO!$E$39="Non endémique"," ",IF(COUNTRY_INFO!B15=0," ",COUNTRY_INFO!B15))</f>
        <v>Kayes</v>
      </c>
      <c r="C15" s="12" t="str">
        <f>IF(INTRO!$E$39="Non endémique"," ",IF(COUNTRY_INFO!C15=0," ",COUNTRY_INFO!C15))</f>
        <v>Sefeto</v>
      </c>
      <c r="D15" s="13">
        <f>IF(INTRO!$E$39="Non endémique",0,IF(INTRO!$E$39="Endémique mais pas de CP",IF(COUNTRY_INFO!$H15=1,COUNTRY_INFO!F15+COUNTRY_INFO!G15,0),IF(COUNTRY_INFO!$H15=1,COUNTRY_INFO!F15+COUNTRY_INFO!G15,IF(COUNTRY_INFO!$I15=1,IF(COUNTRY_INFO!M15&gt;=(COUNTRY_INFO!F15+COUNTRY_INFO!G15),COUNTRY_INFO!F15+COUNTRY_INFO!G15,COUNTRY_INFO!$M15),0))))</f>
        <v>51548</v>
      </c>
      <c r="E15" s="14">
        <f>IF(AND(INTRO!$E$39="Non endémique",INTRO!$E$37="Non endémique"),"Non requis",IF(INTRO!$E$39="Non endémique","Traiter avec DEC",COUNTRY_INFO!P15))</f>
        <v>0</v>
      </c>
      <c r="F15" s="14">
        <f>IF(INTRO!$E$39&lt;&gt;"Non endémique",COUNTRY_INFO!Q15,"Non requis")</f>
        <v>1</v>
      </c>
      <c r="G15" s="13">
        <f>IF(COUNTRY_INFO!H15=1, IF($E15=1,$D15, 0),0)</f>
        <v>0</v>
      </c>
      <c r="H15" s="13">
        <f>IF(INTRO!$E$39&lt;&gt;"Endémique",0, IF(AND(COUNTRY_INFO!$I15=1,$F15&lt;&gt;0),IF(COUNTRY_INFO!M15&gt;=(COUNTRY_INFO!F15+COUNTRY_INFO!G15),COUNTRY_INFO!F15+COUNTRY_INFO!G15,COUNTRY_INFO!$M15), 0))</f>
        <v>51548</v>
      </c>
      <c r="I15" s="3"/>
      <c r="J15" s="13">
        <f t="shared" si="1"/>
        <v>51548</v>
      </c>
      <c r="K15" s="13">
        <f t="shared" si="2"/>
        <v>0</v>
      </c>
      <c r="L15" s="13">
        <f t="shared" si="3"/>
        <v>144334.39999999999</v>
      </c>
      <c r="M15" s="13">
        <f t="shared" si="4"/>
        <v>0</v>
      </c>
      <c r="N15" s="13">
        <f t="shared" si="5"/>
        <v>144334.39999999999</v>
      </c>
      <c r="O15" s="24"/>
      <c r="P15" s="15">
        <f t="shared" si="6"/>
        <v>144334.39999999999</v>
      </c>
      <c r="Q15" s="15">
        <f t="shared" si="7"/>
        <v>289</v>
      </c>
    </row>
    <row r="16" spans="1:17" x14ac:dyDescent="0.4">
      <c r="A16" s="12" t="str">
        <f>IF(INTRO!$E$39="Non endémique"," ",IF(COUNTRY_INFO!A16=0," ",COUNTRY_INFO!A16))</f>
        <v>Mali</v>
      </c>
      <c r="B16" s="12" t="str">
        <f>IF(INTRO!$E$39="Non endémique"," ",IF(COUNTRY_INFO!B16=0," ",COUNTRY_INFO!B16))</f>
        <v>Kayes</v>
      </c>
      <c r="C16" s="12" t="str">
        <f>IF(INTRO!$E$39="Non endémique"," ",IF(COUNTRY_INFO!C16=0," ",COUNTRY_INFO!C16))</f>
        <v>Sagabari</v>
      </c>
      <c r="D16" s="13">
        <f>IF(INTRO!$E$39="Non endémique",0,IF(INTRO!$E$39="Endémique mais pas de CP",IF(COUNTRY_INFO!$H16=1,COUNTRY_INFO!F16+COUNTRY_INFO!G16,0),IF(COUNTRY_INFO!$H16=1,COUNTRY_INFO!F16+COUNTRY_INFO!G16,IF(COUNTRY_INFO!$I16=1,IF(COUNTRY_INFO!M16&gt;=(COUNTRY_INFO!F16+COUNTRY_INFO!G16),COUNTRY_INFO!F16+COUNTRY_INFO!G16,COUNTRY_INFO!$M16),0))))</f>
        <v>43316</v>
      </c>
      <c r="E16" s="14">
        <f>IF(AND(INTRO!$E$39="Non endémique",INTRO!$E$37="Non endémique"),"Non requis",IF(INTRO!$E$39="Non endémique","Traiter avec DEC",COUNTRY_INFO!P16))</f>
        <v>0</v>
      </c>
      <c r="F16" s="14">
        <f>IF(INTRO!$E$39&lt;&gt;"Non endémique",COUNTRY_INFO!Q16,"Non requis")</f>
        <v>1</v>
      </c>
      <c r="G16" s="13">
        <f>IF(COUNTRY_INFO!H16=1, IF($E16=1,$D16, 0),0)</f>
        <v>0</v>
      </c>
      <c r="H16" s="13">
        <f>IF(INTRO!$E$39&lt;&gt;"Endémique",0, IF(AND(COUNTRY_INFO!$I16=1,$F16&lt;&gt;0),IF(COUNTRY_INFO!M16&gt;=(COUNTRY_INFO!F16+COUNTRY_INFO!G16),COUNTRY_INFO!F16+COUNTRY_INFO!G16,COUNTRY_INFO!$M16), 0))</f>
        <v>43316</v>
      </c>
      <c r="I16" s="3"/>
      <c r="J16" s="13">
        <f t="shared" si="1"/>
        <v>43316</v>
      </c>
      <c r="K16" s="13">
        <f t="shared" si="2"/>
        <v>0</v>
      </c>
      <c r="L16" s="13">
        <f t="shared" si="3"/>
        <v>121284.79999999999</v>
      </c>
      <c r="M16" s="13">
        <f t="shared" si="4"/>
        <v>0</v>
      </c>
      <c r="N16" s="13">
        <f t="shared" si="5"/>
        <v>121284.79999999999</v>
      </c>
      <c r="O16" s="24"/>
      <c r="P16" s="15">
        <f t="shared" si="6"/>
        <v>121284.79999999999</v>
      </c>
      <c r="Q16" s="15">
        <f t="shared" si="7"/>
        <v>243</v>
      </c>
    </row>
    <row r="17" spans="1:17" x14ac:dyDescent="0.4">
      <c r="A17" s="12" t="str">
        <f>IF(INTRO!$E$39="Non endémique"," ",IF(COUNTRY_INFO!A17=0," ",COUNTRY_INFO!A17))</f>
        <v>Mali</v>
      </c>
      <c r="B17" s="12" t="str">
        <f>IF(INTRO!$E$39="Non endémique"," ",IF(COUNTRY_INFO!B17=0," ",COUNTRY_INFO!B17))</f>
        <v>Kayes</v>
      </c>
      <c r="C17" s="12" t="str">
        <f>IF(INTRO!$E$39="Non endémique"," ",IF(COUNTRY_INFO!C17=0," ",COUNTRY_INFO!C17))</f>
        <v>Nioro</v>
      </c>
      <c r="D17" s="13">
        <f>IF(INTRO!$E$39="Non endémique",0,IF(INTRO!$E$39="Endémique mais pas de CP",IF(COUNTRY_INFO!$H17=1,COUNTRY_INFO!F17+COUNTRY_INFO!G17,0),IF(COUNTRY_INFO!$H17=1,COUNTRY_INFO!F17+COUNTRY_INFO!G17,IF(COUNTRY_INFO!$I17=1,IF(COUNTRY_INFO!M17&gt;=(COUNTRY_INFO!F17+COUNTRY_INFO!G17),COUNTRY_INFO!F17+COUNTRY_INFO!G17,COUNTRY_INFO!$M17),0))))</f>
        <v>0</v>
      </c>
      <c r="E17" s="14">
        <f>IF(AND(INTRO!$E$39="Non endémique",INTRO!$E$37="Non endémique"),"Non requis",IF(INTRO!$E$39="Non endémique","Traiter avec DEC",COUNTRY_INFO!P17))</f>
        <v>0</v>
      </c>
      <c r="F17" s="14">
        <f>IF(INTRO!$E$39&lt;&gt;"Non endémique",COUNTRY_INFO!Q17,"Non requis")</f>
        <v>0</v>
      </c>
      <c r="G17" s="13">
        <f>IF(COUNTRY_INFO!H17=1, IF($E17=1,$D17, 0),0)</f>
        <v>0</v>
      </c>
      <c r="H17" s="13">
        <f>IF(INTRO!$E$39&lt;&gt;"Endémique",0, IF(AND(COUNTRY_INFO!$I17=1,$F17&lt;&gt;0),IF(COUNTRY_INFO!M17&gt;=(COUNTRY_INFO!F17+COUNTRY_INFO!G17),COUNTRY_INFO!F17+COUNTRY_INFO!G17,COUNTRY_INFO!$M17), 0))</f>
        <v>0</v>
      </c>
      <c r="I17" s="3"/>
      <c r="J17" s="13">
        <f t="shared" si="1"/>
        <v>0</v>
      </c>
      <c r="K17" s="13">
        <f t="shared" si="2"/>
        <v>0</v>
      </c>
      <c r="L17" s="13">
        <f t="shared" si="3"/>
        <v>0</v>
      </c>
      <c r="M17" s="13">
        <f t="shared" si="4"/>
        <v>0</v>
      </c>
      <c r="N17" s="13">
        <f t="shared" si="5"/>
        <v>0</v>
      </c>
      <c r="O17" s="24"/>
      <c r="P17" s="15">
        <f t="shared" si="6"/>
        <v>0</v>
      </c>
      <c r="Q17" s="15">
        <f t="shared" si="7"/>
        <v>0</v>
      </c>
    </row>
    <row r="18" spans="1:17" x14ac:dyDescent="0.4">
      <c r="A18" s="12" t="str">
        <f>IF(INTRO!$E$39="Non endémique"," ",IF(COUNTRY_INFO!A18=0," ",COUNTRY_INFO!A18))</f>
        <v>Mali</v>
      </c>
      <c r="B18" s="12" t="str">
        <f>IF(INTRO!$E$39="Non endémique"," ",IF(COUNTRY_INFO!B18=0," ",COUNTRY_INFO!B18))</f>
        <v>Kayes</v>
      </c>
      <c r="C18" s="12" t="str">
        <f>IF(INTRO!$E$39="Non endémique"," ",IF(COUNTRY_INFO!C18=0," ",COUNTRY_INFO!C18))</f>
        <v>Yelimane</v>
      </c>
      <c r="D18" s="13">
        <f>IF(INTRO!$E$39="Non endémique",0,IF(INTRO!$E$39="Endémique mais pas de CP",IF(COUNTRY_INFO!$H18=1,COUNTRY_INFO!F18+COUNTRY_INFO!G18,0),IF(COUNTRY_INFO!$H18=1,COUNTRY_INFO!F18+COUNTRY_INFO!G18,IF(COUNTRY_INFO!$I18=1,IF(COUNTRY_INFO!M18&gt;=(COUNTRY_INFO!F18+COUNTRY_INFO!G18),COUNTRY_INFO!F18+COUNTRY_INFO!G18,COUNTRY_INFO!$M18),0))))</f>
        <v>0</v>
      </c>
      <c r="E18" s="14">
        <f>IF(AND(INTRO!$E$39="Non endémique",INTRO!$E$37="Non endémique"),"Non requis",IF(INTRO!$E$39="Non endémique","Traiter avec DEC",COUNTRY_INFO!P18))</f>
        <v>0</v>
      </c>
      <c r="F18" s="14">
        <f>IF(INTRO!$E$39&lt;&gt;"Non endémique",COUNTRY_INFO!Q18,"Non requis")</f>
        <v>0</v>
      </c>
      <c r="G18" s="13">
        <f>IF(COUNTRY_INFO!H18=1, IF($E18=1,$D18, 0),0)</f>
        <v>0</v>
      </c>
      <c r="H18" s="13">
        <f>IF(INTRO!$E$39&lt;&gt;"Endémique",0, IF(AND(COUNTRY_INFO!$I18=1,$F18&lt;&gt;0),IF(COUNTRY_INFO!M18&gt;=(COUNTRY_INFO!F18+COUNTRY_INFO!G18),COUNTRY_INFO!F18+COUNTRY_INFO!G18,COUNTRY_INFO!$M18), 0))</f>
        <v>0</v>
      </c>
      <c r="I18" s="3"/>
      <c r="J18" s="13">
        <f t="shared" si="1"/>
        <v>0</v>
      </c>
      <c r="K18" s="13">
        <f t="shared" si="2"/>
        <v>0</v>
      </c>
      <c r="L18" s="13">
        <f t="shared" si="3"/>
        <v>0</v>
      </c>
      <c r="M18" s="13">
        <f t="shared" si="4"/>
        <v>0</v>
      </c>
      <c r="N18" s="13">
        <f t="shared" si="5"/>
        <v>0</v>
      </c>
      <c r="O18" s="24"/>
      <c r="P18" s="15">
        <f t="shared" si="6"/>
        <v>0</v>
      </c>
      <c r="Q18" s="15">
        <f t="shared" si="7"/>
        <v>0</v>
      </c>
    </row>
    <row r="19" spans="1:17" x14ac:dyDescent="0.4">
      <c r="A19" s="12" t="str">
        <f>IF(INTRO!$E$39="Non endémique"," ",IF(COUNTRY_INFO!A19=0," ",COUNTRY_INFO!A19))</f>
        <v>Mali</v>
      </c>
      <c r="B19" s="12" t="str">
        <f>IF(INTRO!$E$39="Non endémique"," ",IF(COUNTRY_INFO!B19=0," ",COUNTRY_INFO!B19))</f>
        <v>Koulikoro</v>
      </c>
      <c r="C19" s="12" t="str">
        <f>IF(INTRO!$E$39="Non endémique"," ",IF(COUNTRY_INFO!C19=0," ",COUNTRY_INFO!C19))</f>
        <v xml:space="preserve">Banamba </v>
      </c>
      <c r="D19" s="13">
        <f>IF(INTRO!$E$39="Non endémique",0,IF(INTRO!$E$39="Endémique mais pas de CP",IF(COUNTRY_INFO!$H19=1,COUNTRY_INFO!F19+COUNTRY_INFO!G19,0),IF(COUNTRY_INFO!$H19=1,COUNTRY_INFO!F19+COUNTRY_INFO!G19,IF(COUNTRY_INFO!$I19=1,IF(COUNTRY_INFO!M19&gt;=(COUNTRY_INFO!F19+COUNTRY_INFO!G19),COUNTRY_INFO!F19+COUNTRY_INFO!G19,COUNTRY_INFO!$M19),0))))</f>
        <v>0</v>
      </c>
      <c r="E19" s="14">
        <f>IF(AND(INTRO!$E$39="Non endémique",INTRO!$E$37="Non endémique"),"Non requis",IF(INTRO!$E$39="Non endémique","Traiter avec DEC",COUNTRY_INFO!P19))</f>
        <v>0</v>
      </c>
      <c r="F19" s="14">
        <f>IF(INTRO!$E$39&lt;&gt;"Non endémique",COUNTRY_INFO!Q19,"Non requis")</f>
        <v>0</v>
      </c>
      <c r="G19" s="13">
        <f>IF(COUNTRY_INFO!H19=1, IF($E19=1,$D19, 0),0)</f>
        <v>0</v>
      </c>
      <c r="H19" s="13">
        <f>IF(INTRO!$E$39&lt;&gt;"Endémique",0, IF(AND(COUNTRY_INFO!$I19=1,$F19&lt;&gt;0),IF(COUNTRY_INFO!M19&gt;=(COUNTRY_INFO!F19+COUNTRY_INFO!G19),COUNTRY_INFO!F19+COUNTRY_INFO!G19,COUNTRY_INFO!$M19), 0))</f>
        <v>0</v>
      </c>
      <c r="I19" s="3"/>
      <c r="J19" s="13">
        <f t="shared" si="1"/>
        <v>0</v>
      </c>
      <c r="K19" s="13">
        <f t="shared" si="2"/>
        <v>0</v>
      </c>
      <c r="L19" s="13">
        <f t="shared" si="3"/>
        <v>0</v>
      </c>
      <c r="M19" s="13">
        <f t="shared" si="4"/>
        <v>0</v>
      </c>
      <c r="N19" s="13">
        <f t="shared" si="5"/>
        <v>0</v>
      </c>
      <c r="O19" s="24"/>
      <c r="P19" s="15">
        <f t="shared" si="6"/>
        <v>0</v>
      </c>
      <c r="Q19" s="15">
        <f t="shared" si="7"/>
        <v>0</v>
      </c>
    </row>
    <row r="20" spans="1:17" x14ac:dyDescent="0.4">
      <c r="A20" s="12" t="str">
        <f>IF(INTRO!$E$39="Non endémique"," ",IF(COUNTRY_INFO!A20=0," ",COUNTRY_INFO!A20))</f>
        <v>Mali</v>
      </c>
      <c r="B20" s="12" t="str">
        <f>IF(INTRO!$E$39="Non endémique"," ",IF(COUNTRY_INFO!B20=0," ",COUNTRY_INFO!B20))</f>
        <v>Koulikoro</v>
      </c>
      <c r="C20" s="12" t="str">
        <f>IF(INTRO!$E$39="Non endémique"," ",IF(COUNTRY_INFO!C20=0," ",COUNTRY_INFO!C20))</f>
        <v>Dioila</v>
      </c>
      <c r="D20" s="13">
        <f>IF(INTRO!$E$39="Non endémique",0,IF(INTRO!$E$39="Endémique mais pas de CP",IF(COUNTRY_INFO!$H20=1,COUNTRY_INFO!F20+COUNTRY_INFO!G20,0),IF(COUNTRY_INFO!$H20=1,COUNTRY_INFO!F20+COUNTRY_INFO!G20,IF(COUNTRY_INFO!$I20=1,IF(COUNTRY_INFO!M20&gt;=(COUNTRY_INFO!F20+COUNTRY_INFO!G20),COUNTRY_INFO!F20+COUNTRY_INFO!G20,COUNTRY_INFO!$M20),0))))</f>
        <v>284298</v>
      </c>
      <c r="E20" s="14">
        <f>IF(AND(INTRO!$E$39="Non endémique",INTRO!$E$37="Non endémique"),"Non requis",IF(INTRO!$E$39="Non endémique","Traiter avec DEC",COUNTRY_INFO!P20))</f>
        <v>0</v>
      </c>
      <c r="F20" s="14">
        <f>IF(INTRO!$E$39&lt;&gt;"Non endémique",COUNTRY_INFO!Q20,"Non requis")</f>
        <v>1</v>
      </c>
      <c r="G20" s="13">
        <f>IF(COUNTRY_INFO!H20=1, IF($E20=1,$D20, 0),0)</f>
        <v>0</v>
      </c>
      <c r="H20" s="13">
        <f>IF(INTRO!$E$39&lt;&gt;"Endémique",0, IF(AND(COUNTRY_INFO!$I20=1,$F20&lt;&gt;0),IF(COUNTRY_INFO!M20&gt;=(COUNTRY_INFO!F20+COUNTRY_INFO!G20),COUNTRY_INFO!F20+COUNTRY_INFO!G20,COUNTRY_INFO!$M20), 0))</f>
        <v>284298</v>
      </c>
      <c r="I20" s="3"/>
      <c r="J20" s="13">
        <f t="shared" si="1"/>
        <v>284298</v>
      </c>
      <c r="K20" s="13">
        <f t="shared" si="2"/>
        <v>0</v>
      </c>
      <c r="L20" s="13">
        <f t="shared" si="3"/>
        <v>796034.39999999991</v>
      </c>
      <c r="M20" s="13">
        <f t="shared" si="4"/>
        <v>0</v>
      </c>
      <c r="N20" s="13">
        <f t="shared" si="5"/>
        <v>796034.39999999991</v>
      </c>
      <c r="O20" s="24"/>
      <c r="P20" s="15">
        <f t="shared" si="6"/>
        <v>796034.39999999991</v>
      </c>
      <c r="Q20" s="15">
        <f t="shared" si="7"/>
        <v>1593</v>
      </c>
    </row>
    <row r="21" spans="1:17" x14ac:dyDescent="0.4">
      <c r="A21" s="12" t="str">
        <f>IF(INTRO!$E$39="Non endémique"," ",IF(COUNTRY_INFO!A21=0," ",COUNTRY_INFO!A21))</f>
        <v>Mali</v>
      </c>
      <c r="B21" s="12" t="str">
        <f>IF(INTRO!$E$39="Non endémique"," ",IF(COUNTRY_INFO!B21=0," ",COUNTRY_INFO!B21))</f>
        <v>Koulikoro</v>
      </c>
      <c r="C21" s="12" t="str">
        <f>IF(INTRO!$E$39="Non endémique"," ",IF(COUNTRY_INFO!C21=0," ",COUNTRY_INFO!C21))</f>
        <v>Fana</v>
      </c>
      <c r="D21" s="13">
        <f>IF(INTRO!$E$39="Non endémique",0,IF(INTRO!$E$39="Endémique mais pas de CP",IF(COUNTRY_INFO!$H21=1,COUNTRY_INFO!F21+COUNTRY_INFO!G21,0),IF(COUNTRY_INFO!$H21=1,COUNTRY_INFO!F21+COUNTRY_INFO!G21,IF(COUNTRY_INFO!$I21=1,IF(COUNTRY_INFO!M21&gt;=(COUNTRY_INFO!F21+COUNTRY_INFO!G21),COUNTRY_INFO!F21+COUNTRY_INFO!G21,COUNTRY_INFO!$M21),0))))</f>
        <v>242180</v>
      </c>
      <c r="E21" s="14">
        <f>IF(AND(INTRO!$E$39="Non endémique",INTRO!$E$37="Non endémique"),"Non requis",IF(INTRO!$E$39="Non endémique","Traiter avec DEC",COUNTRY_INFO!P21))</f>
        <v>0</v>
      </c>
      <c r="F21" s="14">
        <f>IF(INTRO!$E$39&lt;&gt;"Non endémique",COUNTRY_INFO!Q21,"Non requis")</f>
        <v>1</v>
      </c>
      <c r="G21" s="13">
        <f>IF(COUNTRY_INFO!H21=1, IF($E21=1,$D21, 0),0)</f>
        <v>0</v>
      </c>
      <c r="H21" s="13">
        <f>IF(INTRO!$E$39&lt;&gt;"Endémique",0, IF(AND(COUNTRY_INFO!$I21=1,$F21&lt;&gt;0),IF(COUNTRY_INFO!M21&gt;=(COUNTRY_INFO!F21+COUNTRY_INFO!G21),COUNTRY_INFO!F21+COUNTRY_INFO!G21,COUNTRY_INFO!$M21), 0))</f>
        <v>242180</v>
      </c>
      <c r="I21" s="3"/>
      <c r="J21" s="13">
        <f t="shared" si="1"/>
        <v>242180</v>
      </c>
      <c r="K21" s="13">
        <f t="shared" si="2"/>
        <v>0</v>
      </c>
      <c r="L21" s="13">
        <f t="shared" si="3"/>
        <v>678104</v>
      </c>
      <c r="M21" s="13">
        <f t="shared" si="4"/>
        <v>0</v>
      </c>
      <c r="N21" s="13">
        <f t="shared" si="5"/>
        <v>678104</v>
      </c>
      <c r="O21" s="24"/>
      <c r="P21" s="15">
        <f t="shared" si="6"/>
        <v>678104</v>
      </c>
      <c r="Q21" s="15">
        <f t="shared" si="7"/>
        <v>1357</v>
      </c>
    </row>
    <row r="22" spans="1:17" x14ac:dyDescent="0.4">
      <c r="A22" s="12" t="str">
        <f>IF(INTRO!$E$39="Non endémique"," ",IF(COUNTRY_INFO!A22=0," ",COUNTRY_INFO!A22))</f>
        <v>Mali</v>
      </c>
      <c r="B22" s="12" t="str">
        <f>IF(INTRO!$E$39="Non endémique"," ",IF(COUNTRY_INFO!B22=0," ",COUNTRY_INFO!B22))</f>
        <v>Koulikoro</v>
      </c>
      <c r="C22" s="12" t="str">
        <f>IF(INTRO!$E$39="Non endémique"," ",IF(COUNTRY_INFO!C22=0," ",COUNTRY_INFO!C22))</f>
        <v>Kalaban Coro</v>
      </c>
      <c r="D22" s="13">
        <f>IF(INTRO!$E$39="Non endémique",0,IF(INTRO!$E$39="Endémique mais pas de CP",IF(COUNTRY_INFO!$H22=1,COUNTRY_INFO!F22+COUNTRY_INFO!G22,0),IF(COUNTRY_INFO!$H22=1,COUNTRY_INFO!F22+COUNTRY_INFO!G22,IF(COUNTRY_INFO!$I22=1,IF(COUNTRY_INFO!M22&gt;=(COUNTRY_INFO!F22+COUNTRY_INFO!G22),COUNTRY_INFO!F22+COUNTRY_INFO!G22,COUNTRY_INFO!$M22),0))))</f>
        <v>312038</v>
      </c>
      <c r="E22" s="14">
        <f>IF(AND(INTRO!$E$39="Non endémique",INTRO!$E$37="Non endémique"),"Non requis",IF(INTRO!$E$39="Non endémique","Traiter avec DEC",COUNTRY_INFO!P22))</f>
        <v>0</v>
      </c>
      <c r="F22" s="14">
        <f>IF(INTRO!$E$39&lt;&gt;"Non endémique",COUNTRY_INFO!Q22,"Non requis")</f>
        <v>1</v>
      </c>
      <c r="G22" s="13">
        <f>IF(COUNTRY_INFO!H22=1, IF($E22=1,$D22, 0),0)</f>
        <v>0</v>
      </c>
      <c r="H22" s="13">
        <f>IF(INTRO!$E$39&lt;&gt;"Endémique",0, IF(AND(COUNTRY_INFO!$I22=1,$F22&lt;&gt;0),IF(COUNTRY_INFO!M22&gt;=(COUNTRY_INFO!F22+COUNTRY_INFO!G22),COUNTRY_INFO!F22+COUNTRY_INFO!G22,COUNTRY_INFO!$M22), 0))</f>
        <v>312038</v>
      </c>
      <c r="I22" s="3"/>
      <c r="J22" s="13">
        <f t="shared" si="1"/>
        <v>312038</v>
      </c>
      <c r="K22" s="13">
        <f t="shared" si="2"/>
        <v>0</v>
      </c>
      <c r="L22" s="13">
        <f t="shared" si="3"/>
        <v>873706.39999999991</v>
      </c>
      <c r="M22" s="13">
        <f t="shared" si="4"/>
        <v>0</v>
      </c>
      <c r="N22" s="13">
        <f t="shared" si="5"/>
        <v>873706.39999999991</v>
      </c>
      <c r="O22" s="24"/>
      <c r="P22" s="15">
        <f t="shared" si="6"/>
        <v>873706.39999999991</v>
      </c>
      <c r="Q22" s="15">
        <f t="shared" si="7"/>
        <v>1748</v>
      </c>
    </row>
    <row r="23" spans="1:17" x14ac:dyDescent="0.4">
      <c r="A23" s="12" t="str">
        <f>IF(INTRO!$E$39="Non endémique"," ",IF(COUNTRY_INFO!A23=0," ",COUNTRY_INFO!A23))</f>
        <v>Mali</v>
      </c>
      <c r="B23" s="12" t="str">
        <f>IF(INTRO!$E$39="Non endémique"," ",IF(COUNTRY_INFO!B23=0," ",COUNTRY_INFO!B23))</f>
        <v>Koulikoro</v>
      </c>
      <c r="C23" s="12" t="str">
        <f>IF(INTRO!$E$39="Non endémique"," ",IF(COUNTRY_INFO!C23=0," ",COUNTRY_INFO!C23))</f>
        <v>Kangaba</v>
      </c>
      <c r="D23" s="13">
        <f>IF(INTRO!$E$39="Non endémique",0,IF(INTRO!$E$39="Endémique mais pas de CP",IF(COUNTRY_INFO!$H23=1,COUNTRY_INFO!F23+COUNTRY_INFO!G23,0),IF(COUNTRY_INFO!$H23=1,COUNTRY_INFO!F23+COUNTRY_INFO!G23,IF(COUNTRY_INFO!$I23=1,IF(COUNTRY_INFO!M23&gt;=(COUNTRY_INFO!F23+COUNTRY_INFO!G23),COUNTRY_INFO!F23+COUNTRY_INFO!G23,COUNTRY_INFO!$M23),0))))</f>
        <v>107950</v>
      </c>
      <c r="E23" s="14">
        <f>IF(AND(INTRO!$E$39="Non endémique",INTRO!$E$37="Non endémique"),"Non requis",IF(INTRO!$E$39="Non endémique","Traiter avec DEC",COUNTRY_INFO!P23))</f>
        <v>0</v>
      </c>
      <c r="F23" s="14">
        <f>IF(INTRO!$E$39&lt;&gt;"Non endémique",COUNTRY_INFO!Q23,"Non requis")</f>
        <v>1</v>
      </c>
      <c r="G23" s="13">
        <f>IF(COUNTRY_INFO!H23=1, IF($E23=1,$D23, 0),0)</f>
        <v>0</v>
      </c>
      <c r="H23" s="13">
        <f>IF(INTRO!$E$39&lt;&gt;"Endémique",0, IF(AND(COUNTRY_INFO!$I23=1,$F23&lt;&gt;0),IF(COUNTRY_INFO!M23&gt;=(COUNTRY_INFO!F23+COUNTRY_INFO!G23),COUNTRY_INFO!F23+COUNTRY_INFO!G23,COUNTRY_INFO!$M23), 0))</f>
        <v>107950</v>
      </c>
      <c r="I23" s="3"/>
      <c r="J23" s="13">
        <f t="shared" si="1"/>
        <v>107950</v>
      </c>
      <c r="K23" s="13">
        <f t="shared" si="2"/>
        <v>0</v>
      </c>
      <c r="L23" s="13">
        <f t="shared" si="3"/>
        <v>302260</v>
      </c>
      <c r="M23" s="13">
        <f t="shared" si="4"/>
        <v>0</v>
      </c>
      <c r="N23" s="13">
        <f t="shared" si="5"/>
        <v>302260</v>
      </c>
      <c r="O23" s="24"/>
      <c r="P23" s="15">
        <f t="shared" si="6"/>
        <v>302260</v>
      </c>
      <c r="Q23" s="15">
        <f t="shared" si="7"/>
        <v>605</v>
      </c>
    </row>
    <row r="24" spans="1:17" x14ac:dyDescent="0.4">
      <c r="A24" s="12" t="str">
        <f>IF(INTRO!$E$39="Non endémique"," ",IF(COUNTRY_INFO!A24=0," ",COUNTRY_INFO!A24))</f>
        <v>Mali</v>
      </c>
      <c r="B24" s="12" t="str">
        <f>IF(INTRO!$E$39="Non endémique"," ",IF(COUNTRY_INFO!B24=0," ",COUNTRY_INFO!B24))</f>
        <v>Koulikoro</v>
      </c>
      <c r="C24" s="12" t="str">
        <f>IF(INTRO!$E$39="Non endémique"," ",IF(COUNTRY_INFO!C24=0," ",COUNTRY_INFO!C24))</f>
        <v>Kati</v>
      </c>
      <c r="D24" s="13">
        <f>IF(INTRO!$E$39="Non endémique",0,IF(INTRO!$E$39="Endémique mais pas de CP",IF(COUNTRY_INFO!$H24=1,COUNTRY_INFO!F24+COUNTRY_INFO!G24,0),IF(COUNTRY_INFO!$H24=1,COUNTRY_INFO!F24+COUNTRY_INFO!G24,IF(COUNTRY_INFO!$I24=1,IF(COUNTRY_INFO!M24&gt;=(COUNTRY_INFO!F24+COUNTRY_INFO!G24),COUNTRY_INFO!F24+COUNTRY_INFO!G24,COUNTRY_INFO!$M24),0))))</f>
        <v>490762</v>
      </c>
      <c r="E24" s="14">
        <f>IF(AND(INTRO!$E$39="Non endémique",INTRO!$E$37="Non endémique"),"Non requis",IF(INTRO!$E$39="Non endémique","Traiter avec DEC",COUNTRY_INFO!P24))</f>
        <v>0</v>
      </c>
      <c r="F24" s="14">
        <f>IF(INTRO!$E$39&lt;&gt;"Non endémique",COUNTRY_INFO!Q24,"Non requis")</f>
        <v>1</v>
      </c>
      <c r="G24" s="13">
        <f>IF(COUNTRY_INFO!H24=1, IF($E24=1,$D24, 0),0)</f>
        <v>0</v>
      </c>
      <c r="H24" s="13">
        <f>IF(INTRO!$E$39&lt;&gt;"Endémique",0, IF(AND(COUNTRY_INFO!$I24=1,$F24&lt;&gt;0),IF(COUNTRY_INFO!M24&gt;=(COUNTRY_INFO!F24+COUNTRY_INFO!G24),COUNTRY_INFO!F24+COUNTRY_INFO!G24,COUNTRY_INFO!$M24), 0))</f>
        <v>490762</v>
      </c>
      <c r="I24" s="3"/>
      <c r="J24" s="13">
        <f t="shared" si="1"/>
        <v>490762</v>
      </c>
      <c r="K24" s="13">
        <f t="shared" si="2"/>
        <v>0</v>
      </c>
      <c r="L24" s="13">
        <f t="shared" si="3"/>
        <v>1374133.5999999999</v>
      </c>
      <c r="M24" s="13">
        <f t="shared" si="4"/>
        <v>0</v>
      </c>
      <c r="N24" s="13">
        <f t="shared" si="5"/>
        <v>1374133.5999999999</v>
      </c>
      <c r="O24" s="24"/>
      <c r="P24" s="15">
        <f t="shared" si="6"/>
        <v>1374133.5999999999</v>
      </c>
      <c r="Q24" s="15">
        <f t="shared" si="7"/>
        <v>2749</v>
      </c>
    </row>
    <row r="25" spans="1:17" x14ac:dyDescent="0.4">
      <c r="A25" s="12" t="str">
        <f>IF(INTRO!$E$39="Non endémique"," ",IF(COUNTRY_INFO!A25=0," ",COUNTRY_INFO!A25))</f>
        <v>Mali</v>
      </c>
      <c r="B25" s="12" t="str">
        <f>IF(INTRO!$E$39="Non endémique"," ",IF(COUNTRY_INFO!B25=0," ",COUNTRY_INFO!B25))</f>
        <v>Koulikoro</v>
      </c>
      <c r="C25" s="12" t="str">
        <f>IF(INTRO!$E$39="Non endémique"," ",IF(COUNTRY_INFO!C25=0," ",COUNTRY_INFO!C25))</f>
        <v>Kolokani</v>
      </c>
      <c r="D25" s="13">
        <f>IF(INTRO!$E$39="Non endémique",0,IF(INTRO!$E$39="Endémique mais pas de CP",IF(COUNTRY_INFO!$H25=1,COUNTRY_INFO!F25+COUNTRY_INFO!G25,0),IF(COUNTRY_INFO!$H25=1,COUNTRY_INFO!F25+COUNTRY_INFO!G25,IF(COUNTRY_INFO!$I25=1,IF(COUNTRY_INFO!M25&gt;=(COUNTRY_INFO!F25+COUNTRY_INFO!G25),COUNTRY_INFO!F25+COUNTRY_INFO!G25,COUNTRY_INFO!$M25),0))))</f>
        <v>250714</v>
      </c>
      <c r="E25" s="14">
        <f>IF(AND(INTRO!$E$39="Non endémique",INTRO!$E$37="Non endémique"),"Non requis",IF(INTRO!$E$39="Non endémique","Traiter avec DEC",COUNTRY_INFO!P25))</f>
        <v>0</v>
      </c>
      <c r="F25" s="14">
        <f>IF(INTRO!$E$39&lt;&gt;"Non endémique",COUNTRY_INFO!Q25,"Non requis")</f>
        <v>1</v>
      </c>
      <c r="G25" s="13">
        <f>IF(COUNTRY_INFO!H25=1, IF($E25=1,$D25, 0),0)</f>
        <v>0</v>
      </c>
      <c r="H25" s="13">
        <f>IF(INTRO!$E$39&lt;&gt;"Endémique",0, IF(AND(COUNTRY_INFO!$I25=1,$F25&lt;&gt;0),IF(COUNTRY_INFO!M25&gt;=(COUNTRY_INFO!F25+COUNTRY_INFO!G25),COUNTRY_INFO!F25+COUNTRY_INFO!G25,COUNTRY_INFO!$M25), 0))</f>
        <v>250714</v>
      </c>
      <c r="I25" s="3"/>
      <c r="J25" s="13">
        <f t="shared" si="1"/>
        <v>250714</v>
      </c>
      <c r="K25" s="13">
        <f t="shared" si="2"/>
        <v>0</v>
      </c>
      <c r="L25" s="13">
        <f t="shared" si="3"/>
        <v>701999.2</v>
      </c>
      <c r="M25" s="13">
        <f t="shared" si="4"/>
        <v>0</v>
      </c>
      <c r="N25" s="13">
        <f t="shared" si="5"/>
        <v>701999.2</v>
      </c>
      <c r="O25" s="24"/>
      <c r="P25" s="15">
        <f t="shared" si="6"/>
        <v>701999.2</v>
      </c>
      <c r="Q25" s="15">
        <f t="shared" si="7"/>
        <v>1404</v>
      </c>
    </row>
    <row r="26" spans="1:17" x14ac:dyDescent="0.4">
      <c r="A26" s="12" t="str">
        <f>IF(INTRO!$E$39="Non endémique"," ",IF(COUNTRY_INFO!A26=0," ",COUNTRY_INFO!A26))</f>
        <v>Mali</v>
      </c>
      <c r="B26" s="12" t="str">
        <f>IF(INTRO!$E$39="Non endémique"," ",IF(COUNTRY_INFO!B26=0," ",COUNTRY_INFO!B26))</f>
        <v>Koulikoro</v>
      </c>
      <c r="C26" s="12" t="str">
        <f>IF(INTRO!$E$39="Non endémique"," ",IF(COUNTRY_INFO!C26=0," ",COUNTRY_INFO!C26))</f>
        <v>Koulikoro</v>
      </c>
      <c r="D26" s="13">
        <f>IF(INTRO!$E$39="Non endémique",0,IF(INTRO!$E$39="Endémique mais pas de CP",IF(COUNTRY_INFO!$H26=1,COUNTRY_INFO!F26+COUNTRY_INFO!G26,0),IF(COUNTRY_INFO!$H26=1,COUNTRY_INFO!F26+COUNTRY_INFO!G26,IF(COUNTRY_INFO!$I26=1,IF(COUNTRY_INFO!M26&gt;=(COUNTRY_INFO!F26+COUNTRY_INFO!G26),COUNTRY_INFO!F26+COUNTRY_INFO!G26,COUNTRY_INFO!$M26),0))))</f>
        <v>226260</v>
      </c>
      <c r="E26" s="14">
        <f>IF(AND(INTRO!$E$39="Non endémique",INTRO!$E$37="Non endémique"),"Non requis",IF(INTRO!$E$39="Non endémique","Traiter avec DEC",COUNTRY_INFO!P26))</f>
        <v>0</v>
      </c>
      <c r="F26" s="14">
        <f>IF(INTRO!$E$39&lt;&gt;"Non endémique",COUNTRY_INFO!Q26,"Non requis")</f>
        <v>1</v>
      </c>
      <c r="G26" s="13">
        <f>IF(COUNTRY_INFO!H26=1, IF($E26=1,$D26, 0),0)</f>
        <v>0</v>
      </c>
      <c r="H26" s="13">
        <f>IF(INTRO!$E$39&lt;&gt;"Endémique",0, IF(AND(COUNTRY_INFO!$I26=1,$F26&lt;&gt;0),IF(COUNTRY_INFO!M26&gt;=(COUNTRY_INFO!F26+COUNTRY_INFO!G26),COUNTRY_INFO!F26+COUNTRY_INFO!G26,COUNTRY_INFO!$M26), 0))</f>
        <v>226260</v>
      </c>
      <c r="I26" s="3"/>
      <c r="J26" s="13">
        <f t="shared" si="1"/>
        <v>226260</v>
      </c>
      <c r="K26" s="13">
        <f t="shared" si="2"/>
        <v>0</v>
      </c>
      <c r="L26" s="13">
        <f t="shared" si="3"/>
        <v>633528</v>
      </c>
      <c r="M26" s="13">
        <f t="shared" si="4"/>
        <v>0</v>
      </c>
      <c r="N26" s="13">
        <f t="shared" si="5"/>
        <v>633528</v>
      </c>
      <c r="O26" s="24"/>
      <c r="P26" s="15">
        <f t="shared" si="6"/>
        <v>633528</v>
      </c>
      <c r="Q26" s="15">
        <f t="shared" si="7"/>
        <v>1268</v>
      </c>
    </row>
    <row r="27" spans="1:17" x14ac:dyDescent="0.4">
      <c r="A27" s="12" t="str">
        <f>IF(INTRO!$E$39="Non endémique"," ",IF(COUNTRY_INFO!A27=0," ",COUNTRY_INFO!A27))</f>
        <v>Mali</v>
      </c>
      <c r="B27" s="12" t="str">
        <f>IF(INTRO!$E$39="Non endémique"," ",IF(COUNTRY_INFO!B27=0," ",COUNTRY_INFO!B27))</f>
        <v>Koulikoro</v>
      </c>
      <c r="C27" s="12" t="str">
        <f>IF(INTRO!$E$39="Non endémique"," ",IF(COUNTRY_INFO!C27=0," ",COUNTRY_INFO!C27))</f>
        <v>Nara</v>
      </c>
      <c r="D27" s="13">
        <f>IF(INTRO!$E$39="Non endémique",0,IF(INTRO!$E$39="Endémique mais pas de CP",IF(COUNTRY_INFO!$H27=1,COUNTRY_INFO!F27+COUNTRY_INFO!G27,0),IF(COUNTRY_INFO!$H27=1,COUNTRY_INFO!F27+COUNTRY_INFO!G27,IF(COUNTRY_INFO!$I27=1,IF(COUNTRY_INFO!M27&gt;=(COUNTRY_INFO!F27+COUNTRY_INFO!G27),COUNTRY_INFO!F27+COUNTRY_INFO!G27,COUNTRY_INFO!$M27),0))))</f>
        <v>0</v>
      </c>
      <c r="E27" s="14">
        <f>IF(AND(INTRO!$E$39="Non endémique",INTRO!$E$37="Non endémique"),"Non requis",IF(INTRO!$E$39="Non endémique","Traiter avec DEC",COUNTRY_INFO!P27))</f>
        <v>0</v>
      </c>
      <c r="F27" s="14">
        <f>IF(INTRO!$E$39&lt;&gt;"Non endémique",COUNTRY_INFO!Q27,"Non requis")</f>
        <v>0</v>
      </c>
      <c r="G27" s="13">
        <f>IF(COUNTRY_INFO!H27=1, IF($E27=1,$D27, 0),0)</f>
        <v>0</v>
      </c>
      <c r="H27" s="13">
        <f>IF(INTRO!$E$39&lt;&gt;"Endémique",0, IF(AND(COUNTRY_INFO!$I27=1,$F27&lt;&gt;0),IF(COUNTRY_INFO!M27&gt;=(COUNTRY_INFO!F27+COUNTRY_INFO!G27),COUNTRY_INFO!F27+COUNTRY_INFO!G27,COUNTRY_INFO!$M27), 0))</f>
        <v>0</v>
      </c>
      <c r="I27" s="3"/>
      <c r="J27" s="13">
        <f t="shared" si="1"/>
        <v>0</v>
      </c>
      <c r="K27" s="13">
        <f t="shared" si="2"/>
        <v>0</v>
      </c>
      <c r="L27" s="13">
        <f t="shared" si="3"/>
        <v>0</v>
      </c>
      <c r="M27" s="13">
        <f t="shared" si="4"/>
        <v>0</v>
      </c>
      <c r="N27" s="13">
        <f t="shared" si="5"/>
        <v>0</v>
      </c>
      <c r="O27" s="24"/>
      <c r="P27" s="15">
        <f t="shared" si="6"/>
        <v>0</v>
      </c>
      <c r="Q27" s="15">
        <f t="shared" si="7"/>
        <v>0</v>
      </c>
    </row>
    <row r="28" spans="1:17" x14ac:dyDescent="0.4">
      <c r="A28" s="12" t="str">
        <f>IF(INTRO!$E$39="Non endémique"," ",IF(COUNTRY_INFO!A28=0," ",COUNTRY_INFO!A28))</f>
        <v>Mali</v>
      </c>
      <c r="B28" s="12" t="str">
        <f>IF(INTRO!$E$39="Non endémique"," ",IF(COUNTRY_INFO!B28=0," ",COUNTRY_INFO!B28))</f>
        <v>Koulikoro</v>
      </c>
      <c r="C28" s="12" t="str">
        <f>IF(INTRO!$E$39="Non endémique"," ",IF(COUNTRY_INFO!C28=0," ",COUNTRY_INFO!C28))</f>
        <v>Ouelessebougou</v>
      </c>
      <c r="D28" s="13">
        <f>IF(INTRO!$E$39="Non endémique",0,IF(INTRO!$E$39="Endémique mais pas de CP",IF(COUNTRY_INFO!$H28=1,COUNTRY_INFO!F28+COUNTRY_INFO!G28,0),IF(COUNTRY_INFO!$H28=1,COUNTRY_INFO!F28+COUNTRY_INFO!G28,IF(COUNTRY_INFO!$I28=1,IF(COUNTRY_INFO!M28&gt;=(COUNTRY_INFO!F28+COUNTRY_INFO!G28),COUNTRY_INFO!F28+COUNTRY_INFO!G28,COUNTRY_INFO!$M28),0))))</f>
        <v>213401</v>
      </c>
      <c r="E28" s="14">
        <f>IF(AND(INTRO!$E$39="Non endémique",INTRO!$E$37="Non endémique"),"Non requis",IF(INTRO!$E$39="Non endémique","Traiter avec DEC",COUNTRY_INFO!P28))</f>
        <v>0</v>
      </c>
      <c r="F28" s="14">
        <f>IF(INTRO!$E$39&lt;&gt;"Non endémique",COUNTRY_INFO!Q28,"Non requis")</f>
        <v>1</v>
      </c>
      <c r="G28" s="13">
        <f>IF(COUNTRY_INFO!H28=1, IF($E28=1,$D28, 0),0)</f>
        <v>0</v>
      </c>
      <c r="H28" s="13">
        <f>IF(INTRO!$E$39&lt;&gt;"Endémique",0, IF(AND(COUNTRY_INFO!$I28=1,$F28&lt;&gt;0),IF(COUNTRY_INFO!M28&gt;=(COUNTRY_INFO!F28+COUNTRY_INFO!G28),COUNTRY_INFO!F28+COUNTRY_INFO!G28,COUNTRY_INFO!$M28), 0))</f>
        <v>213401</v>
      </c>
      <c r="I28" s="3"/>
      <c r="J28" s="13">
        <f t="shared" si="1"/>
        <v>213401</v>
      </c>
      <c r="K28" s="13">
        <f t="shared" si="2"/>
        <v>0</v>
      </c>
      <c r="L28" s="13">
        <f t="shared" si="3"/>
        <v>597522.79999999993</v>
      </c>
      <c r="M28" s="13">
        <f t="shared" si="4"/>
        <v>0</v>
      </c>
      <c r="N28" s="13">
        <f t="shared" si="5"/>
        <v>597522.79999999993</v>
      </c>
      <c r="O28" s="24"/>
      <c r="P28" s="15">
        <f t="shared" si="6"/>
        <v>597522.79999999993</v>
      </c>
      <c r="Q28" s="15">
        <f t="shared" si="7"/>
        <v>1196</v>
      </c>
    </row>
    <row r="29" spans="1:17" x14ac:dyDescent="0.4">
      <c r="A29" s="12" t="str">
        <f>IF(INTRO!$E$39="Non endémique"," ",IF(COUNTRY_INFO!A29=0," ",COUNTRY_INFO!A29))</f>
        <v>Mali</v>
      </c>
      <c r="B29" s="12" t="str">
        <f>IF(INTRO!$E$39="Non endémique"," ",IF(COUNTRY_INFO!B29=0," ",COUNTRY_INFO!B29))</f>
        <v>Sikasso</v>
      </c>
      <c r="C29" s="12" t="str">
        <f>IF(INTRO!$E$39="Non endémique"," ",IF(COUNTRY_INFO!C29=0," ",COUNTRY_INFO!C29))</f>
        <v>Bougouni</v>
      </c>
      <c r="D29" s="13">
        <f>IF(INTRO!$E$39="Non endémique",0,IF(INTRO!$E$39="Endémique mais pas de CP",IF(COUNTRY_INFO!$H29=1,COUNTRY_INFO!F29+COUNTRY_INFO!G29,0),IF(COUNTRY_INFO!$H29=1,COUNTRY_INFO!F29+COUNTRY_INFO!G29,IF(COUNTRY_INFO!$I29=1,IF(COUNTRY_INFO!M29&gt;=(COUNTRY_INFO!F29+COUNTRY_INFO!G29),COUNTRY_INFO!F29+COUNTRY_INFO!G29,COUNTRY_INFO!$M29),0))))</f>
        <v>0</v>
      </c>
      <c r="E29" s="14">
        <f>IF(AND(INTRO!$E$39="Non endémique",INTRO!$E$37="Non endémique"),"Non requis",IF(INTRO!$E$39="Non endémique","Traiter avec DEC",COUNTRY_INFO!P29))</f>
        <v>0</v>
      </c>
      <c r="F29" s="14">
        <f>IF(INTRO!$E$39&lt;&gt;"Non endémique",COUNTRY_INFO!Q29,"Non requis")</f>
        <v>0</v>
      </c>
      <c r="G29" s="13">
        <f>IF(COUNTRY_INFO!H29=1, IF($E29=1,$D29, 0),0)</f>
        <v>0</v>
      </c>
      <c r="H29" s="13">
        <f>IF(INTRO!$E$39&lt;&gt;"Endémique",0, IF(AND(COUNTRY_INFO!$I29=1,$F29&lt;&gt;0),IF(COUNTRY_INFO!M29&gt;=(COUNTRY_INFO!F29+COUNTRY_INFO!G29),COUNTRY_INFO!F29+COUNTRY_INFO!G29,COUNTRY_INFO!$M29), 0))</f>
        <v>0</v>
      </c>
      <c r="I29" s="3"/>
      <c r="J29" s="13">
        <f t="shared" si="1"/>
        <v>0</v>
      </c>
      <c r="K29" s="13">
        <f t="shared" si="2"/>
        <v>0</v>
      </c>
      <c r="L29" s="13">
        <f t="shared" si="3"/>
        <v>0</v>
      </c>
      <c r="M29" s="13">
        <f t="shared" si="4"/>
        <v>0</v>
      </c>
      <c r="N29" s="13">
        <f t="shared" si="5"/>
        <v>0</v>
      </c>
      <c r="O29" s="24"/>
      <c r="P29" s="15">
        <f t="shared" si="6"/>
        <v>0</v>
      </c>
      <c r="Q29" s="15">
        <f t="shared" si="7"/>
        <v>0</v>
      </c>
    </row>
    <row r="30" spans="1:17" x14ac:dyDescent="0.4">
      <c r="A30" s="12" t="str">
        <f>IF(INTRO!$E$39="Non endémique"," ",IF(COUNTRY_INFO!A30=0," ",COUNTRY_INFO!A30))</f>
        <v>Mali</v>
      </c>
      <c r="B30" s="12" t="str">
        <f>IF(INTRO!$E$39="Non endémique"," ",IF(COUNTRY_INFO!B30=0," ",COUNTRY_INFO!B30))</f>
        <v>Sikasso</v>
      </c>
      <c r="C30" s="12" t="str">
        <f>IF(INTRO!$E$39="Non endémique"," ",IF(COUNTRY_INFO!C30=0," ",COUNTRY_INFO!C30))</f>
        <v>Kadiolo</v>
      </c>
      <c r="D30" s="13">
        <f>IF(INTRO!$E$39="Non endémique",0,IF(INTRO!$E$39="Endémique mais pas de CP",IF(COUNTRY_INFO!$H30=1,COUNTRY_INFO!F30+COUNTRY_INFO!G30,0),IF(COUNTRY_INFO!$H30=1,COUNTRY_INFO!F30+COUNTRY_INFO!G30,IF(COUNTRY_INFO!$I30=1,IF(COUNTRY_INFO!M30&gt;=(COUNTRY_INFO!F30+COUNTRY_INFO!G30),COUNTRY_INFO!F30+COUNTRY_INFO!G30,COUNTRY_INFO!$M30),0))))</f>
        <v>0</v>
      </c>
      <c r="E30" s="14">
        <f>IF(AND(INTRO!$E$39="Non endémique",INTRO!$E$37="Non endémique"),"Non requis",IF(INTRO!$E$39="Non endémique","Traiter avec DEC",COUNTRY_INFO!P30))</f>
        <v>0</v>
      </c>
      <c r="F30" s="14">
        <f>IF(INTRO!$E$39&lt;&gt;"Non endémique",COUNTRY_INFO!Q30,"Non requis")</f>
        <v>0</v>
      </c>
      <c r="G30" s="13">
        <f>IF(COUNTRY_INFO!H30=1, IF($E30=1,$D30, 0),0)</f>
        <v>0</v>
      </c>
      <c r="H30" s="13">
        <f>IF(INTRO!$E$39&lt;&gt;"Endémique",0, IF(AND(COUNTRY_INFO!$I30=1,$F30&lt;&gt;0),IF(COUNTRY_INFO!M30&gt;=(COUNTRY_INFO!F30+COUNTRY_INFO!G30),COUNTRY_INFO!F30+COUNTRY_INFO!G30,COUNTRY_INFO!$M30), 0))</f>
        <v>0</v>
      </c>
      <c r="I30" s="3"/>
      <c r="J30" s="13">
        <f t="shared" si="1"/>
        <v>0</v>
      </c>
      <c r="K30" s="13">
        <f t="shared" si="2"/>
        <v>0</v>
      </c>
      <c r="L30" s="13">
        <f t="shared" si="3"/>
        <v>0</v>
      </c>
      <c r="M30" s="13">
        <f t="shared" si="4"/>
        <v>0</v>
      </c>
      <c r="N30" s="13">
        <f t="shared" si="5"/>
        <v>0</v>
      </c>
      <c r="O30" s="24"/>
      <c r="P30" s="15">
        <f t="shared" si="6"/>
        <v>0</v>
      </c>
      <c r="Q30" s="15">
        <f t="shared" si="7"/>
        <v>0</v>
      </c>
    </row>
    <row r="31" spans="1:17" x14ac:dyDescent="0.4">
      <c r="A31" s="12" t="str">
        <f>IF(INTRO!$E$39="Non endémique"," ",IF(COUNTRY_INFO!A31=0," ",COUNTRY_INFO!A31))</f>
        <v>Mali</v>
      </c>
      <c r="B31" s="12" t="str">
        <f>IF(INTRO!$E$39="Non endémique"," ",IF(COUNTRY_INFO!B31=0," ",COUNTRY_INFO!B31))</f>
        <v>Sikasso</v>
      </c>
      <c r="C31" s="12" t="str">
        <f>IF(INTRO!$E$39="Non endémique"," ",IF(COUNTRY_INFO!C31=0," ",COUNTRY_INFO!C31))</f>
        <v>Kignan</v>
      </c>
      <c r="D31" s="13">
        <f>IF(INTRO!$E$39="Non endémique",0,IF(INTRO!$E$39="Endémique mais pas de CP",IF(COUNTRY_INFO!$H31=1,COUNTRY_INFO!F31+COUNTRY_INFO!G31,0),IF(COUNTRY_INFO!$H31=1,COUNTRY_INFO!F31+COUNTRY_INFO!G31,IF(COUNTRY_INFO!$I31=1,IF(COUNTRY_INFO!M31&gt;=(COUNTRY_INFO!F31+COUNTRY_INFO!G31),COUNTRY_INFO!F31+COUNTRY_INFO!G31,COUNTRY_INFO!$M31),0))))</f>
        <v>125025</v>
      </c>
      <c r="E31" s="14">
        <f>IF(AND(INTRO!$E$39="Non endémique",INTRO!$E$37="Non endémique"),"Non requis",IF(INTRO!$E$39="Non endémique","Traiter avec DEC",COUNTRY_INFO!P31))</f>
        <v>0</v>
      </c>
      <c r="F31" s="14">
        <f>IF(INTRO!$E$39&lt;&gt;"Non endémique",COUNTRY_INFO!Q31,"Non requis")</f>
        <v>1</v>
      </c>
      <c r="G31" s="13">
        <f>IF(COUNTRY_INFO!H31=1, IF($E31=1,$D31, 0),0)</f>
        <v>0</v>
      </c>
      <c r="H31" s="13">
        <f>IF(INTRO!$E$39&lt;&gt;"Endémique",0, IF(AND(COUNTRY_INFO!$I31=1,$F31&lt;&gt;0),IF(COUNTRY_INFO!M31&gt;=(COUNTRY_INFO!F31+COUNTRY_INFO!G31),COUNTRY_INFO!F31+COUNTRY_INFO!G31,COUNTRY_INFO!$M31), 0))</f>
        <v>125025</v>
      </c>
      <c r="I31" s="3"/>
      <c r="J31" s="13">
        <f t="shared" si="1"/>
        <v>125025</v>
      </c>
      <c r="K31" s="13">
        <f t="shared" si="2"/>
        <v>0</v>
      </c>
      <c r="L31" s="13">
        <f t="shared" si="3"/>
        <v>350070</v>
      </c>
      <c r="M31" s="13">
        <f t="shared" si="4"/>
        <v>0</v>
      </c>
      <c r="N31" s="13">
        <f t="shared" si="5"/>
        <v>350070</v>
      </c>
      <c r="O31" s="24"/>
      <c r="P31" s="15">
        <f t="shared" si="6"/>
        <v>350070</v>
      </c>
      <c r="Q31" s="15">
        <f t="shared" si="7"/>
        <v>701</v>
      </c>
    </row>
    <row r="32" spans="1:17" x14ac:dyDescent="0.4">
      <c r="A32" s="12" t="str">
        <f>IF(INTRO!$E$39="Non endémique"," ",IF(COUNTRY_INFO!A32=0," ",COUNTRY_INFO!A32))</f>
        <v>Mali</v>
      </c>
      <c r="B32" s="12" t="str">
        <f>IF(INTRO!$E$39="Non endémique"," ",IF(COUNTRY_INFO!B32=0," ",COUNTRY_INFO!B32))</f>
        <v>Sikasso</v>
      </c>
      <c r="C32" s="12" t="str">
        <f>IF(INTRO!$E$39="Non endémique"," ",IF(COUNTRY_INFO!C32=0," ",COUNTRY_INFO!C32))</f>
        <v>Kolondieba</v>
      </c>
      <c r="D32" s="13">
        <f>IF(INTRO!$E$39="Non endémique",0,IF(INTRO!$E$39="Endémique mais pas de CP",IF(COUNTRY_INFO!$H32=1,COUNTRY_INFO!F32+COUNTRY_INFO!G32,0),IF(COUNTRY_INFO!$H32=1,COUNTRY_INFO!F32+COUNTRY_INFO!G32,IF(COUNTRY_INFO!$I32=1,IF(COUNTRY_INFO!M32&gt;=(COUNTRY_INFO!F32+COUNTRY_INFO!G32),COUNTRY_INFO!F32+COUNTRY_INFO!G32,COUNTRY_INFO!$M32),0))))</f>
        <v>218235</v>
      </c>
      <c r="E32" s="14">
        <f>IF(AND(INTRO!$E$39="Non endémique",INTRO!$E$37="Non endémique"),"Non requis",IF(INTRO!$E$39="Non endémique","Traiter avec DEC",COUNTRY_INFO!P32))</f>
        <v>0</v>
      </c>
      <c r="F32" s="14">
        <f>IF(INTRO!$E$39&lt;&gt;"Non endémique",COUNTRY_INFO!Q32,"Non requis")</f>
        <v>1</v>
      </c>
      <c r="G32" s="13">
        <f>IF(COUNTRY_INFO!H32=1, IF($E32=1,$D32, 0),0)</f>
        <v>0</v>
      </c>
      <c r="H32" s="13">
        <f>IF(INTRO!$E$39&lt;&gt;"Endémique",0, IF(AND(COUNTRY_INFO!$I32=1,$F32&lt;&gt;0),IF(COUNTRY_INFO!M32&gt;=(COUNTRY_INFO!F32+COUNTRY_INFO!G32),COUNTRY_INFO!F32+COUNTRY_INFO!G32,COUNTRY_INFO!$M32), 0))</f>
        <v>218235</v>
      </c>
      <c r="I32" s="3"/>
      <c r="J32" s="13">
        <f t="shared" si="1"/>
        <v>218235</v>
      </c>
      <c r="K32" s="13">
        <f t="shared" si="2"/>
        <v>0</v>
      </c>
      <c r="L32" s="13">
        <f t="shared" si="3"/>
        <v>611058</v>
      </c>
      <c r="M32" s="13">
        <f t="shared" si="4"/>
        <v>0</v>
      </c>
      <c r="N32" s="13">
        <f t="shared" si="5"/>
        <v>611058</v>
      </c>
      <c r="O32" s="24"/>
      <c r="P32" s="15">
        <f t="shared" si="6"/>
        <v>611058</v>
      </c>
      <c r="Q32" s="15">
        <f t="shared" si="7"/>
        <v>1223</v>
      </c>
    </row>
    <row r="33" spans="1:17" x14ac:dyDescent="0.4">
      <c r="A33" s="12" t="str">
        <f>IF(INTRO!$E$39="Non endémique"," ",IF(COUNTRY_INFO!A33=0," ",COUNTRY_INFO!A33))</f>
        <v>Mali</v>
      </c>
      <c r="B33" s="12" t="str">
        <f>IF(INTRO!$E$39="Non endémique"," ",IF(COUNTRY_INFO!B33=0," ",COUNTRY_INFO!B33))</f>
        <v>Sikasso</v>
      </c>
      <c r="C33" s="12" t="str">
        <f>IF(INTRO!$E$39="Non endémique"," ",IF(COUNTRY_INFO!C33=0," ",COUNTRY_INFO!C33))</f>
        <v>Koutiala</v>
      </c>
      <c r="D33" s="13">
        <f>IF(INTRO!$E$39="Non endémique",0,IF(INTRO!$E$39="Endémique mais pas de CP",IF(COUNTRY_INFO!$H33=1,COUNTRY_INFO!F33+COUNTRY_INFO!G33,0),IF(COUNTRY_INFO!$H33=1,COUNTRY_INFO!F33+COUNTRY_INFO!G33,IF(COUNTRY_INFO!$I33=1,IF(COUNTRY_INFO!M33&gt;=(COUNTRY_INFO!F33+COUNTRY_INFO!G33),COUNTRY_INFO!F33+COUNTRY_INFO!G33,COUNTRY_INFO!$M33),0))))</f>
        <v>0</v>
      </c>
      <c r="E33" s="14">
        <f>IF(AND(INTRO!$E$39="Non endémique",INTRO!$E$37="Non endémique"),"Non requis",IF(INTRO!$E$39="Non endémique","Traiter avec DEC",COUNTRY_INFO!P33))</f>
        <v>0</v>
      </c>
      <c r="F33" s="14">
        <f>IF(INTRO!$E$39&lt;&gt;"Non endémique",COUNTRY_INFO!Q33,"Non requis")</f>
        <v>0</v>
      </c>
      <c r="G33" s="13">
        <f>IF(COUNTRY_INFO!H33=1, IF($E33=1,$D33, 0),0)</f>
        <v>0</v>
      </c>
      <c r="H33" s="13">
        <f>IF(INTRO!$E$39&lt;&gt;"Endémique",0, IF(AND(COUNTRY_INFO!$I33=1,$F33&lt;&gt;0),IF(COUNTRY_INFO!M33&gt;=(COUNTRY_INFO!F33+COUNTRY_INFO!G33),COUNTRY_INFO!F33+COUNTRY_INFO!G33,COUNTRY_INFO!$M33), 0))</f>
        <v>0</v>
      </c>
      <c r="I33" s="3"/>
      <c r="J33" s="13">
        <f t="shared" si="1"/>
        <v>0</v>
      </c>
      <c r="K33" s="13">
        <f t="shared" si="2"/>
        <v>0</v>
      </c>
      <c r="L33" s="13">
        <f t="shared" si="3"/>
        <v>0</v>
      </c>
      <c r="M33" s="13">
        <f t="shared" si="4"/>
        <v>0</v>
      </c>
      <c r="N33" s="13">
        <f t="shared" si="5"/>
        <v>0</v>
      </c>
      <c r="O33" s="24"/>
      <c r="P33" s="15">
        <f t="shared" si="6"/>
        <v>0</v>
      </c>
      <c r="Q33" s="15">
        <f t="shared" si="7"/>
        <v>0</v>
      </c>
    </row>
    <row r="34" spans="1:17" x14ac:dyDescent="0.4">
      <c r="A34" s="12" t="str">
        <f>IF(INTRO!$E$39="Non endémique"," ",IF(COUNTRY_INFO!A34=0," ",COUNTRY_INFO!A34))</f>
        <v>Mali</v>
      </c>
      <c r="B34" s="12" t="str">
        <f>IF(INTRO!$E$39="Non endémique"," ",IF(COUNTRY_INFO!B34=0," ",COUNTRY_INFO!B34))</f>
        <v>Sikasso</v>
      </c>
      <c r="C34" s="12" t="str">
        <f>IF(INTRO!$E$39="Non endémique"," ",IF(COUNTRY_INFO!C34=0," ",COUNTRY_INFO!C34))</f>
        <v>Niena</v>
      </c>
      <c r="D34" s="13">
        <f>IF(INTRO!$E$39="Non endémique",0,IF(INTRO!$E$39="Endémique mais pas de CP",IF(COUNTRY_INFO!$H34=1,COUNTRY_INFO!F34+COUNTRY_INFO!G34,0),IF(COUNTRY_INFO!$H34=1,COUNTRY_INFO!F34+COUNTRY_INFO!G34,IF(COUNTRY_INFO!$I34=1,IF(COUNTRY_INFO!M34&gt;=(COUNTRY_INFO!F34+COUNTRY_INFO!G34),COUNTRY_INFO!F34+COUNTRY_INFO!G34,COUNTRY_INFO!$M34),0))))</f>
        <v>131277</v>
      </c>
      <c r="E34" s="14">
        <f>IF(AND(INTRO!$E$39="Non endémique",INTRO!$E$37="Non endémique"),"Non requis",IF(INTRO!$E$39="Non endémique","Traiter avec DEC",COUNTRY_INFO!P34))</f>
        <v>0</v>
      </c>
      <c r="F34" s="14">
        <f>IF(INTRO!$E$39&lt;&gt;"Non endémique",COUNTRY_INFO!Q34,"Non requis")</f>
        <v>1</v>
      </c>
      <c r="G34" s="13">
        <f>IF(COUNTRY_INFO!H34=1, IF($E34=1,$D34, 0),0)</f>
        <v>0</v>
      </c>
      <c r="H34" s="13">
        <f>IF(INTRO!$E$39&lt;&gt;"Endémique",0, IF(AND(COUNTRY_INFO!$I34=1,$F34&lt;&gt;0),IF(COUNTRY_INFO!M34&gt;=(COUNTRY_INFO!F34+COUNTRY_INFO!G34),COUNTRY_INFO!F34+COUNTRY_INFO!G34,COUNTRY_INFO!$M34), 0))</f>
        <v>131277</v>
      </c>
      <c r="I34" s="3"/>
      <c r="J34" s="13">
        <f t="shared" si="1"/>
        <v>131277</v>
      </c>
      <c r="K34" s="13">
        <f t="shared" si="2"/>
        <v>0</v>
      </c>
      <c r="L34" s="13">
        <f t="shared" si="3"/>
        <v>367575.6</v>
      </c>
      <c r="M34" s="13">
        <f t="shared" si="4"/>
        <v>0</v>
      </c>
      <c r="N34" s="13">
        <f t="shared" si="5"/>
        <v>367575.6</v>
      </c>
      <c r="O34" s="24"/>
      <c r="P34" s="15">
        <f t="shared" si="6"/>
        <v>367575.6</v>
      </c>
      <c r="Q34" s="15">
        <f t="shared" si="7"/>
        <v>736</v>
      </c>
    </row>
    <row r="35" spans="1:17" x14ac:dyDescent="0.4">
      <c r="A35" s="12" t="str">
        <f>IF(INTRO!$E$39="Non endémique"," ",IF(COUNTRY_INFO!A35=0," ",COUNTRY_INFO!A35))</f>
        <v>Mali</v>
      </c>
      <c r="B35" s="12" t="str">
        <f>IF(INTRO!$E$39="Non endémique"," ",IF(COUNTRY_INFO!B35=0," ",COUNTRY_INFO!B35))</f>
        <v>Sikasso</v>
      </c>
      <c r="C35" s="12" t="str">
        <f>IF(INTRO!$E$39="Non endémique"," ",IF(COUNTRY_INFO!C35=0," ",COUNTRY_INFO!C35))</f>
        <v>Sélingué</v>
      </c>
      <c r="D35" s="13">
        <f>IF(INTRO!$E$39="Non endémique",0,IF(INTRO!$E$39="Endémique mais pas de CP",IF(COUNTRY_INFO!$H35=1,COUNTRY_INFO!F35+COUNTRY_INFO!G35,0),IF(COUNTRY_INFO!$H35=1,COUNTRY_INFO!F35+COUNTRY_INFO!G35,IF(COUNTRY_INFO!$I35=1,IF(COUNTRY_INFO!M35&gt;=(COUNTRY_INFO!F35+COUNTRY_INFO!G35),COUNTRY_INFO!F35+COUNTRY_INFO!G35,COUNTRY_INFO!$M35),0))))</f>
        <v>88978</v>
      </c>
      <c r="E35" s="14">
        <f>IF(AND(INTRO!$E$39="Non endémique",INTRO!$E$37="Non endémique"),"Non requis",IF(INTRO!$E$39="Non endémique","Traiter avec DEC",COUNTRY_INFO!P35))</f>
        <v>0</v>
      </c>
      <c r="F35" s="14">
        <f>IF(INTRO!$E$39&lt;&gt;"Non endémique",COUNTRY_INFO!Q35,"Non requis")</f>
        <v>1</v>
      </c>
      <c r="G35" s="13">
        <f>IF(COUNTRY_INFO!H35=1, IF($E35=1,$D35, 0),0)</f>
        <v>0</v>
      </c>
      <c r="H35" s="13">
        <f>IF(INTRO!$E$39&lt;&gt;"Endémique",0, IF(AND(COUNTRY_INFO!$I35=1,$F35&lt;&gt;0),IF(COUNTRY_INFO!M35&gt;=(COUNTRY_INFO!F35+COUNTRY_INFO!G35),COUNTRY_INFO!F35+COUNTRY_INFO!G35,COUNTRY_INFO!$M35), 0))</f>
        <v>88978</v>
      </c>
      <c r="I35" s="3"/>
      <c r="J35" s="13">
        <f t="shared" si="1"/>
        <v>88978</v>
      </c>
      <c r="K35" s="13">
        <f t="shared" si="2"/>
        <v>0</v>
      </c>
      <c r="L35" s="13">
        <f t="shared" si="3"/>
        <v>249138.4</v>
      </c>
      <c r="M35" s="13">
        <f t="shared" si="4"/>
        <v>0</v>
      </c>
      <c r="N35" s="13">
        <f t="shared" si="5"/>
        <v>249138.4</v>
      </c>
      <c r="O35" s="24"/>
      <c r="P35" s="15">
        <f t="shared" si="6"/>
        <v>249138.4</v>
      </c>
      <c r="Q35" s="15">
        <f t="shared" si="7"/>
        <v>499</v>
      </c>
    </row>
    <row r="36" spans="1:17" x14ac:dyDescent="0.4">
      <c r="A36" s="12" t="str">
        <f>IF(INTRO!$E$39="Non endémique"," ",IF(COUNTRY_INFO!A36=0," ",COUNTRY_INFO!A36))</f>
        <v>Mali</v>
      </c>
      <c r="B36" s="12" t="str">
        <f>IF(INTRO!$E$39="Non endémique"," ",IF(COUNTRY_INFO!B36=0," ",COUNTRY_INFO!B36))</f>
        <v>Sikasso</v>
      </c>
      <c r="C36" s="12" t="str">
        <f>IF(INTRO!$E$39="Non endémique"," ",IF(COUNTRY_INFO!C36=0," ",COUNTRY_INFO!C36))</f>
        <v>Sikasso</v>
      </c>
      <c r="D36" s="13">
        <f>IF(INTRO!$E$39="Non endémique",0,IF(INTRO!$E$39="Endémique mais pas de CP",IF(COUNTRY_INFO!$H36=1,COUNTRY_INFO!F36+COUNTRY_INFO!G36,0),IF(COUNTRY_INFO!$H36=1,COUNTRY_INFO!F36+COUNTRY_INFO!G36,IF(COUNTRY_INFO!$I36=1,IF(COUNTRY_INFO!M36&gt;=(COUNTRY_INFO!F36+COUNTRY_INFO!G36),COUNTRY_INFO!F36+COUNTRY_INFO!G36,COUNTRY_INFO!$M36),0))))</f>
        <v>525109</v>
      </c>
      <c r="E36" s="14">
        <f>IF(AND(INTRO!$E$39="Non endémique",INTRO!$E$37="Non endémique"),"Non requis",IF(INTRO!$E$39="Non endémique","Traiter avec DEC",COUNTRY_INFO!P36))</f>
        <v>0</v>
      </c>
      <c r="F36" s="14">
        <f>IF(INTRO!$E$39&lt;&gt;"Non endémique",COUNTRY_INFO!Q36,"Non requis")</f>
        <v>1</v>
      </c>
      <c r="G36" s="13">
        <f>IF(COUNTRY_INFO!H36=1, IF($E36=1,$D36, 0),0)</f>
        <v>0</v>
      </c>
      <c r="H36" s="13">
        <f>IF(INTRO!$E$39&lt;&gt;"Endémique",0, IF(AND(COUNTRY_INFO!$I36=1,$F36&lt;&gt;0),IF(COUNTRY_INFO!M36&gt;=(COUNTRY_INFO!F36+COUNTRY_INFO!G36),COUNTRY_INFO!F36+COUNTRY_INFO!G36,COUNTRY_INFO!$M36), 0))</f>
        <v>525109</v>
      </c>
      <c r="I36" s="3"/>
      <c r="J36" s="13">
        <f t="shared" si="1"/>
        <v>525109</v>
      </c>
      <c r="K36" s="13">
        <f t="shared" si="2"/>
        <v>0</v>
      </c>
      <c r="L36" s="13">
        <f t="shared" si="3"/>
        <v>1470305.2</v>
      </c>
      <c r="M36" s="13">
        <f t="shared" si="4"/>
        <v>0</v>
      </c>
      <c r="N36" s="13">
        <f t="shared" si="5"/>
        <v>1470305.2</v>
      </c>
      <c r="O36" s="24"/>
      <c r="P36" s="15">
        <f t="shared" si="6"/>
        <v>1470305.2</v>
      </c>
      <c r="Q36" s="15">
        <f t="shared" si="7"/>
        <v>2941</v>
      </c>
    </row>
    <row r="37" spans="1:17" x14ac:dyDescent="0.4">
      <c r="A37" s="12" t="str">
        <f>IF(INTRO!$E$39="Non endémique"," ",IF(COUNTRY_INFO!A37=0," ",COUNTRY_INFO!A37))</f>
        <v>Mali</v>
      </c>
      <c r="B37" s="12" t="str">
        <f>IF(INTRO!$E$39="Non endémique"," ",IF(COUNTRY_INFO!B37=0," ",COUNTRY_INFO!B37))</f>
        <v>Sikasso</v>
      </c>
      <c r="C37" s="12" t="str">
        <f>IF(INTRO!$E$39="Non endémique"," ",IF(COUNTRY_INFO!C37=0," ",COUNTRY_INFO!C37))</f>
        <v>Yanfolila</v>
      </c>
      <c r="D37" s="13">
        <f>IF(INTRO!$E$39="Non endémique",0,IF(INTRO!$E$39="Endémique mais pas de CP",IF(COUNTRY_INFO!$H37=1,COUNTRY_INFO!F37+COUNTRY_INFO!G37,0),IF(COUNTRY_INFO!$H37=1,COUNTRY_INFO!F37+COUNTRY_INFO!G37,IF(COUNTRY_INFO!$I37=1,IF(COUNTRY_INFO!M37&gt;=(COUNTRY_INFO!F37+COUNTRY_INFO!G37),COUNTRY_INFO!F37+COUNTRY_INFO!G37,COUNTRY_INFO!$M37),0))))</f>
        <v>0</v>
      </c>
      <c r="E37" s="14">
        <f>IF(AND(INTRO!$E$39="Non endémique",INTRO!$E$37="Non endémique"),"Non requis",IF(INTRO!$E$39="Non endémique","Traiter avec DEC",COUNTRY_INFO!P37))</f>
        <v>0</v>
      </c>
      <c r="F37" s="14">
        <f>IF(INTRO!$E$39&lt;&gt;"Non endémique",COUNTRY_INFO!Q37,"Non requis")</f>
        <v>0</v>
      </c>
      <c r="G37" s="13">
        <f>IF(COUNTRY_INFO!H37=1, IF($E37=1,$D37, 0),0)</f>
        <v>0</v>
      </c>
      <c r="H37" s="13">
        <f>IF(INTRO!$E$39&lt;&gt;"Endémique",0, IF(AND(COUNTRY_INFO!$I37=1,$F37&lt;&gt;0),IF(COUNTRY_INFO!M37&gt;=(COUNTRY_INFO!F37+COUNTRY_INFO!G37),COUNTRY_INFO!F37+COUNTRY_INFO!G37,COUNTRY_INFO!$M37), 0))</f>
        <v>0</v>
      </c>
      <c r="I37" s="3"/>
      <c r="J37" s="13">
        <f t="shared" si="1"/>
        <v>0</v>
      </c>
      <c r="K37" s="13">
        <f t="shared" si="2"/>
        <v>0</v>
      </c>
      <c r="L37" s="13">
        <f t="shared" si="3"/>
        <v>0</v>
      </c>
      <c r="M37" s="13">
        <f t="shared" si="4"/>
        <v>0</v>
      </c>
      <c r="N37" s="13">
        <f t="shared" si="5"/>
        <v>0</v>
      </c>
      <c r="O37" s="24"/>
      <c r="P37" s="15">
        <f t="shared" si="6"/>
        <v>0</v>
      </c>
      <c r="Q37" s="15">
        <f t="shared" si="7"/>
        <v>0</v>
      </c>
    </row>
    <row r="38" spans="1:17" x14ac:dyDescent="0.4">
      <c r="A38" s="12" t="str">
        <f>IF(INTRO!$E$39="Non endémique"," ",IF(COUNTRY_INFO!A38=0," ",COUNTRY_INFO!A38))</f>
        <v>Mali</v>
      </c>
      <c r="B38" s="12" t="str">
        <f>IF(INTRO!$E$39="Non endémique"," ",IF(COUNTRY_INFO!B38=0," ",COUNTRY_INFO!B38))</f>
        <v>Sikasso</v>
      </c>
      <c r="C38" s="12" t="str">
        <f>IF(INTRO!$E$39="Non endémique"," ",IF(COUNTRY_INFO!C38=0," ",COUNTRY_INFO!C38))</f>
        <v>Yorosso</v>
      </c>
      <c r="D38" s="13">
        <f>IF(INTRO!$E$39="Non endémique",0,IF(INTRO!$E$39="Endémique mais pas de CP",IF(COUNTRY_INFO!$H38=1,COUNTRY_INFO!F38+COUNTRY_INFO!G38,0),IF(COUNTRY_INFO!$H38=1,COUNTRY_INFO!F38+COUNTRY_INFO!G38,IF(COUNTRY_INFO!$I38=1,IF(COUNTRY_INFO!M38&gt;=(COUNTRY_INFO!F38+COUNTRY_INFO!G38),COUNTRY_INFO!F38+COUNTRY_INFO!G38,COUNTRY_INFO!$M38),0))))</f>
        <v>0</v>
      </c>
      <c r="E38" s="14">
        <f>IF(AND(INTRO!$E$39="Non endémique",INTRO!$E$37="Non endémique"),"Non requis",IF(INTRO!$E$39="Non endémique","Traiter avec DEC",COUNTRY_INFO!P38))</f>
        <v>0</v>
      </c>
      <c r="F38" s="14">
        <f>IF(INTRO!$E$39&lt;&gt;"Non endémique",COUNTRY_INFO!Q38,"Non requis")</f>
        <v>0</v>
      </c>
      <c r="G38" s="13">
        <f>IF(COUNTRY_INFO!H38=1, IF($E38=1,$D38, 0),0)</f>
        <v>0</v>
      </c>
      <c r="H38" s="13">
        <f>IF(INTRO!$E$39&lt;&gt;"Endémique",0, IF(AND(COUNTRY_INFO!$I38=1,$F38&lt;&gt;0),IF(COUNTRY_INFO!M38&gt;=(COUNTRY_INFO!F38+COUNTRY_INFO!G38),COUNTRY_INFO!F38+COUNTRY_INFO!G38,COUNTRY_INFO!$M38), 0))</f>
        <v>0</v>
      </c>
      <c r="I38" s="3"/>
      <c r="J38" s="13">
        <f t="shared" si="1"/>
        <v>0</v>
      </c>
      <c r="K38" s="13">
        <f t="shared" si="2"/>
        <v>0</v>
      </c>
      <c r="L38" s="13">
        <f t="shared" si="3"/>
        <v>0</v>
      </c>
      <c r="M38" s="13">
        <f t="shared" si="4"/>
        <v>0</v>
      </c>
      <c r="N38" s="13">
        <f t="shared" si="5"/>
        <v>0</v>
      </c>
      <c r="O38" s="24"/>
      <c r="P38" s="15">
        <f t="shared" si="6"/>
        <v>0</v>
      </c>
      <c r="Q38" s="15">
        <f t="shared" si="7"/>
        <v>0</v>
      </c>
    </row>
    <row r="39" spans="1:17" x14ac:dyDescent="0.4">
      <c r="A39" s="12" t="str">
        <f>IF(INTRO!$E$39="Non endémique"," ",IF(COUNTRY_INFO!A39=0," ",COUNTRY_INFO!A39))</f>
        <v>Mali</v>
      </c>
      <c r="B39" s="12" t="str">
        <f>IF(INTRO!$E$39="Non endémique"," ",IF(COUNTRY_INFO!B39=0," ",COUNTRY_INFO!B39))</f>
        <v>Segou</v>
      </c>
      <c r="C39" s="12" t="str">
        <f>IF(INTRO!$E$39="Non endémique"," ",IF(COUNTRY_INFO!C39=0," ",COUNTRY_INFO!C39))</f>
        <v>Barouéli</v>
      </c>
      <c r="D39" s="13">
        <f>IF(INTRO!$E$39="Non endémique",0,IF(INTRO!$E$39="Endémique mais pas de CP",IF(COUNTRY_INFO!$H39=1,COUNTRY_INFO!F39+COUNTRY_INFO!G39,0),IF(COUNTRY_INFO!$H39=1,COUNTRY_INFO!F39+COUNTRY_INFO!G39,IF(COUNTRY_INFO!$I39=1,IF(COUNTRY_INFO!M39&gt;=(COUNTRY_INFO!F39+COUNTRY_INFO!G39),COUNTRY_INFO!F39+COUNTRY_INFO!G39,COUNTRY_INFO!$M39),0))))</f>
        <v>0</v>
      </c>
      <c r="E39" s="14">
        <f>IF(AND(INTRO!$E$39="Non endémique",INTRO!$E$37="Non endémique"),"Non requis",IF(INTRO!$E$39="Non endémique","Traiter avec DEC",COUNTRY_INFO!P39))</f>
        <v>0</v>
      </c>
      <c r="F39" s="14">
        <f>IF(INTRO!$E$39&lt;&gt;"Non endémique",COUNTRY_INFO!Q39,"Non requis")</f>
        <v>0</v>
      </c>
      <c r="G39" s="13">
        <f>IF(COUNTRY_INFO!H39=1, IF($E39=1,$D39, 0),0)</f>
        <v>0</v>
      </c>
      <c r="H39" s="13">
        <f>IF(INTRO!$E$39&lt;&gt;"Endémique",0, IF(AND(COUNTRY_INFO!$I39=1,$F39&lt;&gt;0),IF(COUNTRY_INFO!M39&gt;=(COUNTRY_INFO!F39+COUNTRY_INFO!G39),COUNTRY_INFO!F39+COUNTRY_INFO!G39,COUNTRY_INFO!$M39), 0))</f>
        <v>0</v>
      </c>
      <c r="I39" s="3"/>
      <c r="J39" s="13">
        <f t="shared" si="1"/>
        <v>0</v>
      </c>
      <c r="K39" s="13">
        <f t="shared" si="2"/>
        <v>0</v>
      </c>
      <c r="L39" s="13">
        <f t="shared" si="3"/>
        <v>0</v>
      </c>
      <c r="M39" s="13">
        <f t="shared" si="4"/>
        <v>0</v>
      </c>
      <c r="N39" s="13">
        <f t="shared" si="5"/>
        <v>0</v>
      </c>
      <c r="O39" s="24"/>
      <c r="P39" s="15">
        <f t="shared" si="6"/>
        <v>0</v>
      </c>
      <c r="Q39" s="15">
        <f t="shared" si="7"/>
        <v>0</v>
      </c>
    </row>
    <row r="40" spans="1:17" x14ac:dyDescent="0.4">
      <c r="A40" s="12" t="str">
        <f>IF(INTRO!$E$39="Non endémique"," ",IF(COUNTRY_INFO!A40=0," ",COUNTRY_INFO!A40))</f>
        <v>Mali</v>
      </c>
      <c r="B40" s="12" t="str">
        <f>IF(INTRO!$E$39="Non endémique"," ",IF(COUNTRY_INFO!B40=0," ",COUNTRY_INFO!B40))</f>
        <v>Segou</v>
      </c>
      <c r="C40" s="12" t="str">
        <f>IF(INTRO!$E$39="Non endémique"," ",IF(COUNTRY_INFO!C40=0," ",COUNTRY_INFO!C40))</f>
        <v>Bla</v>
      </c>
      <c r="D40" s="13">
        <f>IF(INTRO!$E$39="Non endémique",0,IF(INTRO!$E$39="Endémique mais pas de CP",IF(COUNTRY_INFO!$H40=1,COUNTRY_INFO!F40+COUNTRY_INFO!G40,0),IF(COUNTRY_INFO!$H40=1,COUNTRY_INFO!F40+COUNTRY_INFO!G40,IF(COUNTRY_INFO!$I40=1,IF(COUNTRY_INFO!M40&gt;=(COUNTRY_INFO!F40+COUNTRY_INFO!G40),COUNTRY_INFO!F40+COUNTRY_INFO!G40,COUNTRY_INFO!$M40),0))))</f>
        <v>0</v>
      </c>
      <c r="E40" s="14">
        <f>IF(AND(INTRO!$E$39="Non endémique",INTRO!$E$37="Non endémique"),"Non requis",IF(INTRO!$E$39="Non endémique","Traiter avec DEC",COUNTRY_INFO!P40))</f>
        <v>0</v>
      </c>
      <c r="F40" s="14">
        <f>IF(INTRO!$E$39&lt;&gt;"Non endémique",COUNTRY_INFO!Q40,"Non requis")</f>
        <v>0</v>
      </c>
      <c r="G40" s="13">
        <f>IF(COUNTRY_INFO!H40=1, IF($E40=1,$D40, 0),0)</f>
        <v>0</v>
      </c>
      <c r="H40" s="13">
        <f>IF(INTRO!$E$39&lt;&gt;"Endémique",0, IF(AND(COUNTRY_INFO!$I40=1,$F40&lt;&gt;0),IF(COUNTRY_INFO!M40&gt;=(COUNTRY_INFO!F40+COUNTRY_INFO!G40),COUNTRY_INFO!F40+COUNTRY_INFO!G40,COUNTRY_INFO!$M40), 0))</f>
        <v>0</v>
      </c>
      <c r="I40" s="3"/>
      <c r="J40" s="13">
        <f t="shared" si="1"/>
        <v>0</v>
      </c>
      <c r="K40" s="13">
        <f t="shared" si="2"/>
        <v>0</v>
      </c>
      <c r="L40" s="13">
        <f t="shared" si="3"/>
        <v>0</v>
      </c>
      <c r="M40" s="13">
        <f t="shared" si="4"/>
        <v>0</v>
      </c>
      <c r="N40" s="13">
        <f t="shared" si="5"/>
        <v>0</v>
      </c>
      <c r="O40" s="24"/>
      <c r="P40" s="15">
        <f t="shared" si="6"/>
        <v>0</v>
      </c>
      <c r="Q40" s="15">
        <f t="shared" si="7"/>
        <v>0</v>
      </c>
    </row>
    <row r="41" spans="1:17" x14ac:dyDescent="0.4">
      <c r="A41" s="12" t="str">
        <f>IF(INTRO!$E$39="Non endémique"," ",IF(COUNTRY_INFO!A41=0," ",COUNTRY_INFO!A41))</f>
        <v>Mali</v>
      </c>
      <c r="B41" s="12" t="str">
        <f>IF(INTRO!$E$39="Non endémique"," ",IF(COUNTRY_INFO!B41=0," ",COUNTRY_INFO!B41))</f>
        <v>Segou</v>
      </c>
      <c r="C41" s="12" t="str">
        <f>IF(INTRO!$E$39="Non endémique"," ",IF(COUNTRY_INFO!C41=0," ",COUNTRY_INFO!C41))</f>
        <v>Macina</v>
      </c>
      <c r="D41" s="13">
        <f>IF(INTRO!$E$39="Non endémique",0,IF(INTRO!$E$39="Endémique mais pas de CP",IF(COUNTRY_INFO!$H41=1,COUNTRY_INFO!F41+COUNTRY_INFO!G41,0),IF(COUNTRY_INFO!$H41=1,COUNTRY_INFO!F41+COUNTRY_INFO!G41,IF(COUNTRY_INFO!$I41=1,IF(COUNTRY_INFO!M41&gt;=(COUNTRY_INFO!F41+COUNTRY_INFO!G41),COUNTRY_INFO!F41+COUNTRY_INFO!G41,COUNTRY_INFO!$M41),0))))</f>
        <v>0</v>
      </c>
      <c r="E41" s="14">
        <f>IF(AND(INTRO!$E$39="Non endémique",INTRO!$E$37="Non endémique"),"Non requis",IF(INTRO!$E$39="Non endémique","Traiter avec DEC",COUNTRY_INFO!P41))</f>
        <v>0</v>
      </c>
      <c r="F41" s="14">
        <f>IF(INTRO!$E$39&lt;&gt;"Non endémique",COUNTRY_INFO!Q41,"Non requis")</f>
        <v>0</v>
      </c>
      <c r="G41" s="13">
        <f>IF(COUNTRY_INFO!H41=1, IF($E41=1,$D41, 0),0)</f>
        <v>0</v>
      </c>
      <c r="H41" s="13">
        <f>IF(INTRO!$E$39&lt;&gt;"Endémique",0, IF(AND(COUNTRY_INFO!$I41=1,$F41&lt;&gt;0),IF(COUNTRY_INFO!M41&gt;=(COUNTRY_INFO!F41+COUNTRY_INFO!G41),COUNTRY_INFO!F41+COUNTRY_INFO!G41,COUNTRY_INFO!$M41), 0))</f>
        <v>0</v>
      </c>
      <c r="I41" s="3"/>
      <c r="J41" s="13">
        <f t="shared" ref="J41:J72" si="8">IF(I41=0,H41,IF(I41&gt;H41,H41,I41))</f>
        <v>0</v>
      </c>
      <c r="K41" s="13">
        <f t="shared" ref="K41:K72" si="9">IF(G41&lt;J41,0,IF($E41=1, (G41-J41)*2.8, 0))</f>
        <v>0</v>
      </c>
      <c r="L41" s="13">
        <f t="shared" ref="L41:L72" si="10">IF($E41&lt;$F41, J41*(F41-E41)*2.8, 0)</f>
        <v>0</v>
      </c>
      <c r="M41" s="13">
        <f t="shared" ref="M41:M72" si="11">IF(AND($E41=1, $F41&lt;&gt;0), J41*2.8, 0)</f>
        <v>0</v>
      </c>
      <c r="N41" s="13">
        <f t="shared" ref="N41:N72" si="12">SUM(K41:M41)</f>
        <v>0</v>
      </c>
      <c r="O41" s="24"/>
      <c r="P41" s="15">
        <f t="shared" ref="P41:P72" si="13">IF($N41&gt;$O41,$N41-$O41,0)</f>
        <v>0</v>
      </c>
      <c r="Q41" s="15">
        <f t="shared" ref="Q41:Q72" si="14">ROUNDUP($N41/500,0)</f>
        <v>0</v>
      </c>
    </row>
    <row r="42" spans="1:17" x14ac:dyDescent="0.4">
      <c r="A42" s="12" t="str">
        <f>IF(INTRO!$E$39="Non endémique"," ",IF(COUNTRY_INFO!A42=0," ",COUNTRY_INFO!A42))</f>
        <v>Mali</v>
      </c>
      <c r="B42" s="12" t="str">
        <f>IF(INTRO!$E$39="Non endémique"," ",IF(COUNTRY_INFO!B42=0," ",COUNTRY_INFO!B42))</f>
        <v>Segou</v>
      </c>
      <c r="C42" s="12" t="str">
        <f>IF(INTRO!$E$39="Non endémique"," ",IF(COUNTRY_INFO!C42=0," ",COUNTRY_INFO!C42))</f>
        <v>Markala</v>
      </c>
      <c r="D42" s="13">
        <f>IF(INTRO!$E$39="Non endémique",0,IF(INTRO!$E$39="Endémique mais pas de CP",IF(COUNTRY_INFO!$H42=1,COUNTRY_INFO!F42+COUNTRY_INFO!G42,0),IF(COUNTRY_INFO!$H42=1,COUNTRY_INFO!F42+COUNTRY_INFO!G42,IF(COUNTRY_INFO!$I42=1,IF(COUNTRY_INFO!M42&gt;=(COUNTRY_INFO!F42+COUNTRY_INFO!G42),COUNTRY_INFO!F42+COUNTRY_INFO!G42,COUNTRY_INFO!$M42),0))))</f>
        <v>0</v>
      </c>
      <c r="E42" s="14">
        <f>IF(AND(INTRO!$E$39="Non endémique",INTRO!$E$37="Non endémique"),"Non requis",IF(INTRO!$E$39="Non endémique","Traiter avec DEC",COUNTRY_INFO!P42))</f>
        <v>0</v>
      </c>
      <c r="F42" s="14">
        <f>IF(INTRO!$E$39&lt;&gt;"Non endémique",COUNTRY_INFO!Q42,"Non requis")</f>
        <v>0</v>
      </c>
      <c r="G42" s="13">
        <f>IF(COUNTRY_INFO!H42=1, IF($E42=1,$D42, 0),0)</f>
        <v>0</v>
      </c>
      <c r="H42" s="13">
        <f>IF(INTRO!$E$39&lt;&gt;"Endémique",0, IF(AND(COUNTRY_INFO!$I42=1,$F42&lt;&gt;0),IF(COUNTRY_INFO!M42&gt;=(COUNTRY_INFO!F42+COUNTRY_INFO!G42),COUNTRY_INFO!F42+COUNTRY_INFO!G42,COUNTRY_INFO!$M42), 0))</f>
        <v>0</v>
      </c>
      <c r="I42" s="3"/>
      <c r="J42" s="13">
        <f t="shared" si="8"/>
        <v>0</v>
      </c>
      <c r="K42" s="13">
        <f t="shared" si="9"/>
        <v>0</v>
      </c>
      <c r="L42" s="13">
        <f t="shared" si="10"/>
        <v>0</v>
      </c>
      <c r="M42" s="13">
        <f t="shared" si="11"/>
        <v>0</v>
      </c>
      <c r="N42" s="13">
        <f t="shared" si="12"/>
        <v>0</v>
      </c>
      <c r="O42" s="24"/>
      <c r="P42" s="15">
        <f t="shared" si="13"/>
        <v>0</v>
      </c>
      <c r="Q42" s="15">
        <f t="shared" si="14"/>
        <v>0</v>
      </c>
    </row>
    <row r="43" spans="1:17" x14ac:dyDescent="0.4">
      <c r="A43" s="12" t="str">
        <f>IF(INTRO!$E$39="Non endémique"," ",IF(COUNTRY_INFO!A43=0," ",COUNTRY_INFO!A43))</f>
        <v>Mali</v>
      </c>
      <c r="B43" s="12" t="str">
        <f>IF(INTRO!$E$39="Non endémique"," ",IF(COUNTRY_INFO!B43=0," ",COUNTRY_INFO!B43))</f>
        <v>Segou</v>
      </c>
      <c r="C43" s="12" t="str">
        <f>IF(INTRO!$E$39="Non endémique"," ",IF(COUNTRY_INFO!C43=0," ",COUNTRY_INFO!C43))</f>
        <v>Niono</v>
      </c>
      <c r="D43" s="13">
        <f>IF(INTRO!$E$39="Non endémique",0,IF(INTRO!$E$39="Endémique mais pas de CP",IF(COUNTRY_INFO!$H43=1,COUNTRY_INFO!F43+COUNTRY_INFO!G43,0),IF(COUNTRY_INFO!$H43=1,COUNTRY_INFO!F43+COUNTRY_INFO!G43,IF(COUNTRY_INFO!$I43=1,IF(COUNTRY_INFO!M43&gt;=(COUNTRY_INFO!F43+COUNTRY_INFO!G43),COUNTRY_INFO!F43+COUNTRY_INFO!G43,COUNTRY_INFO!$M43),0))))</f>
        <v>0</v>
      </c>
      <c r="E43" s="14">
        <f>IF(AND(INTRO!$E$39="Non endémique",INTRO!$E$37="Non endémique"),"Non requis",IF(INTRO!$E$39="Non endémique","Traiter avec DEC",COUNTRY_INFO!P43))</f>
        <v>0</v>
      </c>
      <c r="F43" s="14">
        <f>IF(INTRO!$E$39&lt;&gt;"Non endémique",COUNTRY_INFO!Q43,"Non requis")</f>
        <v>0</v>
      </c>
      <c r="G43" s="13">
        <f>IF(COUNTRY_INFO!H43=1, IF($E43=1,$D43, 0),0)</f>
        <v>0</v>
      </c>
      <c r="H43" s="13">
        <f>IF(INTRO!$E$39&lt;&gt;"Endémique",0, IF(AND(COUNTRY_INFO!$I43=1,$F43&lt;&gt;0),IF(COUNTRY_INFO!M43&gt;=(COUNTRY_INFO!F43+COUNTRY_INFO!G43),COUNTRY_INFO!F43+COUNTRY_INFO!G43,COUNTRY_INFO!$M43), 0))</f>
        <v>0</v>
      </c>
      <c r="I43" s="3"/>
      <c r="J43" s="13">
        <f t="shared" si="8"/>
        <v>0</v>
      </c>
      <c r="K43" s="13">
        <f t="shared" si="9"/>
        <v>0</v>
      </c>
      <c r="L43" s="13">
        <f t="shared" si="10"/>
        <v>0</v>
      </c>
      <c r="M43" s="13">
        <f t="shared" si="11"/>
        <v>0</v>
      </c>
      <c r="N43" s="13">
        <f t="shared" si="12"/>
        <v>0</v>
      </c>
      <c r="O43" s="24"/>
      <c r="P43" s="15">
        <f t="shared" si="13"/>
        <v>0</v>
      </c>
      <c r="Q43" s="15">
        <f t="shared" si="14"/>
        <v>0</v>
      </c>
    </row>
    <row r="44" spans="1:17" x14ac:dyDescent="0.4">
      <c r="A44" s="12" t="str">
        <f>IF(INTRO!$E$39="Non endémique"," ",IF(COUNTRY_INFO!A44=0," ",COUNTRY_INFO!A44))</f>
        <v>Mali</v>
      </c>
      <c r="B44" s="12" t="str">
        <f>IF(INTRO!$E$39="Non endémique"," ",IF(COUNTRY_INFO!B44=0," ",COUNTRY_INFO!B44))</f>
        <v>Segou</v>
      </c>
      <c r="C44" s="12" t="str">
        <f>IF(INTRO!$E$39="Non endémique"," ",IF(COUNTRY_INFO!C44=0," ",COUNTRY_INFO!C44))</f>
        <v>San</v>
      </c>
      <c r="D44" s="13">
        <f>IF(INTRO!$E$39="Non endémique",0,IF(INTRO!$E$39="Endémique mais pas de CP",IF(COUNTRY_INFO!$H44=1,COUNTRY_INFO!F44+COUNTRY_INFO!G44,0),IF(COUNTRY_INFO!$H44=1,COUNTRY_INFO!F44+COUNTRY_INFO!G44,IF(COUNTRY_INFO!$I44=1,IF(COUNTRY_INFO!M44&gt;=(COUNTRY_INFO!F44+COUNTRY_INFO!G44),COUNTRY_INFO!F44+COUNTRY_INFO!G44,COUNTRY_INFO!$M44),0))))</f>
        <v>0</v>
      </c>
      <c r="E44" s="14">
        <f>IF(AND(INTRO!$E$39="Non endémique",INTRO!$E$37="Non endémique"),"Non requis",IF(INTRO!$E$39="Non endémique","Traiter avec DEC",COUNTRY_INFO!P44))</f>
        <v>0</v>
      </c>
      <c r="F44" s="14">
        <f>IF(INTRO!$E$39&lt;&gt;"Non endémique",COUNTRY_INFO!Q44,"Non requis")</f>
        <v>0</v>
      </c>
      <c r="G44" s="13">
        <f>IF(COUNTRY_INFO!H44=1, IF($E44=1,$D44, 0),0)</f>
        <v>0</v>
      </c>
      <c r="H44" s="13">
        <f>IF(INTRO!$E$39&lt;&gt;"Endémique",0, IF(AND(COUNTRY_INFO!$I44=1,$F44&lt;&gt;0),IF(COUNTRY_INFO!M44&gt;=(COUNTRY_INFO!F44+COUNTRY_INFO!G44),COUNTRY_INFO!F44+COUNTRY_INFO!G44,COUNTRY_INFO!$M44), 0))</f>
        <v>0</v>
      </c>
      <c r="I44" s="3"/>
      <c r="J44" s="13">
        <f t="shared" si="8"/>
        <v>0</v>
      </c>
      <c r="K44" s="13">
        <f t="shared" si="9"/>
        <v>0</v>
      </c>
      <c r="L44" s="13">
        <f t="shared" si="10"/>
        <v>0</v>
      </c>
      <c r="M44" s="13">
        <f t="shared" si="11"/>
        <v>0</v>
      </c>
      <c r="N44" s="13">
        <f t="shared" si="12"/>
        <v>0</v>
      </c>
      <c r="O44" s="24"/>
      <c r="P44" s="15">
        <f t="shared" si="13"/>
        <v>0</v>
      </c>
      <c r="Q44" s="15">
        <f t="shared" si="14"/>
        <v>0</v>
      </c>
    </row>
    <row r="45" spans="1:17" x14ac:dyDescent="0.4">
      <c r="A45" s="12" t="str">
        <f>IF(INTRO!$E$39="Non endémique"," ",IF(COUNTRY_INFO!A45=0," ",COUNTRY_INFO!A45))</f>
        <v>Mali</v>
      </c>
      <c r="B45" s="12" t="str">
        <f>IF(INTRO!$E$39="Non endémique"," ",IF(COUNTRY_INFO!B45=0," ",COUNTRY_INFO!B45))</f>
        <v>Segou</v>
      </c>
      <c r="C45" s="12" t="str">
        <f>IF(INTRO!$E$39="Non endémique"," ",IF(COUNTRY_INFO!C45=0," ",COUNTRY_INFO!C45))</f>
        <v>Ségou</v>
      </c>
      <c r="D45" s="13">
        <f>IF(INTRO!$E$39="Non endémique",0,IF(INTRO!$E$39="Endémique mais pas de CP",IF(COUNTRY_INFO!$H45=1,COUNTRY_INFO!F45+COUNTRY_INFO!G45,0),IF(COUNTRY_INFO!$H45=1,COUNTRY_INFO!F45+COUNTRY_INFO!G45,IF(COUNTRY_INFO!$I45=1,IF(COUNTRY_INFO!M45&gt;=(COUNTRY_INFO!F45+COUNTRY_INFO!G45),COUNTRY_INFO!F45+COUNTRY_INFO!G45,COUNTRY_INFO!$M45),0))))</f>
        <v>0</v>
      </c>
      <c r="E45" s="14">
        <f>IF(AND(INTRO!$E$39="Non endémique",INTRO!$E$37="Non endémique"),"Non requis",IF(INTRO!$E$39="Non endémique","Traiter avec DEC",COUNTRY_INFO!P45))</f>
        <v>0</v>
      </c>
      <c r="F45" s="14">
        <f>IF(INTRO!$E$39&lt;&gt;"Non endémique",COUNTRY_INFO!Q45,"Non requis")</f>
        <v>0</v>
      </c>
      <c r="G45" s="13">
        <f>IF(COUNTRY_INFO!H45=1, IF($E45=1,$D45, 0),0)</f>
        <v>0</v>
      </c>
      <c r="H45" s="13">
        <f>IF(INTRO!$E$39&lt;&gt;"Endémique",0, IF(AND(COUNTRY_INFO!$I45=1,$F45&lt;&gt;0),IF(COUNTRY_INFO!M45&gt;=(COUNTRY_INFO!F45+COUNTRY_INFO!G45),COUNTRY_INFO!F45+COUNTRY_INFO!G45,COUNTRY_INFO!$M45), 0))</f>
        <v>0</v>
      </c>
      <c r="I45" s="3"/>
      <c r="J45" s="13">
        <f t="shared" si="8"/>
        <v>0</v>
      </c>
      <c r="K45" s="13">
        <f t="shared" si="9"/>
        <v>0</v>
      </c>
      <c r="L45" s="13">
        <f t="shared" si="10"/>
        <v>0</v>
      </c>
      <c r="M45" s="13">
        <f t="shared" si="11"/>
        <v>0</v>
      </c>
      <c r="N45" s="13">
        <f t="shared" si="12"/>
        <v>0</v>
      </c>
      <c r="O45" s="24"/>
      <c r="P45" s="15">
        <f t="shared" si="13"/>
        <v>0</v>
      </c>
      <c r="Q45" s="15">
        <f t="shared" si="14"/>
        <v>0</v>
      </c>
    </row>
    <row r="46" spans="1:17" x14ac:dyDescent="0.4">
      <c r="A46" s="12" t="str">
        <f>IF(INTRO!$E$39="Non endémique"," ",IF(COUNTRY_INFO!A46=0," ",COUNTRY_INFO!A46))</f>
        <v>Mali</v>
      </c>
      <c r="B46" s="12" t="str">
        <f>IF(INTRO!$E$39="Non endémique"," ",IF(COUNTRY_INFO!B46=0," ",COUNTRY_INFO!B46))</f>
        <v>Segou</v>
      </c>
      <c r="C46" s="12" t="str">
        <f>IF(INTRO!$E$39="Non endémique"," ",IF(COUNTRY_INFO!C46=0," ",COUNTRY_INFO!C46))</f>
        <v>Tominian</v>
      </c>
      <c r="D46" s="13">
        <f>IF(INTRO!$E$39="Non endémique",0,IF(INTRO!$E$39="Endémique mais pas de CP",IF(COUNTRY_INFO!$H46=1,COUNTRY_INFO!F46+COUNTRY_INFO!G46,0),IF(COUNTRY_INFO!$H46=1,COUNTRY_INFO!F46+COUNTRY_INFO!G46,IF(COUNTRY_INFO!$I46=1,IF(COUNTRY_INFO!M46&gt;=(COUNTRY_INFO!F46+COUNTRY_INFO!G46),COUNTRY_INFO!F46+COUNTRY_INFO!G46,COUNTRY_INFO!$M46),0))))</f>
        <v>0</v>
      </c>
      <c r="E46" s="14">
        <f>IF(AND(INTRO!$E$39="Non endémique",INTRO!$E$37="Non endémique"),"Non requis",IF(INTRO!$E$39="Non endémique","Traiter avec DEC",COUNTRY_INFO!P46))</f>
        <v>0</v>
      </c>
      <c r="F46" s="14">
        <f>IF(INTRO!$E$39&lt;&gt;"Non endémique",COUNTRY_INFO!Q46,"Non requis")</f>
        <v>0</v>
      </c>
      <c r="G46" s="13">
        <f>IF(COUNTRY_INFO!H46=1, IF($E46=1,$D46, 0),0)</f>
        <v>0</v>
      </c>
      <c r="H46" s="13">
        <f>IF(INTRO!$E$39&lt;&gt;"Endémique",0, IF(AND(COUNTRY_INFO!$I46=1,$F46&lt;&gt;0),IF(COUNTRY_INFO!M46&gt;=(COUNTRY_INFO!F46+COUNTRY_INFO!G46),COUNTRY_INFO!F46+COUNTRY_INFO!G46,COUNTRY_INFO!$M46), 0))</f>
        <v>0</v>
      </c>
      <c r="I46" s="3"/>
      <c r="J46" s="13">
        <f t="shared" si="8"/>
        <v>0</v>
      </c>
      <c r="K46" s="13">
        <f t="shared" si="9"/>
        <v>0</v>
      </c>
      <c r="L46" s="13">
        <f t="shared" si="10"/>
        <v>0</v>
      </c>
      <c r="M46" s="13">
        <f t="shared" si="11"/>
        <v>0</v>
      </c>
      <c r="N46" s="13">
        <f t="shared" si="12"/>
        <v>0</v>
      </c>
      <c r="O46" s="24"/>
      <c r="P46" s="15">
        <f t="shared" si="13"/>
        <v>0</v>
      </c>
      <c r="Q46" s="15">
        <f t="shared" si="14"/>
        <v>0</v>
      </c>
    </row>
    <row r="47" spans="1:17" x14ac:dyDescent="0.4">
      <c r="A47" s="12" t="str">
        <f>IF(INTRO!$E$39="Non endémique"," ",IF(COUNTRY_INFO!A47=0," ",COUNTRY_INFO!A47))</f>
        <v>Mali</v>
      </c>
      <c r="B47" s="12" t="str">
        <f>IF(INTRO!$E$39="Non endémique"," ",IF(COUNTRY_INFO!B47=0," ",COUNTRY_INFO!B47))</f>
        <v>Mopti</v>
      </c>
      <c r="C47" s="12" t="str">
        <f>IF(INTRO!$E$39="Non endémique"," ",IF(COUNTRY_INFO!C47=0," ",COUNTRY_INFO!C47))</f>
        <v>Bandiagara</v>
      </c>
      <c r="D47" s="13">
        <f>IF(INTRO!$E$39="Non endémique",0,IF(INTRO!$E$39="Endémique mais pas de CP",IF(COUNTRY_INFO!$H47=1,COUNTRY_INFO!F47+COUNTRY_INFO!G47,0),IF(COUNTRY_INFO!$H47=1,COUNTRY_INFO!F47+COUNTRY_INFO!G47,IF(COUNTRY_INFO!$I47=1,IF(COUNTRY_INFO!M47&gt;=(COUNTRY_INFO!F47+COUNTRY_INFO!G47),COUNTRY_INFO!F47+COUNTRY_INFO!G47,COUNTRY_INFO!$M47),0))))</f>
        <v>0</v>
      </c>
      <c r="E47" s="14">
        <f>IF(AND(INTRO!$E$39="Non endémique",INTRO!$E$37="Non endémique"),"Non requis",IF(INTRO!$E$39="Non endémique","Traiter avec DEC",COUNTRY_INFO!P47))</f>
        <v>0</v>
      </c>
      <c r="F47" s="14">
        <f>IF(INTRO!$E$39&lt;&gt;"Non endémique",COUNTRY_INFO!Q47,"Non requis")</f>
        <v>0</v>
      </c>
      <c r="G47" s="13">
        <f>IF(COUNTRY_INFO!H47=1, IF($E47=1,$D47, 0),0)</f>
        <v>0</v>
      </c>
      <c r="H47" s="13">
        <f>IF(INTRO!$E$39&lt;&gt;"Endémique",0, IF(AND(COUNTRY_INFO!$I47=1,$F47&lt;&gt;0),IF(COUNTRY_INFO!M47&gt;=(COUNTRY_INFO!F47+COUNTRY_INFO!G47),COUNTRY_INFO!F47+COUNTRY_INFO!G47,COUNTRY_INFO!$M47), 0))</f>
        <v>0</v>
      </c>
      <c r="I47" s="3"/>
      <c r="J47" s="13">
        <f t="shared" si="8"/>
        <v>0</v>
      </c>
      <c r="K47" s="13">
        <f t="shared" si="9"/>
        <v>0</v>
      </c>
      <c r="L47" s="13">
        <f t="shared" si="10"/>
        <v>0</v>
      </c>
      <c r="M47" s="13">
        <f t="shared" si="11"/>
        <v>0</v>
      </c>
      <c r="N47" s="13">
        <f t="shared" si="12"/>
        <v>0</v>
      </c>
      <c r="O47" s="24"/>
      <c r="P47" s="15">
        <f t="shared" si="13"/>
        <v>0</v>
      </c>
      <c r="Q47" s="15">
        <f t="shared" si="14"/>
        <v>0</v>
      </c>
    </row>
    <row r="48" spans="1:17" x14ac:dyDescent="0.4">
      <c r="A48" s="12" t="str">
        <f>IF(INTRO!$E$39="Non endémique"," ",IF(COUNTRY_INFO!A48=0," ",COUNTRY_INFO!A48))</f>
        <v>Mali</v>
      </c>
      <c r="B48" s="12" t="str">
        <f>IF(INTRO!$E$39="Non endémique"," ",IF(COUNTRY_INFO!B48=0," ",COUNTRY_INFO!B48))</f>
        <v>Mopti</v>
      </c>
      <c r="C48" s="12" t="str">
        <f>IF(INTRO!$E$39="Non endémique"," ",IF(COUNTRY_INFO!C48=0," ",COUNTRY_INFO!C48))</f>
        <v>Bankass</v>
      </c>
      <c r="D48" s="13">
        <f>IF(INTRO!$E$39="Non endémique",0,IF(INTRO!$E$39="Endémique mais pas de CP",IF(COUNTRY_INFO!$H48=1,COUNTRY_INFO!F48+COUNTRY_INFO!G48,0),IF(COUNTRY_INFO!$H48=1,COUNTRY_INFO!F48+COUNTRY_INFO!G48,IF(COUNTRY_INFO!$I48=1,IF(COUNTRY_INFO!M48&gt;=(COUNTRY_INFO!F48+COUNTRY_INFO!G48),COUNTRY_INFO!F48+COUNTRY_INFO!G48,COUNTRY_INFO!$M48),0))))</f>
        <v>0</v>
      </c>
      <c r="E48" s="14">
        <f>IF(AND(INTRO!$E$39="Non endémique",INTRO!$E$37="Non endémique"),"Non requis",IF(INTRO!$E$39="Non endémique","Traiter avec DEC",COUNTRY_INFO!P48))</f>
        <v>0</v>
      </c>
      <c r="F48" s="14">
        <f>IF(INTRO!$E$39&lt;&gt;"Non endémique",COUNTRY_INFO!Q48,"Non requis")</f>
        <v>0</v>
      </c>
      <c r="G48" s="13">
        <f>IF(COUNTRY_INFO!H48=1, IF($E48=1,$D48, 0),0)</f>
        <v>0</v>
      </c>
      <c r="H48" s="13">
        <f>IF(INTRO!$E$39&lt;&gt;"Endémique",0, IF(AND(COUNTRY_INFO!$I48=1,$F48&lt;&gt;0),IF(COUNTRY_INFO!M48&gt;=(COUNTRY_INFO!F48+COUNTRY_INFO!G48),COUNTRY_INFO!F48+COUNTRY_INFO!G48,COUNTRY_INFO!$M48), 0))</f>
        <v>0</v>
      </c>
      <c r="I48" s="3"/>
      <c r="J48" s="13">
        <f t="shared" si="8"/>
        <v>0</v>
      </c>
      <c r="K48" s="13">
        <f t="shared" si="9"/>
        <v>0</v>
      </c>
      <c r="L48" s="13">
        <f t="shared" si="10"/>
        <v>0</v>
      </c>
      <c r="M48" s="13">
        <f t="shared" si="11"/>
        <v>0</v>
      </c>
      <c r="N48" s="13">
        <f t="shared" si="12"/>
        <v>0</v>
      </c>
      <c r="O48" s="24"/>
      <c r="P48" s="15">
        <f t="shared" si="13"/>
        <v>0</v>
      </c>
      <c r="Q48" s="15">
        <f t="shared" si="14"/>
        <v>0</v>
      </c>
    </row>
    <row r="49" spans="1:17" x14ac:dyDescent="0.4">
      <c r="A49" s="12" t="str">
        <f>IF(INTRO!$E$39="Non endémique"," ",IF(COUNTRY_INFO!A49=0," ",COUNTRY_INFO!A49))</f>
        <v>Mali</v>
      </c>
      <c r="B49" s="12" t="str">
        <f>IF(INTRO!$E$39="Non endémique"," ",IF(COUNTRY_INFO!B49=0," ",COUNTRY_INFO!B49))</f>
        <v>Mopti</v>
      </c>
      <c r="C49" s="12" t="str">
        <f>IF(INTRO!$E$39="Non endémique"," ",IF(COUNTRY_INFO!C49=0," ",COUNTRY_INFO!C49))</f>
        <v>Djenne</v>
      </c>
      <c r="D49" s="13">
        <f>IF(INTRO!$E$39="Non endémique",0,IF(INTRO!$E$39="Endémique mais pas de CP",IF(COUNTRY_INFO!$H49=1,COUNTRY_INFO!F49+COUNTRY_INFO!G49,0),IF(COUNTRY_INFO!$H49=1,COUNTRY_INFO!F49+COUNTRY_INFO!G49,IF(COUNTRY_INFO!$I49=1,IF(COUNTRY_INFO!M49&gt;=(COUNTRY_INFO!F49+COUNTRY_INFO!G49),COUNTRY_INFO!F49+COUNTRY_INFO!G49,COUNTRY_INFO!$M49),0))))</f>
        <v>0</v>
      </c>
      <c r="E49" s="14">
        <f>IF(AND(INTRO!$E$39="Non endémique",INTRO!$E$37="Non endémique"),"Non requis",IF(INTRO!$E$39="Non endémique","Traiter avec DEC",COUNTRY_INFO!P49))</f>
        <v>0</v>
      </c>
      <c r="F49" s="14">
        <f>IF(INTRO!$E$39&lt;&gt;"Non endémique",COUNTRY_INFO!Q49,"Non requis")</f>
        <v>0</v>
      </c>
      <c r="G49" s="13">
        <f>IF(COUNTRY_INFO!H49=1, IF($E49=1,$D49, 0),0)</f>
        <v>0</v>
      </c>
      <c r="H49" s="13">
        <f>IF(INTRO!$E$39&lt;&gt;"Endémique",0, IF(AND(COUNTRY_INFO!$I49=1,$F49&lt;&gt;0),IF(COUNTRY_INFO!M49&gt;=(COUNTRY_INFO!F49+COUNTRY_INFO!G49),COUNTRY_INFO!F49+COUNTRY_INFO!G49,COUNTRY_INFO!$M49), 0))</f>
        <v>0</v>
      </c>
      <c r="I49" s="3"/>
      <c r="J49" s="13">
        <f t="shared" si="8"/>
        <v>0</v>
      </c>
      <c r="K49" s="13">
        <f t="shared" si="9"/>
        <v>0</v>
      </c>
      <c r="L49" s="13">
        <f t="shared" si="10"/>
        <v>0</v>
      </c>
      <c r="M49" s="13">
        <f t="shared" si="11"/>
        <v>0</v>
      </c>
      <c r="N49" s="13">
        <f t="shared" si="12"/>
        <v>0</v>
      </c>
      <c r="O49" s="24"/>
      <c r="P49" s="15">
        <f t="shared" si="13"/>
        <v>0</v>
      </c>
      <c r="Q49" s="15">
        <f t="shared" si="14"/>
        <v>0</v>
      </c>
    </row>
    <row r="50" spans="1:17" x14ac:dyDescent="0.4">
      <c r="A50" s="12" t="str">
        <f>IF(INTRO!$E$39="Non endémique"," ",IF(COUNTRY_INFO!A50=0," ",COUNTRY_INFO!A50))</f>
        <v>Mali</v>
      </c>
      <c r="B50" s="12" t="str">
        <f>IF(INTRO!$E$39="Non endémique"," ",IF(COUNTRY_INFO!B50=0," ",COUNTRY_INFO!B50))</f>
        <v>Mopti</v>
      </c>
      <c r="C50" s="12" t="str">
        <f>IF(INTRO!$E$39="Non endémique"," ",IF(COUNTRY_INFO!C50=0," ",COUNTRY_INFO!C50))</f>
        <v>Douentza</v>
      </c>
      <c r="D50" s="13">
        <f>IF(INTRO!$E$39="Non endémique",0,IF(INTRO!$E$39="Endémique mais pas de CP",IF(COUNTRY_INFO!$H50=1,COUNTRY_INFO!F50+COUNTRY_INFO!G50,0),IF(COUNTRY_INFO!$H50=1,COUNTRY_INFO!F50+COUNTRY_INFO!G50,IF(COUNTRY_INFO!$I50=1,IF(COUNTRY_INFO!M50&gt;=(COUNTRY_INFO!F50+COUNTRY_INFO!G50),COUNTRY_INFO!F50+COUNTRY_INFO!G50,COUNTRY_INFO!$M50),0))))</f>
        <v>264961</v>
      </c>
      <c r="E50" s="14">
        <f>IF(AND(INTRO!$E$39="Non endémique",INTRO!$E$37="Non endémique"),"Non requis",IF(INTRO!$E$39="Non endémique","Traiter avec DEC",COUNTRY_INFO!P50))</f>
        <v>1</v>
      </c>
      <c r="F50" s="14">
        <f>IF(INTRO!$E$39&lt;&gt;"Non endémique",COUNTRY_INFO!Q50,"Non requis")</f>
        <v>0</v>
      </c>
      <c r="G50" s="13">
        <f>IF(COUNTRY_INFO!H50=1, IF($E50=1,$D50, 0),0)</f>
        <v>264961</v>
      </c>
      <c r="H50" s="13">
        <f>IF(INTRO!$E$39&lt;&gt;"Endémique",0, IF(AND(COUNTRY_INFO!$I50=1,$F50&lt;&gt;0),IF(COUNTRY_INFO!M50&gt;=(COUNTRY_INFO!F50+COUNTRY_INFO!G50),COUNTRY_INFO!F50+COUNTRY_INFO!G50,COUNTRY_INFO!$M50), 0))</f>
        <v>0</v>
      </c>
      <c r="I50" s="3"/>
      <c r="J50" s="13">
        <f t="shared" si="8"/>
        <v>0</v>
      </c>
      <c r="K50" s="13">
        <f t="shared" si="9"/>
        <v>741890.79999999993</v>
      </c>
      <c r="L50" s="13">
        <f t="shared" si="10"/>
        <v>0</v>
      </c>
      <c r="M50" s="13">
        <f t="shared" si="11"/>
        <v>0</v>
      </c>
      <c r="N50" s="13">
        <f t="shared" si="12"/>
        <v>741890.79999999993</v>
      </c>
      <c r="O50" s="24"/>
      <c r="P50" s="15">
        <f t="shared" si="13"/>
        <v>741890.79999999993</v>
      </c>
      <c r="Q50" s="15">
        <f t="shared" si="14"/>
        <v>1484</v>
      </c>
    </row>
    <row r="51" spans="1:17" x14ac:dyDescent="0.4">
      <c r="A51" s="12" t="str">
        <f>IF(INTRO!$E$39="Non endémique"," ",IF(COUNTRY_INFO!A51=0," ",COUNTRY_INFO!A51))</f>
        <v>Mali</v>
      </c>
      <c r="B51" s="12" t="str">
        <f>IF(INTRO!$E$39="Non endémique"," ",IF(COUNTRY_INFO!B51=0," ",COUNTRY_INFO!B51))</f>
        <v>Mopti</v>
      </c>
      <c r="C51" s="12" t="str">
        <f>IF(INTRO!$E$39="Non endémique"," ",IF(COUNTRY_INFO!C51=0," ",COUNTRY_INFO!C51))</f>
        <v>Koro</v>
      </c>
      <c r="D51" s="13">
        <f>IF(INTRO!$E$39="Non endémique",0,IF(INTRO!$E$39="Endémique mais pas de CP",IF(COUNTRY_INFO!$H51=1,COUNTRY_INFO!F51+COUNTRY_INFO!G51,0),IF(COUNTRY_INFO!$H51=1,COUNTRY_INFO!F51+COUNTRY_INFO!G51,IF(COUNTRY_INFO!$I51=1,IF(COUNTRY_INFO!M51&gt;=(COUNTRY_INFO!F51+COUNTRY_INFO!G51),COUNTRY_INFO!F51+COUNTRY_INFO!G51,COUNTRY_INFO!$M51),0))))</f>
        <v>0</v>
      </c>
      <c r="E51" s="14">
        <f>IF(AND(INTRO!$E$39="Non endémique",INTRO!$E$37="Non endémique"),"Non requis",IF(INTRO!$E$39="Non endémique","Traiter avec DEC",COUNTRY_INFO!P51))</f>
        <v>0</v>
      </c>
      <c r="F51" s="14">
        <f>IF(INTRO!$E$39&lt;&gt;"Non endémique",COUNTRY_INFO!Q51,"Non requis")</f>
        <v>0</v>
      </c>
      <c r="G51" s="13">
        <f>IF(COUNTRY_INFO!H51=1, IF($E51=1,$D51, 0),0)</f>
        <v>0</v>
      </c>
      <c r="H51" s="13">
        <f>IF(INTRO!$E$39&lt;&gt;"Endémique",0, IF(AND(COUNTRY_INFO!$I51=1,$F51&lt;&gt;0),IF(COUNTRY_INFO!M51&gt;=(COUNTRY_INFO!F51+COUNTRY_INFO!G51),COUNTRY_INFO!F51+COUNTRY_INFO!G51,COUNTRY_INFO!$M51), 0))</f>
        <v>0</v>
      </c>
      <c r="I51" s="3"/>
      <c r="J51" s="13">
        <f t="shared" si="8"/>
        <v>0</v>
      </c>
      <c r="K51" s="13">
        <f t="shared" si="9"/>
        <v>0</v>
      </c>
      <c r="L51" s="13">
        <f t="shared" si="10"/>
        <v>0</v>
      </c>
      <c r="M51" s="13">
        <f t="shared" si="11"/>
        <v>0</v>
      </c>
      <c r="N51" s="13">
        <f t="shared" si="12"/>
        <v>0</v>
      </c>
      <c r="O51" s="24"/>
      <c r="P51" s="15">
        <f t="shared" si="13"/>
        <v>0</v>
      </c>
      <c r="Q51" s="15">
        <f t="shared" si="14"/>
        <v>0</v>
      </c>
    </row>
    <row r="52" spans="1:17" x14ac:dyDescent="0.4">
      <c r="A52" s="12" t="str">
        <f>IF(INTRO!$E$39="Non endémique"," ",IF(COUNTRY_INFO!A52=0," ",COUNTRY_INFO!A52))</f>
        <v>Mali</v>
      </c>
      <c r="B52" s="12" t="str">
        <f>IF(INTRO!$E$39="Non endémique"," ",IF(COUNTRY_INFO!B52=0," ",COUNTRY_INFO!B52))</f>
        <v>Mopti</v>
      </c>
      <c r="C52" s="12" t="str">
        <f>IF(INTRO!$E$39="Non endémique"," ",IF(COUNTRY_INFO!C52=0," ",COUNTRY_INFO!C52))</f>
        <v>Mopti</v>
      </c>
      <c r="D52" s="13">
        <f>IF(INTRO!$E$39="Non endémique",0,IF(INTRO!$E$39="Endémique mais pas de CP",IF(COUNTRY_INFO!$H52=1,COUNTRY_INFO!F52+COUNTRY_INFO!G52,0),IF(COUNTRY_INFO!$H52=1,COUNTRY_INFO!F52+COUNTRY_INFO!G52,IF(COUNTRY_INFO!$I52=1,IF(COUNTRY_INFO!M52&gt;=(COUNTRY_INFO!F52+COUNTRY_INFO!G52),COUNTRY_INFO!F52+COUNTRY_INFO!G52,COUNTRY_INFO!$M52),0))))</f>
        <v>0</v>
      </c>
      <c r="E52" s="14">
        <f>IF(AND(INTRO!$E$39="Non endémique",INTRO!$E$37="Non endémique"),"Non requis",IF(INTRO!$E$39="Non endémique","Traiter avec DEC",COUNTRY_INFO!P52))</f>
        <v>0</v>
      </c>
      <c r="F52" s="14">
        <f>IF(INTRO!$E$39&lt;&gt;"Non endémique",COUNTRY_INFO!Q52,"Non requis")</f>
        <v>0</v>
      </c>
      <c r="G52" s="13">
        <f>IF(COUNTRY_INFO!H52=1, IF($E52=1,$D52, 0),0)</f>
        <v>0</v>
      </c>
      <c r="H52" s="13">
        <f>IF(INTRO!$E$39&lt;&gt;"Endémique",0, IF(AND(COUNTRY_INFO!$I52=1,$F52&lt;&gt;0),IF(COUNTRY_INFO!M52&gt;=(COUNTRY_INFO!F52+COUNTRY_INFO!G52),COUNTRY_INFO!F52+COUNTRY_INFO!G52,COUNTRY_INFO!$M52), 0))</f>
        <v>0</v>
      </c>
      <c r="I52" s="3"/>
      <c r="J52" s="13">
        <f t="shared" si="8"/>
        <v>0</v>
      </c>
      <c r="K52" s="13">
        <f t="shared" si="9"/>
        <v>0</v>
      </c>
      <c r="L52" s="13">
        <f t="shared" si="10"/>
        <v>0</v>
      </c>
      <c r="M52" s="13">
        <f t="shared" si="11"/>
        <v>0</v>
      </c>
      <c r="N52" s="13">
        <f t="shared" si="12"/>
        <v>0</v>
      </c>
      <c r="O52" s="24"/>
      <c r="P52" s="15">
        <f t="shared" si="13"/>
        <v>0</v>
      </c>
      <c r="Q52" s="15">
        <f t="shared" si="14"/>
        <v>0</v>
      </c>
    </row>
    <row r="53" spans="1:17" x14ac:dyDescent="0.4">
      <c r="A53" s="12" t="str">
        <f>IF(INTRO!$E$39="Non endémique"," ",IF(COUNTRY_INFO!A53=0," ",COUNTRY_INFO!A53))</f>
        <v>Mali</v>
      </c>
      <c r="B53" s="12" t="str">
        <f>IF(INTRO!$E$39="Non endémique"," ",IF(COUNTRY_INFO!B53=0," ",COUNTRY_INFO!B53))</f>
        <v>Mopti</v>
      </c>
      <c r="C53" s="12" t="str">
        <f>IF(INTRO!$E$39="Non endémique"," ",IF(COUNTRY_INFO!C53=0," ",COUNTRY_INFO!C53))</f>
        <v>Tenenkou</v>
      </c>
      <c r="D53" s="13">
        <f>IF(INTRO!$E$39="Non endémique",0,IF(INTRO!$E$39="Endémique mais pas de CP",IF(COUNTRY_INFO!$H53=1,COUNTRY_INFO!F53+COUNTRY_INFO!G53,0),IF(COUNTRY_INFO!$H53=1,COUNTRY_INFO!F53+COUNTRY_INFO!G53,IF(COUNTRY_INFO!$I53=1,IF(COUNTRY_INFO!M53&gt;=(COUNTRY_INFO!F53+COUNTRY_INFO!G53),COUNTRY_INFO!F53+COUNTRY_INFO!G53,COUNTRY_INFO!$M53),0))))</f>
        <v>174977</v>
      </c>
      <c r="E53" s="14">
        <f>IF(AND(INTRO!$E$39="Non endémique",INTRO!$E$37="Non endémique"),"Non requis",IF(INTRO!$E$39="Non endémique","Traiter avec DEC",COUNTRY_INFO!P53))</f>
        <v>1</v>
      </c>
      <c r="F53" s="14">
        <f>IF(INTRO!$E$39&lt;&gt;"Non endémique",COUNTRY_INFO!Q53,"Non requis")</f>
        <v>0</v>
      </c>
      <c r="G53" s="13">
        <f>IF(COUNTRY_INFO!H53=1, IF($E53=1,$D53, 0),0)</f>
        <v>174977</v>
      </c>
      <c r="H53" s="13">
        <f>IF(INTRO!$E$39&lt;&gt;"Endémique",0, IF(AND(COUNTRY_INFO!$I53=1,$F53&lt;&gt;0),IF(COUNTRY_INFO!M53&gt;=(COUNTRY_INFO!F53+COUNTRY_INFO!G53),COUNTRY_INFO!F53+COUNTRY_INFO!G53,COUNTRY_INFO!$M53), 0))</f>
        <v>0</v>
      </c>
      <c r="I53" s="3"/>
      <c r="J53" s="13">
        <f t="shared" si="8"/>
        <v>0</v>
      </c>
      <c r="K53" s="13">
        <f t="shared" si="9"/>
        <v>489935.6</v>
      </c>
      <c r="L53" s="13">
        <f t="shared" si="10"/>
        <v>0</v>
      </c>
      <c r="M53" s="13">
        <f t="shared" si="11"/>
        <v>0</v>
      </c>
      <c r="N53" s="13">
        <f t="shared" si="12"/>
        <v>489935.6</v>
      </c>
      <c r="O53" s="24"/>
      <c r="P53" s="15">
        <f t="shared" si="13"/>
        <v>489935.6</v>
      </c>
      <c r="Q53" s="15">
        <f t="shared" si="14"/>
        <v>980</v>
      </c>
    </row>
    <row r="54" spans="1:17" x14ac:dyDescent="0.4">
      <c r="A54" s="12" t="str">
        <f>IF(INTRO!$E$39="Non endémique"," ",IF(COUNTRY_INFO!A54=0," ",COUNTRY_INFO!A54))</f>
        <v>Mali</v>
      </c>
      <c r="B54" s="12" t="str">
        <f>IF(INTRO!$E$39="Non endémique"," ",IF(COUNTRY_INFO!B54=0," ",COUNTRY_INFO!B54))</f>
        <v>Mopti</v>
      </c>
      <c r="C54" s="12" t="str">
        <f>IF(INTRO!$E$39="Non endémique"," ",IF(COUNTRY_INFO!C54=0," ",COUNTRY_INFO!C54))</f>
        <v>Youwarou</v>
      </c>
      <c r="D54" s="13">
        <f>IF(INTRO!$E$39="Non endémique",0,IF(INTRO!$E$39="Endémique mais pas de CP",IF(COUNTRY_INFO!$H54=1,COUNTRY_INFO!F54+COUNTRY_INFO!G54,0),IF(COUNTRY_INFO!$H54=1,COUNTRY_INFO!F54+COUNTRY_INFO!G54,IF(COUNTRY_INFO!$I54=1,IF(COUNTRY_INFO!M54&gt;=(COUNTRY_INFO!F54+COUNTRY_INFO!G54),COUNTRY_INFO!F54+COUNTRY_INFO!G54,COUNTRY_INFO!$M54),0))))</f>
        <v>114165</v>
      </c>
      <c r="E54" s="14">
        <f>IF(AND(INTRO!$E$39="Non endémique",INTRO!$E$37="Non endémique"),"Non requis",IF(INTRO!$E$39="Non endémique","Traiter avec DEC",COUNTRY_INFO!P54))</f>
        <v>1</v>
      </c>
      <c r="F54" s="14">
        <f>IF(INTRO!$E$39&lt;&gt;"Non endémique",COUNTRY_INFO!Q54,"Non requis")</f>
        <v>0</v>
      </c>
      <c r="G54" s="13">
        <f>IF(COUNTRY_INFO!H54=1, IF($E54=1,$D54, 0),0)</f>
        <v>114165</v>
      </c>
      <c r="H54" s="13">
        <f>IF(INTRO!$E$39&lt;&gt;"Endémique",0, IF(AND(COUNTRY_INFO!$I54=1,$F54&lt;&gt;0),IF(COUNTRY_INFO!M54&gt;=(COUNTRY_INFO!F54+COUNTRY_INFO!G54),COUNTRY_INFO!F54+COUNTRY_INFO!G54,COUNTRY_INFO!$M54), 0))</f>
        <v>0</v>
      </c>
      <c r="I54" s="3"/>
      <c r="J54" s="13">
        <f t="shared" si="8"/>
        <v>0</v>
      </c>
      <c r="K54" s="13">
        <f t="shared" si="9"/>
        <v>319662</v>
      </c>
      <c r="L54" s="13">
        <f t="shared" si="10"/>
        <v>0</v>
      </c>
      <c r="M54" s="13">
        <f t="shared" si="11"/>
        <v>0</v>
      </c>
      <c r="N54" s="13">
        <f t="shared" si="12"/>
        <v>319662</v>
      </c>
      <c r="O54" s="24"/>
      <c r="P54" s="15">
        <f t="shared" si="13"/>
        <v>319662</v>
      </c>
      <c r="Q54" s="15">
        <f t="shared" si="14"/>
        <v>640</v>
      </c>
    </row>
    <row r="55" spans="1:17" x14ac:dyDescent="0.4">
      <c r="A55" s="12" t="str">
        <f>IF(INTRO!$E$39="Non endémique"," ",IF(COUNTRY_INFO!A55=0," ",COUNTRY_INFO!A55))</f>
        <v>Mali</v>
      </c>
      <c r="B55" s="12" t="str">
        <f>IF(INTRO!$E$39="Non endémique"," ",IF(COUNTRY_INFO!B55=0," ",COUNTRY_INFO!B55))</f>
        <v>Tombouctou</v>
      </c>
      <c r="C55" s="12" t="str">
        <f>IF(INTRO!$E$39="Non endémique"," ",IF(COUNTRY_INFO!C55=0," ",COUNTRY_INFO!C55))</f>
        <v>Diré</v>
      </c>
      <c r="D55" s="13">
        <f>IF(INTRO!$E$39="Non endémique",0,IF(INTRO!$E$39="Endémique mais pas de CP",IF(COUNTRY_INFO!$H55=1,COUNTRY_INFO!F55+COUNTRY_INFO!G55,0),IF(COUNTRY_INFO!$H55=1,COUNTRY_INFO!F55+COUNTRY_INFO!G55,IF(COUNTRY_INFO!$I55=1,IF(COUNTRY_INFO!M55&gt;=(COUNTRY_INFO!F55+COUNTRY_INFO!G55),COUNTRY_INFO!F55+COUNTRY_INFO!G55,COUNTRY_INFO!$M55),0))))</f>
        <v>117958</v>
      </c>
      <c r="E55" s="14">
        <f>IF(AND(INTRO!$E$39="Non endémique",INTRO!$E$37="Non endémique"),"Non requis",IF(INTRO!$E$39="Non endémique","Traiter avec DEC",COUNTRY_INFO!P55))</f>
        <v>1</v>
      </c>
      <c r="F55" s="14">
        <f>IF(INTRO!$E$39&lt;&gt;"Non endémique",COUNTRY_INFO!Q55,"Non requis")</f>
        <v>0</v>
      </c>
      <c r="G55" s="13">
        <f>IF(COUNTRY_INFO!H55=1, IF($E55=1,$D55, 0),0)</f>
        <v>117958</v>
      </c>
      <c r="H55" s="13">
        <f>IF(INTRO!$E$39&lt;&gt;"Endémique",0, IF(AND(COUNTRY_INFO!$I55=1,$F55&lt;&gt;0),IF(COUNTRY_INFO!M55&gt;=(COUNTRY_INFO!F55+COUNTRY_INFO!G55),COUNTRY_INFO!F55+COUNTRY_INFO!G55,COUNTRY_INFO!$M55), 0))</f>
        <v>0</v>
      </c>
      <c r="I55" s="3"/>
      <c r="J55" s="13">
        <f t="shared" si="8"/>
        <v>0</v>
      </c>
      <c r="K55" s="13">
        <f t="shared" si="9"/>
        <v>330282.39999999997</v>
      </c>
      <c r="L55" s="13">
        <f t="shared" si="10"/>
        <v>0</v>
      </c>
      <c r="M55" s="13">
        <f t="shared" si="11"/>
        <v>0</v>
      </c>
      <c r="N55" s="13">
        <f t="shared" si="12"/>
        <v>330282.39999999997</v>
      </c>
      <c r="O55" s="24"/>
      <c r="P55" s="15">
        <f t="shared" si="13"/>
        <v>330282.39999999997</v>
      </c>
      <c r="Q55" s="15">
        <f t="shared" si="14"/>
        <v>661</v>
      </c>
    </row>
    <row r="56" spans="1:17" x14ac:dyDescent="0.4">
      <c r="A56" s="12" t="str">
        <f>IF(INTRO!$E$39="Non endémique"," ",IF(COUNTRY_INFO!A56=0," ",COUNTRY_INFO!A56))</f>
        <v>Mali</v>
      </c>
      <c r="B56" s="12" t="str">
        <f>IF(INTRO!$E$39="Non endémique"," ",IF(COUNTRY_INFO!B56=0," ",COUNTRY_INFO!B56))</f>
        <v>Tombouctou</v>
      </c>
      <c r="C56" s="12" t="str">
        <f>IF(INTRO!$E$39="Non endémique"," ",IF(COUNTRY_INFO!C56=0," ",COUNTRY_INFO!C56))</f>
        <v>Goundam</v>
      </c>
      <c r="D56" s="13">
        <f>IF(INTRO!$E$39="Non endémique",0,IF(INTRO!$E$39="Endémique mais pas de CP",IF(COUNTRY_INFO!$H56=1,COUNTRY_INFO!F56+COUNTRY_INFO!G56,0),IF(COUNTRY_INFO!$H56=1,COUNTRY_INFO!F56+COUNTRY_INFO!G56,IF(COUNTRY_INFO!$I56=1,IF(COUNTRY_INFO!M56&gt;=(COUNTRY_INFO!F56+COUNTRY_INFO!G56),COUNTRY_INFO!F56+COUNTRY_INFO!G56,COUNTRY_INFO!$M56),0))))</f>
        <v>160286</v>
      </c>
      <c r="E56" s="14">
        <f>IF(AND(INTRO!$E$39="Non endémique",INTRO!$E$37="Non endémique"),"Non requis",IF(INTRO!$E$39="Non endémique","Traiter avec DEC",COUNTRY_INFO!P56))</f>
        <v>1</v>
      </c>
      <c r="F56" s="14">
        <f>IF(INTRO!$E$39&lt;&gt;"Non endémique",COUNTRY_INFO!Q56,"Non requis")</f>
        <v>0</v>
      </c>
      <c r="G56" s="13">
        <f>IF(COUNTRY_INFO!H56=1, IF($E56=1,$D56, 0),0)</f>
        <v>160286</v>
      </c>
      <c r="H56" s="13">
        <f>IF(INTRO!$E$39&lt;&gt;"Endémique",0, IF(AND(COUNTRY_INFO!$I56=1,$F56&lt;&gt;0),IF(COUNTRY_INFO!M56&gt;=(COUNTRY_INFO!F56+COUNTRY_INFO!G56),COUNTRY_INFO!F56+COUNTRY_INFO!G56,COUNTRY_INFO!$M56), 0))</f>
        <v>0</v>
      </c>
      <c r="I56" s="3"/>
      <c r="J56" s="13">
        <f t="shared" si="8"/>
        <v>0</v>
      </c>
      <c r="K56" s="13">
        <f t="shared" si="9"/>
        <v>448800.8</v>
      </c>
      <c r="L56" s="13">
        <f t="shared" si="10"/>
        <v>0</v>
      </c>
      <c r="M56" s="13">
        <f t="shared" si="11"/>
        <v>0</v>
      </c>
      <c r="N56" s="13">
        <f t="shared" si="12"/>
        <v>448800.8</v>
      </c>
      <c r="O56" s="24"/>
      <c r="P56" s="15">
        <f t="shared" si="13"/>
        <v>448800.8</v>
      </c>
      <c r="Q56" s="15">
        <f t="shared" si="14"/>
        <v>898</v>
      </c>
    </row>
    <row r="57" spans="1:17" x14ac:dyDescent="0.4">
      <c r="A57" s="12" t="str">
        <f>IF(INTRO!$E$39="Non endémique"," ",IF(COUNTRY_INFO!A57=0," ",COUNTRY_INFO!A57))</f>
        <v>Mali</v>
      </c>
      <c r="B57" s="12" t="str">
        <f>IF(INTRO!$E$39="Non endémique"," ",IF(COUNTRY_INFO!B57=0," ",COUNTRY_INFO!B57))</f>
        <v>Tombouctou</v>
      </c>
      <c r="C57" s="12" t="str">
        <f>IF(INTRO!$E$39="Non endémique"," ",IF(COUNTRY_INFO!C57=0," ",COUNTRY_INFO!C57))</f>
        <v>Gourma-Rharous</v>
      </c>
      <c r="D57" s="13">
        <f>IF(INTRO!$E$39="Non endémique",0,IF(INTRO!$E$39="Endémique mais pas de CP",IF(COUNTRY_INFO!$H57=1,COUNTRY_INFO!F57+COUNTRY_INFO!G57,0),IF(COUNTRY_INFO!$H57=1,COUNTRY_INFO!F57+COUNTRY_INFO!G57,IF(COUNTRY_INFO!$I57=1,IF(COUNTRY_INFO!M57&gt;=(COUNTRY_INFO!F57+COUNTRY_INFO!G57),COUNTRY_INFO!F57+COUNTRY_INFO!G57,COUNTRY_INFO!$M57),0))))</f>
        <v>118787</v>
      </c>
      <c r="E57" s="14">
        <f>IF(AND(INTRO!$E$39="Non endémique",INTRO!$E$37="Non endémique"),"Non requis",IF(INTRO!$E$39="Non endémique","Traiter avec DEC",COUNTRY_INFO!P57))</f>
        <v>1</v>
      </c>
      <c r="F57" s="14">
        <f>IF(INTRO!$E$39&lt;&gt;"Non endémique",COUNTRY_INFO!Q57,"Non requis")</f>
        <v>0</v>
      </c>
      <c r="G57" s="13">
        <f>IF(COUNTRY_INFO!H57=1, IF($E57=1,$D57, 0),0)</f>
        <v>118787</v>
      </c>
      <c r="H57" s="13">
        <f>IF(INTRO!$E$39&lt;&gt;"Endémique",0, IF(AND(COUNTRY_INFO!$I57=1,$F57&lt;&gt;0),IF(COUNTRY_INFO!M57&gt;=(COUNTRY_INFO!F57+COUNTRY_INFO!G57),COUNTRY_INFO!F57+COUNTRY_INFO!G57,COUNTRY_INFO!$M57), 0))</f>
        <v>0</v>
      </c>
      <c r="I57" s="3"/>
      <c r="J57" s="13">
        <f t="shared" si="8"/>
        <v>0</v>
      </c>
      <c r="K57" s="13">
        <f t="shared" si="9"/>
        <v>332603.59999999998</v>
      </c>
      <c r="L57" s="13">
        <f t="shared" si="10"/>
        <v>0</v>
      </c>
      <c r="M57" s="13">
        <f t="shared" si="11"/>
        <v>0</v>
      </c>
      <c r="N57" s="13">
        <f t="shared" si="12"/>
        <v>332603.59999999998</v>
      </c>
      <c r="O57" s="24"/>
      <c r="P57" s="15">
        <f t="shared" si="13"/>
        <v>332603.59999999998</v>
      </c>
      <c r="Q57" s="15">
        <f t="shared" si="14"/>
        <v>666</v>
      </c>
    </row>
    <row r="58" spans="1:17" x14ac:dyDescent="0.4">
      <c r="A58" s="12" t="str">
        <f>IF(INTRO!$E$39="Non endémique"," ",IF(COUNTRY_INFO!A58=0," ",COUNTRY_INFO!A58))</f>
        <v>Mali</v>
      </c>
      <c r="B58" s="12" t="str">
        <f>IF(INTRO!$E$39="Non endémique"," ",IF(COUNTRY_INFO!B58=0," ",COUNTRY_INFO!B58))</f>
        <v>Tombouctou</v>
      </c>
      <c r="C58" s="12" t="str">
        <f>IF(INTRO!$E$39="Non endémique"," ",IF(COUNTRY_INFO!C58=0," ",COUNTRY_INFO!C58))</f>
        <v>Niafunké</v>
      </c>
      <c r="D58" s="13">
        <f>IF(INTRO!$E$39="Non endémique",0,IF(INTRO!$E$39="Endémique mais pas de CP",IF(COUNTRY_INFO!$H58=1,COUNTRY_INFO!F58+COUNTRY_INFO!G58,0),IF(COUNTRY_INFO!$H58=1,COUNTRY_INFO!F58+COUNTRY_INFO!G58,IF(COUNTRY_INFO!$I58=1,IF(COUNTRY_INFO!M58&gt;=(COUNTRY_INFO!F58+COUNTRY_INFO!G58),COUNTRY_INFO!F58+COUNTRY_INFO!G58,COUNTRY_INFO!$M58),0))))</f>
        <v>196529</v>
      </c>
      <c r="E58" s="14">
        <f>IF(AND(INTRO!$E$39="Non endémique",INTRO!$E$37="Non endémique"),"Non requis",IF(INTRO!$E$39="Non endémique","Traiter avec DEC",COUNTRY_INFO!P58))</f>
        <v>1</v>
      </c>
      <c r="F58" s="14">
        <f>IF(INTRO!$E$39&lt;&gt;"Non endémique",COUNTRY_INFO!Q58,"Non requis")</f>
        <v>0</v>
      </c>
      <c r="G58" s="13">
        <f>IF(COUNTRY_INFO!H58=1, IF($E58=1,$D58, 0),0)</f>
        <v>196529</v>
      </c>
      <c r="H58" s="13">
        <f>IF(INTRO!$E$39&lt;&gt;"Endémique",0, IF(AND(COUNTRY_INFO!$I58=1,$F58&lt;&gt;0),IF(COUNTRY_INFO!M58&gt;=(COUNTRY_INFO!F58+COUNTRY_INFO!G58),COUNTRY_INFO!F58+COUNTRY_INFO!G58,COUNTRY_INFO!$M58), 0))</f>
        <v>0</v>
      </c>
      <c r="I58" s="3"/>
      <c r="J58" s="13">
        <f t="shared" si="8"/>
        <v>0</v>
      </c>
      <c r="K58" s="13">
        <f t="shared" si="9"/>
        <v>550281.19999999995</v>
      </c>
      <c r="L58" s="13">
        <f t="shared" si="10"/>
        <v>0</v>
      </c>
      <c r="M58" s="13">
        <f t="shared" si="11"/>
        <v>0</v>
      </c>
      <c r="N58" s="13">
        <f t="shared" si="12"/>
        <v>550281.19999999995</v>
      </c>
      <c r="O58" s="24"/>
      <c r="P58" s="15">
        <f t="shared" si="13"/>
        <v>550281.19999999995</v>
      </c>
      <c r="Q58" s="15">
        <f t="shared" si="14"/>
        <v>1101</v>
      </c>
    </row>
    <row r="59" spans="1:17" x14ac:dyDescent="0.4">
      <c r="A59" s="12" t="str">
        <f>IF(INTRO!$E$39="Non endémique"," ",IF(COUNTRY_INFO!A59=0," ",COUNTRY_INFO!A59))</f>
        <v>Mali</v>
      </c>
      <c r="B59" s="12" t="str">
        <f>IF(INTRO!$E$39="Non endémique"," ",IF(COUNTRY_INFO!B59=0," ",COUNTRY_INFO!B59))</f>
        <v>Tombouctou</v>
      </c>
      <c r="C59" s="12" t="str">
        <f>IF(INTRO!$E$39="Non endémique"," ",IF(COUNTRY_INFO!C59=0," ",COUNTRY_INFO!C59))</f>
        <v>Tombouctou</v>
      </c>
      <c r="D59" s="13">
        <f>IF(INTRO!$E$39="Non endémique",0,IF(INTRO!$E$39="Endémique mais pas de CP",IF(COUNTRY_INFO!$H59=1,COUNTRY_INFO!F59+COUNTRY_INFO!G59,0),IF(COUNTRY_INFO!$H59=1,COUNTRY_INFO!F59+COUNTRY_INFO!G59,IF(COUNTRY_INFO!$I59=1,IF(COUNTRY_INFO!M59&gt;=(COUNTRY_INFO!F59+COUNTRY_INFO!G59),COUNTRY_INFO!F59+COUNTRY_INFO!G59,COUNTRY_INFO!$M59),0))))</f>
        <v>132822</v>
      </c>
      <c r="E59" s="14">
        <f>IF(AND(INTRO!$E$39="Non endémique",INTRO!$E$37="Non endémique"),"Non requis",IF(INTRO!$E$39="Non endémique","Traiter avec DEC",COUNTRY_INFO!P59))</f>
        <v>1</v>
      </c>
      <c r="F59" s="14">
        <f>IF(INTRO!$E$39&lt;&gt;"Non endémique",COUNTRY_INFO!Q59,"Non requis")</f>
        <v>0</v>
      </c>
      <c r="G59" s="13">
        <f>IF(COUNTRY_INFO!H59=1, IF($E59=1,$D59, 0),0)</f>
        <v>132822</v>
      </c>
      <c r="H59" s="13">
        <f>IF(INTRO!$E$39&lt;&gt;"Endémique",0, IF(AND(COUNTRY_INFO!$I59=1,$F59&lt;&gt;0),IF(COUNTRY_INFO!M59&gt;=(COUNTRY_INFO!F59+COUNTRY_INFO!G59),COUNTRY_INFO!F59+COUNTRY_INFO!G59,COUNTRY_INFO!$M59), 0))</f>
        <v>0</v>
      </c>
      <c r="I59" s="3"/>
      <c r="J59" s="13">
        <f t="shared" si="8"/>
        <v>0</v>
      </c>
      <c r="K59" s="13">
        <f t="shared" si="9"/>
        <v>371901.6</v>
      </c>
      <c r="L59" s="13">
        <f t="shared" si="10"/>
        <v>0</v>
      </c>
      <c r="M59" s="13">
        <f t="shared" si="11"/>
        <v>0</v>
      </c>
      <c r="N59" s="13">
        <f t="shared" si="12"/>
        <v>371901.6</v>
      </c>
      <c r="O59" s="24"/>
      <c r="P59" s="15">
        <f t="shared" si="13"/>
        <v>371901.6</v>
      </c>
      <c r="Q59" s="15">
        <f t="shared" si="14"/>
        <v>744</v>
      </c>
    </row>
    <row r="60" spans="1:17" x14ac:dyDescent="0.4">
      <c r="A60" s="12" t="str">
        <f>IF(INTRO!$E$39="Non endémique"," ",IF(COUNTRY_INFO!A60=0," ",COUNTRY_INFO!A60))</f>
        <v>Mali</v>
      </c>
      <c r="B60" s="12" t="str">
        <f>IF(INTRO!$E$39="Non endémique"," ",IF(COUNTRY_INFO!B60=0," ",COUNTRY_INFO!B60))</f>
        <v>Gao</v>
      </c>
      <c r="C60" s="12" t="str">
        <f>IF(INTRO!$E$39="Non endémique"," ",IF(COUNTRY_INFO!C60=0," ",COUNTRY_INFO!C60))</f>
        <v>Ansongo</v>
      </c>
      <c r="D60" s="13">
        <f>IF(INTRO!$E$39="Non endémique",0,IF(INTRO!$E$39="Endémique mais pas de CP",IF(COUNTRY_INFO!$H60=1,COUNTRY_INFO!F60+COUNTRY_INFO!G60,0),IF(COUNTRY_INFO!$H60=1,COUNTRY_INFO!F60+COUNTRY_INFO!G60,IF(COUNTRY_INFO!$I60=1,IF(COUNTRY_INFO!M60&gt;=(COUNTRY_INFO!F60+COUNTRY_INFO!G60),COUNTRY_INFO!F60+COUNTRY_INFO!G60,COUNTRY_INFO!$M60),0))))</f>
        <v>141081</v>
      </c>
      <c r="E60" s="14">
        <f>IF(AND(INTRO!$E$39="Non endémique",INTRO!$E$37="Non endémique"),"Non requis",IF(INTRO!$E$39="Non endémique","Traiter avec DEC",COUNTRY_INFO!P60))</f>
        <v>1</v>
      </c>
      <c r="F60" s="14">
        <f>IF(INTRO!$E$39&lt;&gt;"Non endémique",COUNTRY_INFO!Q60,"Non requis")</f>
        <v>0</v>
      </c>
      <c r="G60" s="13">
        <f>IF(COUNTRY_INFO!H60=1, IF($E60=1,$D60, 0),0)</f>
        <v>141081</v>
      </c>
      <c r="H60" s="13">
        <f>IF(INTRO!$E$39&lt;&gt;"Endémique",0, IF(AND(COUNTRY_INFO!$I60=1,$F60&lt;&gt;0),IF(COUNTRY_INFO!M60&gt;=(COUNTRY_INFO!F60+COUNTRY_INFO!G60),COUNTRY_INFO!F60+COUNTRY_INFO!G60,COUNTRY_INFO!$M60), 0))</f>
        <v>0</v>
      </c>
      <c r="I60" s="3"/>
      <c r="J60" s="13">
        <f t="shared" si="8"/>
        <v>0</v>
      </c>
      <c r="K60" s="13">
        <f t="shared" si="9"/>
        <v>395026.8</v>
      </c>
      <c r="L60" s="13">
        <f t="shared" si="10"/>
        <v>0</v>
      </c>
      <c r="M60" s="13">
        <f t="shared" si="11"/>
        <v>0</v>
      </c>
      <c r="N60" s="13">
        <f t="shared" si="12"/>
        <v>395026.8</v>
      </c>
      <c r="O60" s="24"/>
      <c r="P60" s="15">
        <f t="shared" si="13"/>
        <v>395026.8</v>
      </c>
      <c r="Q60" s="15">
        <f t="shared" si="14"/>
        <v>791</v>
      </c>
    </row>
    <row r="61" spans="1:17" x14ac:dyDescent="0.4">
      <c r="A61" s="12" t="str">
        <f>IF(INTRO!$E$39="Non endémique"," ",IF(COUNTRY_INFO!A61=0," ",COUNTRY_INFO!A61))</f>
        <v>Mali</v>
      </c>
      <c r="B61" s="12" t="str">
        <f>IF(INTRO!$E$39="Non endémique"," ",IF(COUNTRY_INFO!B61=0," ",COUNTRY_INFO!B61))</f>
        <v>Gao</v>
      </c>
      <c r="C61" s="12" t="str">
        <f>IF(INTRO!$E$39="Non endémique"," ",IF(COUNTRY_INFO!C61=0," ",COUNTRY_INFO!C61))</f>
        <v>Bourem</v>
      </c>
      <c r="D61" s="13">
        <f>IF(INTRO!$E$39="Non endémique",0,IF(INTRO!$E$39="Endémique mais pas de CP",IF(COUNTRY_INFO!$H61=1,COUNTRY_INFO!F61+COUNTRY_INFO!G61,0),IF(COUNTRY_INFO!$H61=1,COUNTRY_INFO!F61+COUNTRY_INFO!G61,IF(COUNTRY_INFO!$I61=1,IF(COUNTRY_INFO!M61&gt;=(COUNTRY_INFO!F61+COUNTRY_INFO!G61),COUNTRY_INFO!F61+COUNTRY_INFO!G61,COUNTRY_INFO!$M61),0))))</f>
        <v>114236</v>
      </c>
      <c r="E61" s="14">
        <f>IF(AND(INTRO!$E$39="Non endémique",INTRO!$E$37="Non endémique"),"Non requis",IF(INTRO!$E$39="Non endémique","Traiter avec DEC",COUNTRY_INFO!P61))</f>
        <v>1</v>
      </c>
      <c r="F61" s="14">
        <f>IF(INTRO!$E$39&lt;&gt;"Non endémique",COUNTRY_INFO!Q61,"Non requis")</f>
        <v>0</v>
      </c>
      <c r="G61" s="13">
        <f>IF(COUNTRY_INFO!H61=1, IF($E61=1,$D61, 0),0)</f>
        <v>114236</v>
      </c>
      <c r="H61" s="13">
        <f>IF(INTRO!$E$39&lt;&gt;"Endémique",0, IF(AND(COUNTRY_INFO!$I61=1,$F61&lt;&gt;0),IF(COUNTRY_INFO!M61&gt;=(COUNTRY_INFO!F61+COUNTRY_INFO!G61),COUNTRY_INFO!F61+COUNTRY_INFO!G61,COUNTRY_INFO!$M61), 0))</f>
        <v>0</v>
      </c>
      <c r="I61" s="3"/>
      <c r="J61" s="13">
        <f t="shared" si="8"/>
        <v>0</v>
      </c>
      <c r="K61" s="13">
        <f t="shared" si="9"/>
        <v>319860.8</v>
      </c>
      <c r="L61" s="13">
        <f t="shared" si="10"/>
        <v>0</v>
      </c>
      <c r="M61" s="13">
        <f t="shared" si="11"/>
        <v>0</v>
      </c>
      <c r="N61" s="13">
        <f t="shared" si="12"/>
        <v>319860.8</v>
      </c>
      <c r="O61" s="24"/>
      <c r="P61" s="15">
        <f t="shared" si="13"/>
        <v>319860.8</v>
      </c>
      <c r="Q61" s="15">
        <f t="shared" si="14"/>
        <v>640</v>
      </c>
    </row>
    <row r="62" spans="1:17" x14ac:dyDescent="0.4">
      <c r="A62" s="12" t="str">
        <f>IF(INTRO!$E$39="Non endémique"," ",IF(COUNTRY_INFO!A62=0," ",COUNTRY_INFO!A62))</f>
        <v>Mali</v>
      </c>
      <c r="B62" s="12" t="str">
        <f>IF(INTRO!$E$39="Non endémique"," ",IF(COUNTRY_INFO!B62=0," ",COUNTRY_INFO!B62))</f>
        <v>Gao</v>
      </c>
      <c r="C62" s="12" t="str">
        <f>IF(INTRO!$E$39="Non endémique"," ",IF(COUNTRY_INFO!C62=0," ",COUNTRY_INFO!C62))</f>
        <v>Gao</v>
      </c>
      <c r="D62" s="13">
        <f>IF(INTRO!$E$39="Non endémique",0,IF(INTRO!$E$39="Endémique mais pas de CP",IF(COUNTRY_INFO!$H62=1,COUNTRY_INFO!F62+COUNTRY_INFO!G62,0),IF(COUNTRY_INFO!$H62=1,COUNTRY_INFO!F62+COUNTRY_INFO!G62,IF(COUNTRY_INFO!$I62=1,IF(COUNTRY_INFO!M62&gt;=(COUNTRY_INFO!F62+COUNTRY_INFO!G62),COUNTRY_INFO!F62+COUNTRY_INFO!G62,COUNTRY_INFO!$M62),0))))</f>
        <v>255956</v>
      </c>
      <c r="E62" s="14">
        <f>IF(AND(INTRO!$E$39="Non endémique",INTRO!$E$37="Non endémique"),"Non requis",IF(INTRO!$E$39="Non endémique","Traiter avec DEC",COUNTRY_INFO!P62))</f>
        <v>1</v>
      </c>
      <c r="F62" s="14">
        <f>IF(INTRO!$E$39&lt;&gt;"Non endémique",COUNTRY_INFO!Q62,"Non requis")</f>
        <v>0</v>
      </c>
      <c r="G62" s="13">
        <f>IF(COUNTRY_INFO!H62=1, IF($E62=1,$D62, 0),0)</f>
        <v>255956</v>
      </c>
      <c r="H62" s="13">
        <f>IF(INTRO!$E$39&lt;&gt;"Endémique",0, IF(AND(COUNTRY_INFO!$I62=1,$F62&lt;&gt;0),IF(COUNTRY_INFO!M62&gt;=(COUNTRY_INFO!F62+COUNTRY_INFO!G62),COUNTRY_INFO!F62+COUNTRY_INFO!G62,COUNTRY_INFO!$M62), 0))</f>
        <v>0</v>
      </c>
      <c r="I62" s="3"/>
      <c r="J62" s="13">
        <f t="shared" si="8"/>
        <v>0</v>
      </c>
      <c r="K62" s="13">
        <f t="shared" si="9"/>
        <v>716676.79999999993</v>
      </c>
      <c r="L62" s="13">
        <f t="shared" si="10"/>
        <v>0</v>
      </c>
      <c r="M62" s="13">
        <f t="shared" si="11"/>
        <v>0</v>
      </c>
      <c r="N62" s="13">
        <f t="shared" si="12"/>
        <v>716676.79999999993</v>
      </c>
      <c r="O62" s="24"/>
      <c r="P62" s="15">
        <f t="shared" si="13"/>
        <v>716676.79999999993</v>
      </c>
      <c r="Q62" s="15">
        <f t="shared" si="14"/>
        <v>1434</v>
      </c>
    </row>
    <row r="63" spans="1:17" x14ac:dyDescent="0.4">
      <c r="A63" s="12" t="str">
        <f>IF(INTRO!$E$39="Non endémique"," ",IF(COUNTRY_INFO!A63=0," ",COUNTRY_INFO!A63))</f>
        <v>Mali</v>
      </c>
      <c r="B63" s="12" t="str">
        <f>IF(INTRO!$E$39="Non endémique"," ",IF(COUNTRY_INFO!B63=0," ",COUNTRY_INFO!B63))</f>
        <v>Gao</v>
      </c>
      <c r="C63" s="12" t="str">
        <f>IF(INTRO!$E$39="Non endémique"," ",IF(COUNTRY_INFO!C63=0," ",COUNTRY_INFO!C63))</f>
        <v>Almoustrat</v>
      </c>
      <c r="D63" s="13">
        <f>IF(INTRO!$E$39="Non endémique",0,IF(INTRO!$E$39="Endémique mais pas de CP",IF(COUNTRY_INFO!$H63=1,COUNTRY_INFO!F63+COUNTRY_INFO!G63,0),IF(COUNTRY_INFO!$H63=1,COUNTRY_INFO!F63+COUNTRY_INFO!G63,IF(COUNTRY_INFO!$I63=1,IF(COUNTRY_INFO!M63&gt;=(COUNTRY_INFO!F63+COUNTRY_INFO!G63),COUNTRY_INFO!F63+COUNTRY_INFO!G63,COUNTRY_INFO!$M63),0))))</f>
        <v>9506</v>
      </c>
      <c r="E63" s="14">
        <f>IF(AND(INTRO!$E$39="Non endémique",INTRO!$E$37="Non endémique"),"Non requis",IF(INTRO!$E$39="Non endémique","Traiter avec DEC",COUNTRY_INFO!P63))</f>
        <v>1</v>
      </c>
      <c r="F63" s="14">
        <f>IF(INTRO!$E$39&lt;&gt;"Non endémique",COUNTRY_INFO!Q63,"Non requis")</f>
        <v>0</v>
      </c>
      <c r="G63" s="13">
        <f>IF(COUNTRY_INFO!H63=1, IF($E63=1,$D63, 0),0)</f>
        <v>9506</v>
      </c>
      <c r="H63" s="13">
        <f>IF(INTRO!$E$39&lt;&gt;"Endémique",0, IF(AND(COUNTRY_INFO!$I63=1,$F63&lt;&gt;0),IF(COUNTRY_INFO!M63&gt;=(COUNTRY_INFO!F63+COUNTRY_INFO!G63),COUNTRY_INFO!F63+COUNTRY_INFO!G63,COUNTRY_INFO!$M63), 0))</f>
        <v>0</v>
      </c>
      <c r="I63" s="3"/>
      <c r="J63" s="13">
        <f t="shared" si="8"/>
        <v>0</v>
      </c>
      <c r="K63" s="13">
        <f t="shared" si="9"/>
        <v>26616.799999999999</v>
      </c>
      <c r="L63" s="13">
        <f t="shared" si="10"/>
        <v>0</v>
      </c>
      <c r="M63" s="13">
        <f t="shared" si="11"/>
        <v>0</v>
      </c>
      <c r="N63" s="13">
        <f t="shared" si="12"/>
        <v>26616.799999999999</v>
      </c>
      <c r="O63" s="24"/>
      <c r="P63" s="15">
        <f t="shared" si="13"/>
        <v>26616.799999999999</v>
      </c>
      <c r="Q63" s="15">
        <f t="shared" si="14"/>
        <v>54</v>
      </c>
    </row>
    <row r="64" spans="1:17" x14ac:dyDescent="0.4">
      <c r="A64" s="12" t="str">
        <f>IF(INTRO!$E$39="Non endémique"," ",IF(COUNTRY_INFO!A64=0," ",COUNTRY_INFO!A64))</f>
        <v>Mali</v>
      </c>
      <c r="B64" s="12" t="str">
        <f>IF(INTRO!$E$39="Non endémique"," ",IF(COUNTRY_INFO!B64=0," ",COUNTRY_INFO!B64))</f>
        <v>Kidal</v>
      </c>
      <c r="C64" s="12" t="str">
        <f>IF(INTRO!$E$39="Non endémique"," ",IF(COUNTRY_INFO!C64=0," ",COUNTRY_INFO!C64))</f>
        <v>Abeibara</v>
      </c>
      <c r="D64" s="13">
        <f>IF(INTRO!$E$39="Non endémique",0,IF(INTRO!$E$39="Endémique mais pas de CP",IF(COUNTRY_INFO!$H64=1,COUNTRY_INFO!F64+COUNTRY_INFO!G64,0),IF(COUNTRY_INFO!$H64=1,COUNTRY_INFO!F64+COUNTRY_INFO!G64,IF(COUNTRY_INFO!$I64=1,IF(COUNTRY_INFO!M64&gt;=(COUNTRY_INFO!F64+COUNTRY_INFO!G64),COUNTRY_INFO!F64+COUNTRY_INFO!G64,COUNTRY_INFO!$M64),0))))</f>
        <v>11022</v>
      </c>
      <c r="E64" s="14">
        <f>IF(AND(INTRO!$E$39="Non endémique",INTRO!$E$37="Non endémique"),"Non requis",IF(INTRO!$E$39="Non endémique","Traiter avec DEC",COUNTRY_INFO!P64))</f>
        <v>1</v>
      </c>
      <c r="F64" s="14">
        <f>IF(INTRO!$E$39&lt;&gt;"Non endémique",COUNTRY_INFO!Q64,"Non requis")</f>
        <v>0</v>
      </c>
      <c r="G64" s="13">
        <f>IF(COUNTRY_INFO!H64=1, IF($E64=1,$D64, 0),0)</f>
        <v>11022</v>
      </c>
      <c r="H64" s="13">
        <f>IF(INTRO!$E$39&lt;&gt;"Endémique",0, IF(AND(COUNTRY_INFO!$I64=1,$F64&lt;&gt;0),IF(COUNTRY_INFO!M64&gt;=(COUNTRY_INFO!F64+COUNTRY_INFO!G64),COUNTRY_INFO!F64+COUNTRY_INFO!G64,COUNTRY_INFO!$M64), 0))</f>
        <v>0</v>
      </c>
      <c r="I64" s="3"/>
      <c r="J64" s="13">
        <f t="shared" si="8"/>
        <v>0</v>
      </c>
      <c r="K64" s="13">
        <f t="shared" si="9"/>
        <v>30861.599999999999</v>
      </c>
      <c r="L64" s="13">
        <f t="shared" si="10"/>
        <v>0</v>
      </c>
      <c r="M64" s="13">
        <f t="shared" si="11"/>
        <v>0</v>
      </c>
      <c r="N64" s="13">
        <f t="shared" si="12"/>
        <v>30861.599999999999</v>
      </c>
      <c r="O64" s="24"/>
      <c r="P64" s="15">
        <f t="shared" si="13"/>
        <v>30861.599999999999</v>
      </c>
      <c r="Q64" s="15">
        <f t="shared" si="14"/>
        <v>62</v>
      </c>
    </row>
    <row r="65" spans="1:17" x14ac:dyDescent="0.4">
      <c r="A65" s="12" t="str">
        <f>IF(INTRO!$E$39="Non endémique"," ",IF(COUNTRY_INFO!A65=0," ",COUNTRY_INFO!A65))</f>
        <v>Mali</v>
      </c>
      <c r="B65" s="12" t="str">
        <f>IF(INTRO!$E$39="Non endémique"," ",IF(COUNTRY_INFO!B65=0," ",COUNTRY_INFO!B65))</f>
        <v>Kidal</v>
      </c>
      <c r="C65" s="12" t="str">
        <f>IF(INTRO!$E$39="Non endémique"," ",IF(COUNTRY_INFO!C65=0," ",COUNTRY_INFO!C65))</f>
        <v>Kidal</v>
      </c>
      <c r="D65" s="13">
        <f>IF(INTRO!$E$39="Non endémique",0,IF(INTRO!$E$39="Endémique mais pas de CP",IF(COUNTRY_INFO!$H65=1,COUNTRY_INFO!F65+COUNTRY_INFO!G65,0),IF(COUNTRY_INFO!$H65=1,COUNTRY_INFO!F65+COUNTRY_INFO!G65,IF(COUNTRY_INFO!$I65=1,IF(COUNTRY_INFO!M65&gt;=(COUNTRY_INFO!F65+COUNTRY_INFO!G65),COUNTRY_INFO!F65+COUNTRY_INFO!G65,COUNTRY_INFO!$M65),0))))</f>
        <v>35455</v>
      </c>
      <c r="E65" s="14">
        <f>IF(AND(INTRO!$E$39="Non endémique",INTRO!$E$37="Non endémique"),"Non requis",IF(INTRO!$E$39="Non endémique","Traiter avec DEC",COUNTRY_INFO!P65))</f>
        <v>1</v>
      </c>
      <c r="F65" s="14">
        <f>IF(INTRO!$E$39&lt;&gt;"Non endémique",COUNTRY_INFO!Q65,"Non requis")</f>
        <v>0</v>
      </c>
      <c r="G65" s="13">
        <f>IF(COUNTRY_INFO!H65=1, IF($E65=1,$D65, 0),0)</f>
        <v>35455</v>
      </c>
      <c r="H65" s="13">
        <f>IF(INTRO!$E$39&lt;&gt;"Endémique",0, IF(AND(COUNTRY_INFO!$I65=1,$F65&lt;&gt;0),IF(COUNTRY_INFO!M65&gt;=(COUNTRY_INFO!F65+COUNTRY_INFO!G65),COUNTRY_INFO!F65+COUNTRY_INFO!G65,COUNTRY_INFO!$M65), 0))</f>
        <v>0</v>
      </c>
      <c r="I65" s="3"/>
      <c r="J65" s="13">
        <f t="shared" si="8"/>
        <v>0</v>
      </c>
      <c r="K65" s="13">
        <f t="shared" si="9"/>
        <v>99274</v>
      </c>
      <c r="L65" s="13">
        <f t="shared" si="10"/>
        <v>0</v>
      </c>
      <c r="M65" s="13">
        <f t="shared" si="11"/>
        <v>0</v>
      </c>
      <c r="N65" s="13">
        <f t="shared" si="12"/>
        <v>99274</v>
      </c>
      <c r="O65" s="24"/>
      <c r="P65" s="15">
        <f t="shared" si="13"/>
        <v>99274</v>
      </c>
      <c r="Q65" s="15">
        <f t="shared" si="14"/>
        <v>199</v>
      </c>
    </row>
    <row r="66" spans="1:17" x14ac:dyDescent="0.4">
      <c r="A66" s="12" t="str">
        <f>IF(INTRO!$E$39="Non endémique"," ",IF(COUNTRY_INFO!A66=0," ",COUNTRY_INFO!A66))</f>
        <v>Mali</v>
      </c>
      <c r="B66" s="12" t="str">
        <f>IF(INTRO!$E$39="Non endémique"," ",IF(COUNTRY_INFO!B66=0," ",COUNTRY_INFO!B66))</f>
        <v>Kidal</v>
      </c>
      <c r="C66" s="12" t="str">
        <f>IF(INTRO!$E$39="Non endémique"," ",IF(COUNTRY_INFO!C66=0," ",COUNTRY_INFO!C66))</f>
        <v>Tessalit</v>
      </c>
      <c r="D66" s="13">
        <f>IF(INTRO!$E$39="Non endémique",0,IF(INTRO!$E$39="Endémique mais pas de CP",IF(COUNTRY_INFO!$H66=1,COUNTRY_INFO!F66+COUNTRY_INFO!G66,0),IF(COUNTRY_INFO!$H66=1,COUNTRY_INFO!F66+COUNTRY_INFO!G66,IF(COUNTRY_INFO!$I66=1,IF(COUNTRY_INFO!M66&gt;=(COUNTRY_INFO!F66+COUNTRY_INFO!G66),COUNTRY_INFO!F66+COUNTRY_INFO!G66,COUNTRY_INFO!$M66),0))))</f>
        <v>17455</v>
      </c>
      <c r="E66" s="14">
        <f>IF(AND(INTRO!$E$39="Non endémique",INTRO!$E$37="Non endémique"),"Non requis",IF(INTRO!$E$39="Non endémique","Traiter avec DEC",COUNTRY_INFO!P66))</f>
        <v>1</v>
      </c>
      <c r="F66" s="14">
        <f>IF(INTRO!$E$39&lt;&gt;"Non endémique",COUNTRY_INFO!Q66,"Non requis")</f>
        <v>0</v>
      </c>
      <c r="G66" s="13">
        <f>IF(COUNTRY_INFO!H66=1, IF($E66=1,$D66, 0),0)</f>
        <v>17455</v>
      </c>
      <c r="H66" s="13">
        <f>IF(INTRO!$E$39&lt;&gt;"Endémique",0, IF(AND(COUNTRY_INFO!$I66=1,$F66&lt;&gt;0),IF(COUNTRY_INFO!M66&gt;=(COUNTRY_INFO!F66+COUNTRY_INFO!G66),COUNTRY_INFO!F66+COUNTRY_INFO!G66,COUNTRY_INFO!$M66), 0))</f>
        <v>0</v>
      </c>
      <c r="I66" s="3"/>
      <c r="J66" s="13">
        <f t="shared" si="8"/>
        <v>0</v>
      </c>
      <c r="K66" s="13">
        <f t="shared" si="9"/>
        <v>48874</v>
      </c>
      <c r="L66" s="13">
        <f t="shared" si="10"/>
        <v>0</v>
      </c>
      <c r="M66" s="13">
        <f t="shared" si="11"/>
        <v>0</v>
      </c>
      <c r="N66" s="13">
        <f t="shared" si="12"/>
        <v>48874</v>
      </c>
      <c r="O66" s="24"/>
      <c r="P66" s="15">
        <f t="shared" si="13"/>
        <v>48874</v>
      </c>
      <c r="Q66" s="15">
        <f t="shared" si="14"/>
        <v>98</v>
      </c>
    </row>
    <row r="67" spans="1:17" x14ac:dyDescent="0.4">
      <c r="A67" s="12" t="str">
        <f>IF(INTRO!$E$39="Non endémique"," ",IF(COUNTRY_INFO!A67=0," ",COUNTRY_INFO!A67))</f>
        <v>Mali</v>
      </c>
      <c r="B67" s="12" t="str">
        <f>IF(INTRO!$E$39="Non endémique"," ",IF(COUNTRY_INFO!B67=0," ",COUNTRY_INFO!B67))</f>
        <v>Kidal</v>
      </c>
      <c r="C67" s="12" t="str">
        <f>IF(INTRO!$E$39="Non endémique"," ",IF(COUNTRY_INFO!C67=0," ",COUNTRY_INFO!C67))</f>
        <v>Tin-Essako</v>
      </c>
      <c r="D67" s="13">
        <f>IF(INTRO!$E$39="Non endémique",0,IF(INTRO!$E$39="Endémique mais pas de CP",IF(COUNTRY_INFO!$H67=1,COUNTRY_INFO!F67+COUNTRY_INFO!G67,0),IF(COUNTRY_INFO!$H67=1,COUNTRY_INFO!F67+COUNTRY_INFO!G67,IF(COUNTRY_INFO!$I67=1,IF(COUNTRY_INFO!M67&gt;=(COUNTRY_INFO!F67+COUNTRY_INFO!G67),COUNTRY_INFO!F67+COUNTRY_INFO!G67,COUNTRY_INFO!$M67),0))))</f>
        <v>8547</v>
      </c>
      <c r="E67" s="14">
        <f>IF(AND(INTRO!$E$39="Non endémique",INTRO!$E$37="Non endémique"),"Non requis",IF(INTRO!$E$39="Non endémique","Traiter avec DEC",COUNTRY_INFO!P67))</f>
        <v>1</v>
      </c>
      <c r="F67" s="14">
        <f>IF(INTRO!$E$39&lt;&gt;"Non endémique",COUNTRY_INFO!Q67,"Non requis")</f>
        <v>0</v>
      </c>
      <c r="G67" s="13">
        <f>IF(COUNTRY_INFO!H67=1, IF($E67=1,$D67, 0),0)</f>
        <v>8547</v>
      </c>
      <c r="H67" s="13">
        <f>IF(INTRO!$E$39&lt;&gt;"Endémique",0, IF(AND(COUNTRY_INFO!$I67=1,$F67&lt;&gt;0),IF(COUNTRY_INFO!M67&gt;=(COUNTRY_INFO!F67+COUNTRY_INFO!G67),COUNTRY_INFO!F67+COUNTRY_INFO!G67,COUNTRY_INFO!$M67), 0))</f>
        <v>0</v>
      </c>
      <c r="I67" s="3"/>
      <c r="J67" s="13">
        <f t="shared" si="8"/>
        <v>0</v>
      </c>
      <c r="K67" s="13">
        <f t="shared" si="9"/>
        <v>23931.599999999999</v>
      </c>
      <c r="L67" s="13">
        <f t="shared" si="10"/>
        <v>0</v>
      </c>
      <c r="M67" s="13">
        <f t="shared" si="11"/>
        <v>0</v>
      </c>
      <c r="N67" s="13">
        <f t="shared" si="12"/>
        <v>23931.599999999999</v>
      </c>
      <c r="O67" s="24"/>
      <c r="P67" s="15">
        <f t="shared" si="13"/>
        <v>23931.599999999999</v>
      </c>
      <c r="Q67" s="15">
        <f t="shared" si="14"/>
        <v>48</v>
      </c>
    </row>
    <row r="68" spans="1:17" x14ac:dyDescent="0.4">
      <c r="A68" s="12" t="str">
        <f>IF(INTRO!$E$39="Non endémique"," ",IF(COUNTRY_INFO!A68=0," ",COUNTRY_INFO!A68))</f>
        <v>Mali</v>
      </c>
      <c r="B68" s="12" t="str">
        <f>IF(INTRO!$E$39="Non endémique"," ",IF(COUNTRY_INFO!B68=0," ",COUNTRY_INFO!B68))</f>
        <v>Bamako</v>
      </c>
      <c r="C68" s="12" t="str">
        <f>IF(INTRO!$E$39="Non endémique"," ",IF(COUNTRY_INFO!C68=0," ",COUNTRY_INFO!C68))</f>
        <v>Commune 1</v>
      </c>
      <c r="D68" s="13">
        <f>IF(INTRO!$E$39="Non endémique",0,IF(INTRO!$E$39="Endémique mais pas de CP",IF(COUNTRY_INFO!$H68=1,COUNTRY_INFO!F68+COUNTRY_INFO!G68,0),IF(COUNTRY_INFO!$H68=1,COUNTRY_INFO!F68+COUNTRY_INFO!G68,IF(COUNTRY_INFO!$I68=1,IF(COUNTRY_INFO!M68&gt;=(COUNTRY_INFO!F68+COUNTRY_INFO!G68),COUNTRY_INFO!F68+COUNTRY_INFO!G68,COUNTRY_INFO!$M68),0))))</f>
        <v>0</v>
      </c>
      <c r="E68" s="14">
        <f>IF(AND(INTRO!$E$39="Non endémique",INTRO!$E$37="Non endémique"),"Non requis",IF(INTRO!$E$39="Non endémique","Traiter avec DEC",COUNTRY_INFO!P68))</f>
        <v>0</v>
      </c>
      <c r="F68" s="14">
        <f>IF(INTRO!$E$39&lt;&gt;"Non endémique",COUNTRY_INFO!Q68,"Non requis")</f>
        <v>0</v>
      </c>
      <c r="G68" s="13">
        <f>IF(COUNTRY_INFO!H68=1, IF($E68=1,$D68, 0),0)</f>
        <v>0</v>
      </c>
      <c r="H68" s="13">
        <f>IF(INTRO!$E$39&lt;&gt;"Endémique",0, IF(AND(COUNTRY_INFO!$I68=1,$F68&lt;&gt;0),IF(COUNTRY_INFO!M68&gt;=(COUNTRY_INFO!F68+COUNTRY_INFO!G68),COUNTRY_INFO!F68+COUNTRY_INFO!G68,COUNTRY_INFO!$M68), 0))</f>
        <v>0</v>
      </c>
      <c r="I68" s="3"/>
      <c r="J68" s="13">
        <f t="shared" si="8"/>
        <v>0</v>
      </c>
      <c r="K68" s="13">
        <f t="shared" si="9"/>
        <v>0</v>
      </c>
      <c r="L68" s="13">
        <f t="shared" si="10"/>
        <v>0</v>
      </c>
      <c r="M68" s="13">
        <f t="shared" si="11"/>
        <v>0</v>
      </c>
      <c r="N68" s="13">
        <f t="shared" si="12"/>
        <v>0</v>
      </c>
      <c r="O68" s="24"/>
      <c r="P68" s="15">
        <f t="shared" si="13"/>
        <v>0</v>
      </c>
      <c r="Q68" s="15">
        <f t="shared" si="14"/>
        <v>0</v>
      </c>
    </row>
    <row r="69" spans="1:17" x14ac:dyDescent="0.4">
      <c r="A69" s="12" t="str">
        <f>IF(INTRO!$E$39="Non endémique"," ",IF(COUNTRY_INFO!A69=0," ",COUNTRY_INFO!A69))</f>
        <v>Mali</v>
      </c>
      <c r="B69" s="12" t="str">
        <f>IF(INTRO!$E$39="Non endémique"," ",IF(COUNTRY_INFO!B69=0," ",COUNTRY_INFO!B69))</f>
        <v>Bamako</v>
      </c>
      <c r="C69" s="12" t="str">
        <f>IF(INTRO!$E$39="Non endémique"," ",IF(COUNTRY_INFO!C69=0," ",COUNTRY_INFO!C69))</f>
        <v>Commune 2</v>
      </c>
      <c r="D69" s="13">
        <f>IF(INTRO!$E$39="Non endémique",0,IF(INTRO!$E$39="Endémique mais pas de CP",IF(COUNTRY_INFO!$H69=1,COUNTRY_INFO!F69+COUNTRY_INFO!G69,0),IF(COUNTRY_INFO!$H69=1,COUNTRY_INFO!F69+COUNTRY_INFO!G69,IF(COUNTRY_INFO!$I69=1,IF(COUNTRY_INFO!M69&gt;=(COUNTRY_INFO!F69+COUNTRY_INFO!G69),COUNTRY_INFO!F69+COUNTRY_INFO!G69,COUNTRY_INFO!$M69),0))))</f>
        <v>0</v>
      </c>
      <c r="E69" s="14">
        <f>IF(AND(INTRO!$E$39="Non endémique",INTRO!$E$37="Non endémique"),"Non requis",IF(INTRO!$E$39="Non endémique","Traiter avec DEC",COUNTRY_INFO!P69))</f>
        <v>0</v>
      </c>
      <c r="F69" s="14">
        <f>IF(INTRO!$E$39&lt;&gt;"Non endémique",COUNTRY_INFO!Q69,"Non requis")</f>
        <v>0</v>
      </c>
      <c r="G69" s="13">
        <f>IF(COUNTRY_INFO!H69=1, IF($E69=1,$D69, 0),0)</f>
        <v>0</v>
      </c>
      <c r="H69" s="13">
        <f>IF(INTRO!$E$39&lt;&gt;"Endémique",0, IF(AND(COUNTRY_INFO!$I69=1,$F69&lt;&gt;0),IF(COUNTRY_INFO!M69&gt;=(COUNTRY_INFO!F69+COUNTRY_INFO!G69),COUNTRY_INFO!F69+COUNTRY_INFO!G69,COUNTRY_INFO!$M69), 0))</f>
        <v>0</v>
      </c>
      <c r="I69" s="3"/>
      <c r="J69" s="13">
        <f t="shared" si="8"/>
        <v>0</v>
      </c>
      <c r="K69" s="13">
        <f t="shared" si="9"/>
        <v>0</v>
      </c>
      <c r="L69" s="13">
        <f t="shared" si="10"/>
        <v>0</v>
      </c>
      <c r="M69" s="13">
        <f t="shared" si="11"/>
        <v>0</v>
      </c>
      <c r="N69" s="13">
        <f t="shared" si="12"/>
        <v>0</v>
      </c>
      <c r="O69" s="24"/>
      <c r="P69" s="15">
        <f t="shared" si="13"/>
        <v>0</v>
      </c>
      <c r="Q69" s="15">
        <f t="shared" si="14"/>
        <v>0</v>
      </c>
    </row>
    <row r="70" spans="1:17" x14ac:dyDescent="0.4">
      <c r="A70" s="12" t="str">
        <f>IF(INTRO!$E$39="Non endémique"," ",IF(COUNTRY_INFO!A70=0," ",COUNTRY_INFO!A70))</f>
        <v>Mali</v>
      </c>
      <c r="B70" s="12" t="str">
        <f>IF(INTRO!$E$39="Non endémique"," ",IF(COUNTRY_INFO!B70=0," ",COUNTRY_INFO!B70))</f>
        <v>Bamako</v>
      </c>
      <c r="C70" s="12" t="str">
        <f>IF(INTRO!$E$39="Non endémique"," ",IF(COUNTRY_INFO!C70=0," ",COUNTRY_INFO!C70))</f>
        <v>Commune 3</v>
      </c>
      <c r="D70" s="13">
        <f>IF(INTRO!$E$39="Non endémique",0,IF(INTRO!$E$39="Endémique mais pas de CP",IF(COUNTRY_INFO!$H70=1,COUNTRY_INFO!F70+COUNTRY_INFO!G70,0),IF(COUNTRY_INFO!$H70=1,COUNTRY_INFO!F70+COUNTRY_INFO!G70,IF(COUNTRY_INFO!$I70=1,IF(COUNTRY_INFO!M70&gt;=(COUNTRY_INFO!F70+COUNTRY_INFO!G70),COUNTRY_INFO!F70+COUNTRY_INFO!G70,COUNTRY_INFO!$M70),0))))</f>
        <v>0</v>
      </c>
      <c r="E70" s="14">
        <f>IF(AND(INTRO!$E$39="Non endémique",INTRO!$E$37="Non endémique"),"Non requis",IF(INTRO!$E$39="Non endémique","Traiter avec DEC",COUNTRY_INFO!P70))</f>
        <v>0</v>
      </c>
      <c r="F70" s="14">
        <f>IF(INTRO!$E$39&lt;&gt;"Non endémique",COUNTRY_INFO!Q70,"Non requis")</f>
        <v>0</v>
      </c>
      <c r="G70" s="13">
        <f>IF(COUNTRY_INFO!H70=1, IF($E70=1,$D70, 0),0)</f>
        <v>0</v>
      </c>
      <c r="H70" s="13">
        <f>IF(INTRO!$E$39&lt;&gt;"Endémique",0, IF(AND(COUNTRY_INFO!$I70=1,$F70&lt;&gt;0),IF(COUNTRY_INFO!M70&gt;=(COUNTRY_INFO!F70+COUNTRY_INFO!G70),COUNTRY_INFO!F70+COUNTRY_INFO!G70,COUNTRY_INFO!$M70), 0))</f>
        <v>0</v>
      </c>
      <c r="I70" s="3"/>
      <c r="J70" s="13">
        <f t="shared" si="8"/>
        <v>0</v>
      </c>
      <c r="K70" s="13">
        <f t="shared" si="9"/>
        <v>0</v>
      </c>
      <c r="L70" s="13">
        <f t="shared" si="10"/>
        <v>0</v>
      </c>
      <c r="M70" s="13">
        <f t="shared" si="11"/>
        <v>0</v>
      </c>
      <c r="N70" s="13">
        <f t="shared" si="12"/>
        <v>0</v>
      </c>
      <c r="O70" s="24"/>
      <c r="P70" s="15">
        <f t="shared" si="13"/>
        <v>0</v>
      </c>
      <c r="Q70" s="15">
        <f t="shared" si="14"/>
        <v>0</v>
      </c>
    </row>
    <row r="71" spans="1:17" x14ac:dyDescent="0.4">
      <c r="A71" s="12" t="str">
        <f>IF(INTRO!$E$39="Non endémique"," ",IF(COUNTRY_INFO!A71=0," ",COUNTRY_INFO!A71))</f>
        <v>Mali</v>
      </c>
      <c r="B71" s="12" t="str">
        <f>IF(INTRO!$E$39="Non endémique"," ",IF(COUNTRY_INFO!B71=0," ",COUNTRY_INFO!B71))</f>
        <v>Bamako</v>
      </c>
      <c r="C71" s="12" t="str">
        <f>IF(INTRO!$E$39="Non endémique"," ",IF(COUNTRY_INFO!C71=0," ",COUNTRY_INFO!C71))</f>
        <v>Commune 4</v>
      </c>
      <c r="D71" s="13">
        <f>IF(INTRO!$E$39="Non endémique",0,IF(INTRO!$E$39="Endémique mais pas de CP",IF(COUNTRY_INFO!$H71=1,COUNTRY_INFO!F71+COUNTRY_INFO!G71,0),IF(COUNTRY_INFO!$H71=1,COUNTRY_INFO!F71+COUNTRY_INFO!G71,IF(COUNTRY_INFO!$I71=1,IF(COUNTRY_INFO!M71&gt;=(COUNTRY_INFO!F71+COUNTRY_INFO!G71),COUNTRY_INFO!F71+COUNTRY_INFO!G71,COUNTRY_INFO!$M71),0))))</f>
        <v>0</v>
      </c>
      <c r="E71" s="14">
        <f>IF(AND(INTRO!$E$39="Non endémique",INTRO!$E$37="Non endémique"),"Non requis",IF(INTRO!$E$39="Non endémique","Traiter avec DEC",COUNTRY_INFO!P71))</f>
        <v>0</v>
      </c>
      <c r="F71" s="14">
        <f>IF(INTRO!$E$39&lt;&gt;"Non endémique",COUNTRY_INFO!Q71,"Non requis")</f>
        <v>0</v>
      </c>
      <c r="G71" s="13">
        <f>IF(COUNTRY_INFO!H71=1, IF($E71=1,$D71, 0),0)</f>
        <v>0</v>
      </c>
      <c r="H71" s="13">
        <f>IF(INTRO!$E$39&lt;&gt;"Endémique",0, IF(AND(COUNTRY_INFO!$I71=1,$F71&lt;&gt;0),IF(COUNTRY_INFO!M71&gt;=(COUNTRY_INFO!F71+COUNTRY_INFO!G71),COUNTRY_INFO!F71+COUNTRY_INFO!G71,COUNTRY_INFO!$M71), 0))</f>
        <v>0</v>
      </c>
      <c r="I71" s="3"/>
      <c r="J71" s="13">
        <f t="shared" si="8"/>
        <v>0</v>
      </c>
      <c r="K71" s="13">
        <f t="shared" si="9"/>
        <v>0</v>
      </c>
      <c r="L71" s="13">
        <f t="shared" si="10"/>
        <v>0</v>
      </c>
      <c r="M71" s="13">
        <f t="shared" si="11"/>
        <v>0</v>
      </c>
      <c r="N71" s="13">
        <f t="shared" si="12"/>
        <v>0</v>
      </c>
      <c r="O71" s="24"/>
      <c r="P71" s="15">
        <f t="shared" si="13"/>
        <v>0</v>
      </c>
      <c r="Q71" s="15">
        <f t="shared" si="14"/>
        <v>0</v>
      </c>
    </row>
    <row r="72" spans="1:17" x14ac:dyDescent="0.4">
      <c r="A72" s="12" t="str">
        <f>IF(INTRO!$E$39="Non endémique"," ",IF(COUNTRY_INFO!A72=0," ",COUNTRY_INFO!A72))</f>
        <v>Mali</v>
      </c>
      <c r="B72" s="12" t="str">
        <f>IF(INTRO!$E$39="Non endémique"," ",IF(COUNTRY_INFO!B72=0," ",COUNTRY_INFO!B72))</f>
        <v>Bamako</v>
      </c>
      <c r="C72" s="12" t="str">
        <f>IF(INTRO!$E$39="Non endémique"," ",IF(COUNTRY_INFO!C72=0," ",COUNTRY_INFO!C72))</f>
        <v>Commune 5</v>
      </c>
      <c r="D72" s="13">
        <f>IF(INTRO!$E$39="Non endémique",0,IF(INTRO!$E$39="Endémique mais pas de CP",IF(COUNTRY_INFO!$H72=1,COUNTRY_INFO!F72+COUNTRY_INFO!G72,0),IF(COUNTRY_INFO!$H72=1,COUNTRY_INFO!F72+COUNTRY_INFO!G72,IF(COUNTRY_INFO!$I72=1,IF(COUNTRY_INFO!M72&gt;=(COUNTRY_INFO!F72+COUNTRY_INFO!G72),COUNTRY_INFO!F72+COUNTRY_INFO!G72,COUNTRY_INFO!$M72),0))))</f>
        <v>0</v>
      </c>
      <c r="E72" s="14">
        <f>IF(AND(INTRO!$E$39="Non endémique",INTRO!$E$37="Non endémique"),"Non requis",IF(INTRO!$E$39="Non endémique","Traiter avec DEC",COUNTRY_INFO!P72))</f>
        <v>0</v>
      </c>
      <c r="F72" s="14">
        <f>IF(INTRO!$E$39&lt;&gt;"Non endémique",COUNTRY_INFO!Q72,"Non requis")</f>
        <v>0</v>
      </c>
      <c r="G72" s="13">
        <f>IF(COUNTRY_INFO!H72=1, IF($E72=1,$D72, 0),0)</f>
        <v>0</v>
      </c>
      <c r="H72" s="13">
        <f>IF(INTRO!$E$39&lt;&gt;"Endémique",0, IF(AND(COUNTRY_INFO!$I72=1,$F72&lt;&gt;0),IF(COUNTRY_INFO!M72&gt;=(COUNTRY_INFO!F72+COUNTRY_INFO!G72),COUNTRY_INFO!F72+COUNTRY_INFO!G72,COUNTRY_INFO!$M72), 0))</f>
        <v>0</v>
      </c>
      <c r="I72" s="3"/>
      <c r="J72" s="13">
        <f t="shared" si="8"/>
        <v>0</v>
      </c>
      <c r="K72" s="13">
        <f t="shared" si="9"/>
        <v>0</v>
      </c>
      <c r="L72" s="13">
        <f t="shared" si="10"/>
        <v>0</v>
      </c>
      <c r="M72" s="13">
        <f t="shared" si="11"/>
        <v>0</v>
      </c>
      <c r="N72" s="13">
        <f t="shared" si="12"/>
        <v>0</v>
      </c>
      <c r="O72" s="24"/>
      <c r="P72" s="15">
        <f t="shared" si="13"/>
        <v>0</v>
      </c>
      <c r="Q72" s="15">
        <f t="shared" si="14"/>
        <v>0</v>
      </c>
    </row>
    <row r="73" spans="1:17" x14ac:dyDescent="0.4">
      <c r="A73" s="12" t="str">
        <f>IF(INTRO!$E$39="Non endémique"," ",IF(COUNTRY_INFO!A73=0," ",COUNTRY_INFO!A73))</f>
        <v>Mali</v>
      </c>
      <c r="B73" s="12" t="str">
        <f>IF(INTRO!$E$39="Non endémique"," ",IF(COUNTRY_INFO!B73=0," ",COUNTRY_INFO!B73))</f>
        <v>Bamako</v>
      </c>
      <c r="C73" s="12" t="str">
        <f>IF(INTRO!$E$39="Non endémique"," ",IF(COUNTRY_INFO!C73=0," ",COUNTRY_INFO!C73))</f>
        <v>Commune 6</v>
      </c>
      <c r="D73" s="13">
        <f>IF(INTRO!$E$39="Non endémique",0,IF(INTRO!$E$39="Endémique mais pas de CP",IF(COUNTRY_INFO!$H73=1,COUNTRY_INFO!F73+COUNTRY_INFO!G73,0),IF(COUNTRY_INFO!$H73=1,COUNTRY_INFO!F73+COUNTRY_INFO!G73,IF(COUNTRY_INFO!$I73=1,IF(COUNTRY_INFO!M73&gt;=(COUNTRY_INFO!F73+COUNTRY_INFO!G73),COUNTRY_INFO!F73+COUNTRY_INFO!G73,COUNTRY_INFO!$M73),0))))</f>
        <v>0</v>
      </c>
      <c r="E73" s="14">
        <f>IF(AND(INTRO!$E$39="Non endémique",INTRO!$E$37="Non endémique"),"Non requis",IF(INTRO!$E$39="Non endémique","Traiter avec DEC",COUNTRY_INFO!P73))</f>
        <v>0</v>
      </c>
      <c r="F73" s="14">
        <f>IF(INTRO!$E$39&lt;&gt;"Non endémique",COUNTRY_INFO!Q73,"Non requis")</f>
        <v>0</v>
      </c>
      <c r="G73" s="13">
        <f>IF(COUNTRY_INFO!H73=1, IF($E73=1,$D73, 0),0)</f>
        <v>0</v>
      </c>
      <c r="H73" s="13">
        <f>IF(INTRO!$E$39&lt;&gt;"Endémique",0, IF(AND(COUNTRY_INFO!$I73=1,$F73&lt;&gt;0),IF(COUNTRY_INFO!M73&gt;=(COUNTRY_INFO!F73+COUNTRY_INFO!G73),COUNTRY_INFO!F73+COUNTRY_INFO!G73,COUNTRY_INFO!$M73), 0))</f>
        <v>0</v>
      </c>
      <c r="I73" s="3"/>
      <c r="J73" s="13">
        <f t="shared" ref="J73:J83" si="15">IF(I73=0,H73,IF(I73&gt;H73,H73,I73))</f>
        <v>0</v>
      </c>
      <c r="K73" s="13">
        <f t="shared" ref="K73:K83" si="16">IF(G73&lt;J73,0,IF($E73=1, (G73-J73)*2.8, 0))</f>
        <v>0</v>
      </c>
      <c r="L73" s="13">
        <f t="shared" ref="L73:L83" si="17">IF($E73&lt;$F73, J73*(F73-E73)*2.8, 0)</f>
        <v>0</v>
      </c>
      <c r="M73" s="13">
        <f t="shared" ref="M73:M83" si="18">IF(AND($E73=1, $F73&lt;&gt;0), J73*2.8, 0)</f>
        <v>0</v>
      </c>
      <c r="N73" s="13">
        <f t="shared" ref="N73:N83" si="19">SUM(K73:M73)</f>
        <v>0</v>
      </c>
      <c r="O73" s="24"/>
      <c r="P73" s="15">
        <f t="shared" ref="P73:P83" si="20">IF($N73&gt;$O73,$N73-$O73,0)</f>
        <v>0</v>
      </c>
      <c r="Q73" s="15">
        <f t="shared" ref="Q73:Q83" si="21">ROUNDUP($N73/500,0)</f>
        <v>0</v>
      </c>
    </row>
    <row r="74" spans="1:17" x14ac:dyDescent="0.4">
      <c r="A74" s="12" t="str">
        <f>IF(INTRO!$E$39="Non endémique"," ",IF(COUNTRY_INFO!A74=0," ",COUNTRY_INFO!A74))</f>
        <v>Mali</v>
      </c>
      <c r="B74" s="12" t="str">
        <f>IF(INTRO!$E$39="Non endémique"," ",IF(COUNTRY_INFO!B74=0," ",COUNTRY_INFO!B74))</f>
        <v>Taoudenit</v>
      </c>
      <c r="C74" s="12" t="str">
        <f>IF(INTRO!$E$39="Non endémique"," ",IF(COUNTRY_INFO!C74=0," ",COUNTRY_INFO!C74))</f>
        <v>Achourat</v>
      </c>
      <c r="D74" s="13">
        <f>IF(INTRO!$E$39="Non endémique",0,IF(INTRO!$E$39="Endémique mais pas de CP",IF(COUNTRY_INFO!$H74=1,COUNTRY_INFO!F74+COUNTRY_INFO!G74,0),IF(COUNTRY_INFO!$H74=1,COUNTRY_INFO!F74+COUNTRY_INFO!G74,IF(COUNTRY_INFO!$I74=1,IF(COUNTRY_INFO!M74&gt;=(COUNTRY_INFO!F74+COUNTRY_INFO!G74),COUNTRY_INFO!F74+COUNTRY_INFO!G74,COUNTRY_INFO!$M74),0))))</f>
        <v>26549</v>
      </c>
      <c r="E74" s="14">
        <f>IF(AND(INTRO!$E$39="Non endémique",INTRO!$E$37="Non endémique"),"Non requis",IF(INTRO!$E$39="Non endémique","Traiter avec DEC",COUNTRY_INFO!P74))</f>
        <v>1</v>
      </c>
      <c r="F74" s="14">
        <f>IF(INTRO!$E$39&lt;&gt;"Non endémique",COUNTRY_INFO!Q74,"Non requis")</f>
        <v>0</v>
      </c>
      <c r="G74" s="13">
        <f>IF(COUNTRY_INFO!H74=1, IF($E74=1,$D74, 0),0)</f>
        <v>26549</v>
      </c>
      <c r="H74" s="13">
        <f>IF(INTRO!$E$39&lt;&gt;"Endémique",0, IF(AND(COUNTRY_INFO!$I74=1,$F74&lt;&gt;0),IF(COUNTRY_INFO!M74&gt;=(COUNTRY_INFO!F74+COUNTRY_INFO!G74),COUNTRY_INFO!F74+COUNTRY_INFO!G74,COUNTRY_INFO!$M74), 0))</f>
        <v>0</v>
      </c>
      <c r="I74" s="3"/>
      <c r="J74" s="13">
        <f t="shared" si="15"/>
        <v>0</v>
      </c>
      <c r="K74" s="13">
        <f t="shared" si="16"/>
        <v>74337.2</v>
      </c>
      <c r="L74" s="13">
        <f t="shared" si="17"/>
        <v>0</v>
      </c>
      <c r="M74" s="13">
        <f t="shared" si="18"/>
        <v>0</v>
      </c>
      <c r="N74" s="13">
        <f t="shared" si="19"/>
        <v>74337.2</v>
      </c>
      <c r="O74" s="24"/>
      <c r="P74" s="15">
        <f t="shared" si="20"/>
        <v>74337.2</v>
      </c>
      <c r="Q74" s="15">
        <f t="shared" si="21"/>
        <v>149</v>
      </c>
    </row>
    <row r="75" spans="1:17" x14ac:dyDescent="0.4">
      <c r="A75" s="12" t="str">
        <f>IF(INTRO!$E$39="Non endémique"," ",IF(COUNTRY_INFO!A75=0," ",COUNTRY_INFO!A75))</f>
        <v>Mali</v>
      </c>
      <c r="B75" s="12" t="str">
        <f>IF(INTRO!$E$39="Non endémique"," ",IF(COUNTRY_INFO!B75=0," ",COUNTRY_INFO!B75))</f>
        <v>Taoudenit</v>
      </c>
      <c r="C75" s="12" t="str">
        <f>IF(INTRO!$E$39="Non endémique"," ",IF(COUNTRY_INFO!C75=0," ",COUNTRY_INFO!C75))</f>
        <v>Al-Ourch</v>
      </c>
      <c r="D75" s="13">
        <f>IF(INTRO!$E$39="Non endémique",0,IF(INTRO!$E$39="Endémique mais pas de CP",IF(COUNTRY_INFO!$H75=1,COUNTRY_INFO!F75+COUNTRY_INFO!G75,0),IF(COUNTRY_INFO!$H75=1,COUNTRY_INFO!F75+COUNTRY_INFO!G75,IF(COUNTRY_INFO!$I75=1,IF(COUNTRY_INFO!M75&gt;=(COUNTRY_INFO!F75+COUNTRY_INFO!G75),COUNTRY_INFO!F75+COUNTRY_INFO!G75,COUNTRY_INFO!$M75),0))))</f>
        <v>44458</v>
      </c>
      <c r="E75" s="14">
        <f>IF(AND(INTRO!$E$39="Non endémique",INTRO!$E$37="Non endémique"),"Non requis",IF(INTRO!$E$39="Non endémique","Traiter avec DEC",COUNTRY_INFO!P75))</f>
        <v>1</v>
      </c>
      <c r="F75" s="14">
        <f>IF(INTRO!$E$39&lt;&gt;"Non endémique",COUNTRY_INFO!Q75,"Non requis")</f>
        <v>0</v>
      </c>
      <c r="G75" s="13">
        <f>IF(COUNTRY_INFO!H75=1, IF($E75=1,$D75, 0),0)</f>
        <v>44458</v>
      </c>
      <c r="H75" s="13">
        <f>IF(INTRO!$E$39&lt;&gt;"Endémique",0, IF(AND(COUNTRY_INFO!$I75=1,$F75&lt;&gt;0),IF(COUNTRY_INFO!M75&gt;=(COUNTRY_INFO!F75+COUNTRY_INFO!G75),COUNTRY_INFO!F75+COUNTRY_INFO!G75,COUNTRY_INFO!$M75), 0))</f>
        <v>0</v>
      </c>
      <c r="I75" s="3"/>
      <c r="J75" s="13">
        <f t="shared" si="15"/>
        <v>0</v>
      </c>
      <c r="K75" s="13">
        <f t="shared" si="16"/>
        <v>124482.4</v>
      </c>
      <c r="L75" s="13">
        <f t="shared" si="17"/>
        <v>0</v>
      </c>
      <c r="M75" s="13">
        <f t="shared" si="18"/>
        <v>0</v>
      </c>
      <c r="N75" s="13">
        <f t="shared" si="19"/>
        <v>124482.4</v>
      </c>
      <c r="O75" s="24"/>
      <c r="P75" s="15">
        <f t="shared" si="20"/>
        <v>124482.4</v>
      </c>
      <c r="Q75" s="15">
        <f t="shared" si="21"/>
        <v>249</v>
      </c>
    </row>
    <row r="76" spans="1:17" x14ac:dyDescent="0.4">
      <c r="A76" s="12" t="str">
        <f>IF(INTRO!$E$39="Non endémique"," ",IF(COUNTRY_INFO!A76=0," ",COUNTRY_INFO!A76))</f>
        <v>Mali</v>
      </c>
      <c r="B76" s="12" t="str">
        <f>IF(INTRO!$E$39="Non endémique"," ",IF(COUNTRY_INFO!B76=0," ",COUNTRY_INFO!B76))</f>
        <v>Taoudenit</v>
      </c>
      <c r="C76" s="12" t="str">
        <f>IF(INTRO!$E$39="Non endémique"," ",IF(COUNTRY_INFO!C76=0," ",COUNTRY_INFO!C76))</f>
        <v>Araouane</v>
      </c>
      <c r="D76" s="13">
        <f>IF(INTRO!$E$39="Non endémique",0,IF(INTRO!$E$39="Endémique mais pas de CP",IF(COUNTRY_INFO!$H76=1,COUNTRY_INFO!F76+COUNTRY_INFO!G76,0),IF(COUNTRY_INFO!$H76=1,COUNTRY_INFO!F76+COUNTRY_INFO!G76,IF(COUNTRY_INFO!$I76=1,IF(COUNTRY_INFO!M76&gt;=(COUNTRY_INFO!F76+COUNTRY_INFO!G76),COUNTRY_INFO!F76+COUNTRY_INFO!G76,COUNTRY_INFO!$M76),0))))</f>
        <v>21833</v>
      </c>
      <c r="E76" s="14">
        <f>IF(AND(INTRO!$E$39="Non endémique",INTRO!$E$37="Non endémique"),"Non requis",IF(INTRO!$E$39="Non endémique","Traiter avec DEC",COUNTRY_INFO!P76))</f>
        <v>1</v>
      </c>
      <c r="F76" s="14">
        <f>IF(INTRO!$E$39&lt;&gt;"Non endémique",COUNTRY_INFO!Q76,"Non requis")</f>
        <v>0</v>
      </c>
      <c r="G76" s="13">
        <f>IF(COUNTRY_INFO!H76=1, IF($E76=1,$D76, 0),0)</f>
        <v>21833</v>
      </c>
      <c r="H76" s="13">
        <f>IF(INTRO!$E$39&lt;&gt;"Endémique",0, IF(AND(COUNTRY_INFO!$I76=1,$F76&lt;&gt;0),IF(COUNTRY_INFO!M76&gt;=(COUNTRY_INFO!F76+COUNTRY_INFO!G76),COUNTRY_INFO!F76+COUNTRY_INFO!G76,COUNTRY_INFO!$M76), 0))</f>
        <v>0</v>
      </c>
      <c r="I76" s="3"/>
      <c r="J76" s="13">
        <f t="shared" si="15"/>
        <v>0</v>
      </c>
      <c r="K76" s="13">
        <f t="shared" si="16"/>
        <v>61132.399999999994</v>
      </c>
      <c r="L76" s="13">
        <f t="shared" si="17"/>
        <v>0</v>
      </c>
      <c r="M76" s="13">
        <f t="shared" si="18"/>
        <v>0</v>
      </c>
      <c r="N76" s="13">
        <f t="shared" si="19"/>
        <v>61132.399999999994</v>
      </c>
      <c r="O76" s="24"/>
      <c r="P76" s="15">
        <f t="shared" si="20"/>
        <v>61132.399999999994</v>
      </c>
      <c r="Q76" s="15">
        <f t="shared" si="21"/>
        <v>123</v>
      </c>
    </row>
    <row r="77" spans="1:17" x14ac:dyDescent="0.4">
      <c r="A77" s="12" t="str">
        <f>IF(INTRO!$E$39="Non endémique"," ",IF(COUNTRY_INFO!A77=0," ",COUNTRY_INFO!A77))</f>
        <v>Mali</v>
      </c>
      <c r="B77" s="12" t="str">
        <f>IF(INTRO!$E$39="Non endémique"," ",IF(COUNTRY_INFO!B77=0," ",COUNTRY_INFO!B77))</f>
        <v>Taoudenit</v>
      </c>
      <c r="C77" s="12" t="str">
        <f>IF(INTRO!$E$39="Non endémique"," ",IF(COUNTRY_INFO!C77=0," ",COUNTRY_INFO!C77))</f>
        <v>Boujbeha</v>
      </c>
      <c r="D77" s="13">
        <f>IF(INTRO!$E$39="Non endémique",0,IF(INTRO!$E$39="Endémique mais pas de CP",IF(COUNTRY_INFO!$H77=1,COUNTRY_INFO!F77+COUNTRY_INFO!G77,0),IF(COUNTRY_INFO!$H77=1,COUNTRY_INFO!F77+COUNTRY_INFO!G77,IF(COUNTRY_INFO!$I77=1,IF(COUNTRY_INFO!M77&gt;=(COUNTRY_INFO!F77+COUNTRY_INFO!G77),COUNTRY_INFO!F77+COUNTRY_INFO!G77,COUNTRY_INFO!$M77),0))))</f>
        <v>24140</v>
      </c>
      <c r="E77" s="14">
        <f>IF(AND(INTRO!$E$39="Non endémique",INTRO!$E$37="Non endémique"),"Non requis",IF(INTRO!$E$39="Non endémique","Traiter avec DEC",COUNTRY_INFO!P77))</f>
        <v>1</v>
      </c>
      <c r="F77" s="14">
        <f>IF(INTRO!$E$39&lt;&gt;"Non endémique",COUNTRY_INFO!Q77,"Non requis")</f>
        <v>0</v>
      </c>
      <c r="G77" s="13">
        <f>IF(COUNTRY_INFO!H77=1, IF($E77=1,$D77, 0),0)</f>
        <v>24140</v>
      </c>
      <c r="H77" s="13">
        <f>IF(INTRO!$E$39&lt;&gt;"Endémique",0, IF(AND(COUNTRY_INFO!$I77=1,$F77&lt;&gt;0),IF(COUNTRY_INFO!M77&gt;=(COUNTRY_INFO!F77+COUNTRY_INFO!G77),COUNTRY_INFO!F77+COUNTRY_INFO!G77,COUNTRY_INFO!$M77), 0))</f>
        <v>0</v>
      </c>
      <c r="I77" s="3"/>
      <c r="J77" s="13">
        <f t="shared" si="15"/>
        <v>0</v>
      </c>
      <c r="K77" s="13">
        <f t="shared" si="16"/>
        <v>67592</v>
      </c>
      <c r="L77" s="13">
        <f t="shared" si="17"/>
        <v>0</v>
      </c>
      <c r="M77" s="13">
        <f t="shared" si="18"/>
        <v>0</v>
      </c>
      <c r="N77" s="13">
        <f t="shared" si="19"/>
        <v>67592</v>
      </c>
      <c r="O77" s="24"/>
      <c r="P77" s="15">
        <f t="shared" si="20"/>
        <v>67592</v>
      </c>
      <c r="Q77" s="15">
        <f t="shared" si="21"/>
        <v>136</v>
      </c>
    </row>
    <row r="78" spans="1:17" x14ac:dyDescent="0.4">
      <c r="A78" s="12" t="str">
        <f>IF(INTRO!$E$39="Non endémique"," ",IF(COUNTRY_INFO!A78=0," ",COUNTRY_INFO!A78))</f>
        <v>Mali</v>
      </c>
      <c r="B78" s="12" t="str">
        <f>IF(INTRO!$E$39="Non endémique"," ",IF(COUNTRY_INFO!B78=0," ",COUNTRY_INFO!B78))</f>
        <v>Taoudenit</v>
      </c>
      <c r="C78" s="12" t="str">
        <f>IF(INTRO!$E$39="Non endémique"," ",IF(COUNTRY_INFO!C78=0," ",COUNTRY_INFO!C78))</f>
        <v>Foum-Elba</v>
      </c>
      <c r="D78" s="13">
        <f>IF(INTRO!$E$39="Non endémique",0,IF(INTRO!$E$39="Endémique mais pas de CP",IF(COUNTRY_INFO!$H78=1,COUNTRY_INFO!F78+COUNTRY_INFO!G78,0),IF(COUNTRY_INFO!$H78=1,COUNTRY_INFO!F78+COUNTRY_INFO!G78,IF(COUNTRY_INFO!$I78=1,IF(COUNTRY_INFO!M78&gt;=(COUNTRY_INFO!F78+COUNTRY_INFO!G78),COUNTRY_INFO!F78+COUNTRY_INFO!G78,COUNTRY_INFO!$M78),0))))</f>
        <v>12862</v>
      </c>
      <c r="E78" s="14">
        <f>IF(AND(INTRO!$E$39="Non endémique",INTRO!$E$37="Non endémique"),"Non requis",IF(INTRO!$E$39="Non endémique","Traiter avec DEC",COUNTRY_INFO!P78))</f>
        <v>1</v>
      </c>
      <c r="F78" s="14">
        <f>IF(INTRO!$E$39&lt;&gt;"Non endémique",COUNTRY_INFO!Q78,"Non requis")</f>
        <v>0</v>
      </c>
      <c r="G78" s="13">
        <f>IF(COUNTRY_INFO!H78=1, IF($E78=1,$D78, 0),0)</f>
        <v>12862</v>
      </c>
      <c r="H78" s="13">
        <f>IF(INTRO!$E$39&lt;&gt;"Endémique",0, IF(AND(COUNTRY_INFO!$I78=1,$F78&lt;&gt;0),IF(COUNTRY_INFO!M78&gt;=(COUNTRY_INFO!F78+COUNTRY_INFO!G78),COUNTRY_INFO!F78+COUNTRY_INFO!G78,COUNTRY_INFO!$M78), 0))</f>
        <v>0</v>
      </c>
      <c r="I78" s="3"/>
      <c r="J78" s="13">
        <f t="shared" si="15"/>
        <v>0</v>
      </c>
      <c r="K78" s="13">
        <f t="shared" si="16"/>
        <v>36013.599999999999</v>
      </c>
      <c r="L78" s="13">
        <f t="shared" si="17"/>
        <v>0</v>
      </c>
      <c r="M78" s="13">
        <f t="shared" si="18"/>
        <v>0</v>
      </c>
      <c r="N78" s="13">
        <f t="shared" si="19"/>
        <v>36013.599999999999</v>
      </c>
      <c r="O78" s="24"/>
      <c r="P78" s="15">
        <f t="shared" si="20"/>
        <v>36013.599999999999</v>
      </c>
      <c r="Q78" s="15">
        <f t="shared" si="21"/>
        <v>73</v>
      </c>
    </row>
    <row r="79" spans="1:17" x14ac:dyDescent="0.4">
      <c r="A79" s="12" t="str">
        <f>IF(INTRO!$E$39="Non endémique"," ",IF(COUNTRY_INFO!A79=0," ",COUNTRY_INFO!A79))</f>
        <v>Mali</v>
      </c>
      <c r="B79" s="12" t="str">
        <f>IF(INTRO!$E$39="Non endémique"," ",IF(COUNTRY_INFO!B79=0," ",COUNTRY_INFO!B79))</f>
        <v>Taoudenit</v>
      </c>
      <c r="C79" s="12" t="str">
        <f>IF(INTRO!$E$39="Non endémique"," ",IF(COUNTRY_INFO!C79=0," ",COUNTRY_INFO!C79))</f>
        <v>Taoudenit</v>
      </c>
      <c r="D79" s="13">
        <f>IF(INTRO!$E$39="Non endémique",0,IF(INTRO!$E$39="Endémique mais pas de CP",IF(COUNTRY_INFO!$H79=1,COUNTRY_INFO!F79+COUNTRY_INFO!G79,0),IF(COUNTRY_INFO!$H79=1,COUNTRY_INFO!F79+COUNTRY_INFO!G79,IF(COUNTRY_INFO!$I79=1,IF(COUNTRY_INFO!M79&gt;=(COUNTRY_INFO!F79+COUNTRY_INFO!G79),COUNTRY_INFO!F79+COUNTRY_INFO!G79,COUNTRY_INFO!$M79),0))))</f>
        <v>18432</v>
      </c>
      <c r="E79" s="14">
        <f>IF(AND(INTRO!$E$39="Non endémique",INTRO!$E$37="Non endémique"),"Non requis",IF(INTRO!$E$39="Non endémique","Traiter avec DEC",COUNTRY_INFO!P79))</f>
        <v>1</v>
      </c>
      <c r="F79" s="14">
        <f>IF(INTRO!$E$39&lt;&gt;"Non endémique",COUNTRY_INFO!Q79,"Non requis")</f>
        <v>0</v>
      </c>
      <c r="G79" s="13">
        <f>IF(COUNTRY_INFO!H79=1, IF($E79=1,$D79, 0),0)</f>
        <v>18432</v>
      </c>
      <c r="H79" s="13">
        <f>IF(INTRO!$E$39&lt;&gt;"Endémique",0, IF(AND(COUNTRY_INFO!$I79=1,$F79&lt;&gt;0),IF(COUNTRY_INFO!M79&gt;=(COUNTRY_INFO!F79+COUNTRY_INFO!G79),COUNTRY_INFO!F79+COUNTRY_INFO!G79,COUNTRY_INFO!$M79), 0))</f>
        <v>0</v>
      </c>
      <c r="I79" s="3"/>
      <c r="J79" s="13">
        <f t="shared" si="15"/>
        <v>0</v>
      </c>
      <c r="K79" s="13">
        <f t="shared" si="16"/>
        <v>51609.599999999999</v>
      </c>
      <c r="L79" s="13">
        <f t="shared" si="17"/>
        <v>0</v>
      </c>
      <c r="M79" s="13">
        <f t="shared" si="18"/>
        <v>0</v>
      </c>
      <c r="N79" s="13">
        <f t="shared" si="19"/>
        <v>51609.599999999999</v>
      </c>
      <c r="O79" s="24"/>
      <c r="P79" s="15">
        <f t="shared" si="20"/>
        <v>51609.599999999999</v>
      </c>
      <c r="Q79" s="15">
        <f t="shared" si="21"/>
        <v>104</v>
      </c>
    </row>
    <row r="80" spans="1:17" x14ac:dyDescent="0.4">
      <c r="A80" s="12" t="str">
        <f>IF(INTRO!$E$39="Non endémique"," ",IF(COUNTRY_INFO!A80=0," ",COUNTRY_INFO!A80))</f>
        <v>Mali</v>
      </c>
      <c r="B80" s="12" t="str">
        <f>IF(INTRO!$E$39="Non endémique"," ",IF(COUNTRY_INFO!B80=0," ",COUNTRY_INFO!B80))</f>
        <v>Menaka</v>
      </c>
      <c r="C80" s="12" t="str">
        <f>IF(INTRO!$E$39="Non endémique"," ",IF(COUNTRY_INFO!C80=0," ",COUNTRY_INFO!C80))</f>
        <v>Anderamboukane</v>
      </c>
      <c r="D80" s="13">
        <f>IF(INTRO!$E$39="Non endémique",0,IF(INTRO!$E$39="Endémique mais pas de CP",IF(COUNTRY_INFO!$H80=1,COUNTRY_INFO!F80+COUNTRY_INFO!G80,0),IF(COUNTRY_INFO!$H80=1,COUNTRY_INFO!F80+COUNTRY_INFO!G80,IF(COUNTRY_INFO!$I80=1,IF(COUNTRY_INFO!M80&gt;=(COUNTRY_INFO!F80+COUNTRY_INFO!G80),COUNTRY_INFO!F80+COUNTRY_INFO!G80,COUNTRY_INFO!$M80),0))))</f>
        <v>12573</v>
      </c>
      <c r="E80" s="14">
        <f>IF(AND(INTRO!$E$39="Non endémique",INTRO!$E$37="Non endémique"),"Non requis",IF(INTRO!$E$39="Non endémique","Traiter avec DEC",COUNTRY_INFO!P80))</f>
        <v>1</v>
      </c>
      <c r="F80" s="14">
        <f>IF(INTRO!$E$39&lt;&gt;"Non endémique",COUNTRY_INFO!Q80,"Non requis")</f>
        <v>0</v>
      </c>
      <c r="G80" s="13">
        <f>IF(COUNTRY_INFO!H80=1, IF($E80=1,$D80, 0),0)</f>
        <v>12573</v>
      </c>
      <c r="H80" s="13">
        <f>IF(INTRO!$E$39&lt;&gt;"Endémique",0, IF(AND(COUNTRY_INFO!$I80=1,$F80&lt;&gt;0),IF(COUNTRY_INFO!M80&gt;=(COUNTRY_INFO!F80+COUNTRY_INFO!G80),COUNTRY_INFO!F80+COUNTRY_INFO!G80,COUNTRY_INFO!$M80), 0))</f>
        <v>0</v>
      </c>
      <c r="I80" s="3"/>
      <c r="J80" s="13">
        <f t="shared" si="15"/>
        <v>0</v>
      </c>
      <c r="K80" s="13">
        <f t="shared" si="16"/>
        <v>35204.399999999994</v>
      </c>
      <c r="L80" s="13">
        <f t="shared" si="17"/>
        <v>0</v>
      </c>
      <c r="M80" s="13">
        <f t="shared" si="18"/>
        <v>0</v>
      </c>
      <c r="N80" s="13">
        <f t="shared" si="19"/>
        <v>35204.399999999994</v>
      </c>
      <c r="O80" s="24"/>
      <c r="P80" s="15">
        <f t="shared" si="20"/>
        <v>35204.399999999994</v>
      </c>
      <c r="Q80" s="15">
        <f t="shared" si="21"/>
        <v>71</v>
      </c>
    </row>
    <row r="81" spans="1:17" x14ac:dyDescent="0.4">
      <c r="A81" s="12" t="str">
        <f>IF(INTRO!$E$39="Non endémique"," ",IF(COUNTRY_INFO!A81=0," ",COUNTRY_INFO!A81))</f>
        <v>Mali</v>
      </c>
      <c r="B81" s="12" t="str">
        <f>IF(INTRO!$E$39="Non endémique"," ",IF(COUNTRY_INFO!B81=0," ",COUNTRY_INFO!B81))</f>
        <v>Menaka</v>
      </c>
      <c r="C81" s="12" t="str">
        <f>IF(INTRO!$E$39="Non endémique"," ",IF(COUNTRY_INFO!C81=0," ",COUNTRY_INFO!C81))</f>
        <v>Inekar</v>
      </c>
      <c r="D81" s="13">
        <f>IF(INTRO!$E$39="Non endémique",0,IF(INTRO!$E$39="Endémique mais pas de CP",IF(COUNTRY_INFO!$H81=1,COUNTRY_INFO!F81+COUNTRY_INFO!G81,0),IF(COUNTRY_INFO!$H81=1,COUNTRY_INFO!F81+COUNTRY_INFO!G81,IF(COUNTRY_INFO!$I81=1,IF(COUNTRY_INFO!M81&gt;=(COUNTRY_INFO!F81+COUNTRY_INFO!G81),COUNTRY_INFO!F81+COUNTRY_INFO!G81,COUNTRY_INFO!$M81),0))))</f>
        <v>4789</v>
      </c>
      <c r="E81" s="14">
        <f>IF(AND(INTRO!$E$39="Non endémique",INTRO!$E$37="Non endémique"),"Non requis",IF(INTRO!$E$39="Non endémique","Traiter avec DEC",COUNTRY_INFO!P81))</f>
        <v>1</v>
      </c>
      <c r="F81" s="14">
        <f>IF(INTRO!$E$39&lt;&gt;"Non endémique",COUNTRY_INFO!Q81,"Non requis")</f>
        <v>0</v>
      </c>
      <c r="G81" s="13">
        <f>IF(COUNTRY_INFO!H81=1, IF($E81=1,$D81, 0),0)</f>
        <v>4789</v>
      </c>
      <c r="H81" s="13">
        <f>IF(INTRO!$E$39&lt;&gt;"Endémique",0, IF(AND(COUNTRY_INFO!$I81=1,$F81&lt;&gt;0),IF(COUNTRY_INFO!M81&gt;=(COUNTRY_INFO!F81+COUNTRY_INFO!G81),COUNTRY_INFO!F81+COUNTRY_INFO!G81,COUNTRY_INFO!$M81), 0))</f>
        <v>0</v>
      </c>
      <c r="I81" s="3"/>
      <c r="J81" s="13">
        <f t="shared" si="15"/>
        <v>0</v>
      </c>
      <c r="K81" s="13">
        <f t="shared" si="16"/>
        <v>13409.199999999999</v>
      </c>
      <c r="L81" s="13">
        <f t="shared" si="17"/>
        <v>0</v>
      </c>
      <c r="M81" s="13">
        <f t="shared" si="18"/>
        <v>0</v>
      </c>
      <c r="N81" s="13">
        <f t="shared" si="19"/>
        <v>13409.199999999999</v>
      </c>
      <c r="O81" s="24"/>
      <c r="P81" s="15">
        <f t="shared" si="20"/>
        <v>13409.199999999999</v>
      </c>
      <c r="Q81" s="15">
        <f t="shared" si="21"/>
        <v>27</v>
      </c>
    </row>
    <row r="82" spans="1:17" x14ac:dyDescent="0.4">
      <c r="A82" s="12" t="str">
        <f>IF(INTRO!$E$39="Non endémique"," ",IF(COUNTRY_INFO!A82=0," ",COUNTRY_INFO!A82))</f>
        <v>Mali</v>
      </c>
      <c r="B82" s="12" t="str">
        <f>IF(INTRO!$E$39="Non endémique"," ",IF(COUNTRY_INFO!B82=0," ",COUNTRY_INFO!B82))</f>
        <v>Menaka</v>
      </c>
      <c r="C82" s="12" t="str">
        <f>IF(INTRO!$E$39="Non endémique"," ",IF(COUNTRY_INFO!C82=0," ",COUNTRY_INFO!C82))</f>
        <v>Menaka</v>
      </c>
      <c r="D82" s="13">
        <f>IF(INTRO!$E$39="Non endémique",0,IF(INTRO!$E$39="Endémique mais pas de CP",IF(COUNTRY_INFO!$H82=1,COUNTRY_INFO!F82+COUNTRY_INFO!G82,0),IF(COUNTRY_INFO!$H82=1,COUNTRY_INFO!F82+COUNTRY_INFO!G82,IF(COUNTRY_INFO!$I82=1,IF(COUNTRY_INFO!M82&gt;=(COUNTRY_INFO!F82+COUNTRY_INFO!G82),COUNTRY_INFO!F82+COUNTRY_INFO!G82,COUNTRY_INFO!$M82),0))))</f>
        <v>39514</v>
      </c>
      <c r="E82" s="14">
        <f>IF(AND(INTRO!$E$39="Non endémique",INTRO!$E$37="Non endémique"),"Non requis",IF(INTRO!$E$39="Non endémique","Traiter avec DEC",COUNTRY_INFO!P82))</f>
        <v>1</v>
      </c>
      <c r="F82" s="14">
        <f>IF(INTRO!$E$39&lt;&gt;"Non endémique",COUNTRY_INFO!Q82,"Non requis")</f>
        <v>0</v>
      </c>
      <c r="G82" s="13">
        <f>IF(COUNTRY_INFO!H82=1, IF($E82=1,$D82, 0),0)</f>
        <v>39514</v>
      </c>
      <c r="H82" s="13">
        <f>IF(INTRO!$E$39&lt;&gt;"Endémique",0, IF(AND(COUNTRY_INFO!$I82=1,$F82&lt;&gt;0),IF(COUNTRY_INFO!M82&gt;=(COUNTRY_INFO!F82+COUNTRY_INFO!G82),COUNTRY_INFO!F82+COUNTRY_INFO!G82,COUNTRY_INFO!$M82), 0))</f>
        <v>0</v>
      </c>
      <c r="I82" s="3"/>
      <c r="J82" s="13">
        <f t="shared" si="15"/>
        <v>0</v>
      </c>
      <c r="K82" s="13">
        <f t="shared" si="16"/>
        <v>110639.2</v>
      </c>
      <c r="L82" s="13">
        <f t="shared" si="17"/>
        <v>0</v>
      </c>
      <c r="M82" s="13">
        <f t="shared" si="18"/>
        <v>0</v>
      </c>
      <c r="N82" s="13">
        <f t="shared" si="19"/>
        <v>110639.2</v>
      </c>
      <c r="O82" s="24"/>
      <c r="P82" s="15">
        <f t="shared" si="20"/>
        <v>110639.2</v>
      </c>
      <c r="Q82" s="15">
        <f t="shared" si="21"/>
        <v>222</v>
      </c>
    </row>
    <row r="83" spans="1:17" x14ac:dyDescent="0.4">
      <c r="A83" s="12" t="str">
        <f>IF(INTRO!$E$39="Non endémique"," ",IF(COUNTRY_INFO!A83=0," ",COUNTRY_INFO!A83))</f>
        <v>Mali</v>
      </c>
      <c r="B83" s="12" t="str">
        <f>IF(INTRO!$E$39="Non endémique"," ",IF(COUNTRY_INFO!B83=0," ",COUNTRY_INFO!B83))</f>
        <v>Menaka</v>
      </c>
      <c r="C83" s="12" t="str">
        <f>IF(INTRO!$E$39="Non endémique"," ",IF(COUNTRY_INFO!C83=0," ",COUNTRY_INFO!C83))</f>
        <v>Tidermene</v>
      </c>
      <c r="D83" s="13">
        <f>IF(INTRO!$E$39="Non endémique",0,IF(INTRO!$E$39="Endémique mais pas de CP",IF(COUNTRY_INFO!$H83=1,COUNTRY_INFO!F83+COUNTRY_INFO!G83,0),IF(COUNTRY_INFO!$H83=1,COUNTRY_INFO!F83+COUNTRY_INFO!G83,IF(COUNTRY_INFO!$I83=1,IF(COUNTRY_INFO!M83&gt;=(COUNTRY_INFO!F83+COUNTRY_INFO!G83),COUNTRY_INFO!F83+COUNTRY_INFO!G83,COUNTRY_INFO!$M83),0))))</f>
        <v>2993</v>
      </c>
      <c r="E83" s="14">
        <f>IF(AND(INTRO!$E$39="Non endémique",INTRO!$E$37="Non endémique"),"Non requis",IF(INTRO!$E$39="Non endémique","Traiter avec DEC",COUNTRY_INFO!P83))</f>
        <v>1</v>
      </c>
      <c r="F83" s="14">
        <f>IF(INTRO!$E$39&lt;&gt;"Non endémique",COUNTRY_INFO!Q83,"Non requis")</f>
        <v>0</v>
      </c>
      <c r="G83" s="13">
        <f>IF(COUNTRY_INFO!H83=1, IF($E83=1,$D83, 0),0)</f>
        <v>2993</v>
      </c>
      <c r="H83" s="13">
        <f>IF(INTRO!$E$39&lt;&gt;"Endémique",0, IF(AND(COUNTRY_INFO!$I83=1,$F83&lt;&gt;0),IF(COUNTRY_INFO!M83&gt;=(COUNTRY_INFO!F83+COUNTRY_INFO!G83),COUNTRY_INFO!F83+COUNTRY_INFO!G83,COUNTRY_INFO!$M83), 0))</f>
        <v>0</v>
      </c>
      <c r="I83" s="3"/>
      <c r="J83" s="13">
        <f t="shared" si="15"/>
        <v>0</v>
      </c>
      <c r="K83" s="13">
        <f t="shared" si="16"/>
        <v>8380.4</v>
      </c>
      <c r="L83" s="13">
        <f t="shared" si="17"/>
        <v>0</v>
      </c>
      <c r="M83" s="13">
        <f t="shared" si="18"/>
        <v>0</v>
      </c>
      <c r="N83" s="13">
        <f t="shared" si="19"/>
        <v>8380.4</v>
      </c>
      <c r="O83" s="24"/>
      <c r="P83" s="15">
        <f t="shared" si="20"/>
        <v>8380.4</v>
      </c>
      <c r="Q83" s="15">
        <f t="shared" si="21"/>
        <v>17</v>
      </c>
    </row>
    <row r="84" spans="1:17" x14ac:dyDescent="0.4">
      <c r="A84"/>
      <c r="B84"/>
      <c r="C84"/>
      <c r="D84"/>
      <c r="E84"/>
      <c r="F84"/>
      <c r="G84"/>
      <c r="H84"/>
      <c r="I84"/>
      <c r="J84"/>
      <c r="K84"/>
      <c r="L84"/>
      <c r="M84"/>
      <c r="N84"/>
      <c r="O84"/>
      <c r="P84"/>
      <c r="Q84"/>
    </row>
    <row r="85" spans="1:17" x14ac:dyDescent="0.4">
      <c r="A85"/>
      <c r="B85"/>
      <c r="C85"/>
      <c r="D85"/>
      <c r="E85"/>
      <c r="F85"/>
      <c r="G85"/>
      <c r="H85"/>
      <c r="I85"/>
      <c r="J85"/>
      <c r="K85"/>
      <c r="L85"/>
      <c r="M85"/>
      <c r="N85"/>
      <c r="O85"/>
      <c r="P85"/>
      <c r="Q85"/>
    </row>
    <row r="86" spans="1:17" x14ac:dyDescent="0.4">
      <c r="A86"/>
      <c r="B86"/>
      <c r="C86"/>
      <c r="D86"/>
      <c r="E86"/>
      <c r="F86"/>
      <c r="G86"/>
      <c r="H86"/>
      <c r="I86"/>
      <c r="J86"/>
      <c r="K86"/>
      <c r="L86"/>
      <c r="M86"/>
      <c r="N86"/>
      <c r="O86"/>
      <c r="P86"/>
      <c r="Q86"/>
    </row>
    <row r="87" spans="1:17" x14ac:dyDescent="0.4">
      <c r="A87"/>
      <c r="B87"/>
      <c r="C87"/>
      <c r="D87"/>
      <c r="E87"/>
      <c r="F87"/>
      <c r="G87"/>
      <c r="H87"/>
      <c r="I87"/>
      <c r="J87"/>
      <c r="K87"/>
      <c r="L87"/>
      <c r="M87"/>
      <c r="N87"/>
      <c r="O87"/>
      <c r="P87"/>
      <c r="Q87"/>
    </row>
    <row r="88" spans="1:17" x14ac:dyDescent="0.4">
      <c r="A88"/>
      <c r="B88"/>
      <c r="C88"/>
      <c r="D88"/>
      <c r="E88"/>
      <c r="F88"/>
      <c r="G88"/>
      <c r="H88"/>
      <c r="I88"/>
      <c r="J88"/>
      <c r="K88"/>
      <c r="L88"/>
      <c r="M88"/>
      <c r="N88"/>
      <c r="O88"/>
      <c r="P88"/>
      <c r="Q88"/>
    </row>
    <row r="89" spans="1:17" x14ac:dyDescent="0.4">
      <c r="A89"/>
      <c r="B89"/>
      <c r="C89"/>
      <c r="D89"/>
      <c r="E89"/>
      <c r="F89"/>
      <c r="G89"/>
      <c r="H89"/>
      <c r="I89"/>
      <c r="J89"/>
      <c r="K89"/>
      <c r="L89"/>
      <c r="M89"/>
      <c r="N89"/>
      <c r="O89"/>
      <c r="P89"/>
      <c r="Q89"/>
    </row>
    <row r="90" spans="1:17" x14ac:dyDescent="0.4">
      <c r="A90"/>
      <c r="B90"/>
      <c r="C90"/>
      <c r="D90"/>
      <c r="E90"/>
      <c r="F90"/>
      <c r="G90"/>
      <c r="H90"/>
      <c r="I90"/>
      <c r="J90"/>
      <c r="K90"/>
      <c r="L90"/>
      <c r="M90"/>
      <c r="N90"/>
      <c r="O90"/>
      <c r="P90"/>
      <c r="Q90"/>
    </row>
    <row r="91" spans="1:17" x14ac:dyDescent="0.4">
      <c r="A91"/>
      <c r="B91"/>
      <c r="C91"/>
      <c r="D91"/>
      <c r="E91"/>
      <c r="F91"/>
      <c r="G91"/>
      <c r="H91"/>
      <c r="I91"/>
      <c r="J91"/>
      <c r="K91"/>
      <c r="L91"/>
      <c r="M91"/>
      <c r="N91"/>
      <c r="O91"/>
      <c r="P91"/>
      <c r="Q91"/>
    </row>
    <row r="92" spans="1:17" x14ac:dyDescent="0.4">
      <c r="A92"/>
      <c r="B92"/>
      <c r="C92"/>
      <c r="D92"/>
      <c r="E92"/>
      <c r="F92"/>
      <c r="G92"/>
      <c r="H92"/>
      <c r="I92"/>
      <c r="J92"/>
      <c r="K92"/>
      <c r="L92"/>
      <c r="M92"/>
      <c r="N92"/>
      <c r="O92"/>
      <c r="P92"/>
      <c r="Q92"/>
    </row>
    <row r="93" spans="1:17" x14ac:dyDescent="0.4">
      <c r="A93"/>
      <c r="B93"/>
      <c r="C93"/>
      <c r="D93"/>
      <c r="E93"/>
      <c r="F93"/>
      <c r="G93"/>
      <c r="H93"/>
      <c r="I93"/>
      <c r="J93"/>
      <c r="K93"/>
      <c r="L93"/>
      <c r="M93"/>
      <c r="N93"/>
      <c r="O93"/>
      <c r="P93"/>
      <c r="Q93"/>
    </row>
    <row r="94" spans="1:17" x14ac:dyDescent="0.4">
      <c r="A94"/>
      <c r="B94"/>
      <c r="C94"/>
      <c r="D94"/>
      <c r="E94"/>
      <c r="F94"/>
      <c r="G94"/>
      <c r="H94"/>
      <c r="I94"/>
      <c r="J94"/>
      <c r="K94"/>
      <c r="L94"/>
      <c r="M94"/>
      <c r="N94"/>
      <c r="O94"/>
      <c r="P94"/>
      <c r="Q94"/>
    </row>
    <row r="95" spans="1:17" x14ac:dyDescent="0.4">
      <c r="A95"/>
      <c r="B95"/>
      <c r="C95"/>
      <c r="D95"/>
      <c r="E95"/>
      <c r="F95"/>
      <c r="G95"/>
      <c r="H95"/>
      <c r="I95"/>
      <c r="J95"/>
      <c r="K95"/>
      <c r="L95"/>
      <c r="M95"/>
      <c r="N95"/>
      <c r="O95"/>
      <c r="P95"/>
      <c r="Q95"/>
    </row>
    <row r="96" spans="1:17" x14ac:dyDescent="0.4">
      <c r="A96"/>
      <c r="B96"/>
      <c r="C96"/>
      <c r="D96"/>
      <c r="E96"/>
      <c r="F96"/>
      <c r="G96"/>
      <c r="H96"/>
      <c r="I96"/>
      <c r="J96"/>
      <c r="K96"/>
      <c r="L96"/>
      <c r="M96"/>
      <c r="N96"/>
      <c r="O96"/>
      <c r="P96"/>
      <c r="Q96"/>
    </row>
    <row r="97" spans="1:17" x14ac:dyDescent="0.4">
      <c r="A97"/>
      <c r="B97"/>
      <c r="C97"/>
      <c r="D97"/>
      <c r="E97"/>
      <c r="F97"/>
      <c r="G97"/>
      <c r="H97"/>
      <c r="I97"/>
      <c r="J97"/>
      <c r="K97"/>
      <c r="L97"/>
      <c r="M97"/>
      <c r="N97"/>
      <c r="O97"/>
      <c r="P97"/>
      <c r="Q97"/>
    </row>
    <row r="98" spans="1:17" x14ac:dyDescent="0.4">
      <c r="A98"/>
      <c r="B98"/>
      <c r="C98"/>
      <c r="D98"/>
      <c r="E98"/>
      <c r="F98"/>
      <c r="G98"/>
      <c r="H98"/>
      <c r="I98"/>
      <c r="J98"/>
      <c r="K98"/>
      <c r="L98"/>
      <c r="M98"/>
      <c r="N98"/>
      <c r="O98"/>
      <c r="P98"/>
      <c r="Q98"/>
    </row>
    <row r="99" spans="1:17" x14ac:dyDescent="0.4">
      <c r="A99"/>
      <c r="B99"/>
      <c r="C99"/>
      <c r="D99"/>
      <c r="E99"/>
      <c r="F99"/>
      <c r="G99"/>
      <c r="H99"/>
      <c r="I99"/>
      <c r="J99"/>
      <c r="K99"/>
      <c r="L99"/>
      <c r="M99"/>
      <c r="N99"/>
      <c r="O99"/>
      <c r="P99"/>
      <c r="Q99"/>
    </row>
    <row r="100" spans="1:17" x14ac:dyDescent="0.4">
      <c r="A100"/>
      <c r="B100"/>
      <c r="C100"/>
      <c r="D100"/>
      <c r="E100"/>
      <c r="F100"/>
      <c r="G100"/>
      <c r="H100"/>
      <c r="I100"/>
      <c r="J100"/>
      <c r="K100"/>
      <c r="L100"/>
      <c r="M100"/>
      <c r="N100"/>
      <c r="O100"/>
      <c r="P100"/>
      <c r="Q100"/>
    </row>
    <row r="101" spans="1:17" x14ac:dyDescent="0.4">
      <c r="A101"/>
      <c r="B101"/>
      <c r="C101"/>
      <c r="D101"/>
      <c r="E101"/>
      <c r="F101"/>
      <c r="G101"/>
      <c r="H101"/>
      <c r="I101"/>
      <c r="J101"/>
      <c r="K101"/>
      <c r="L101"/>
      <c r="M101"/>
      <c r="N101"/>
      <c r="O101"/>
      <c r="P101"/>
      <c r="Q101"/>
    </row>
    <row r="102" spans="1:17" x14ac:dyDescent="0.4">
      <c r="A102"/>
      <c r="B102"/>
      <c r="C102"/>
      <c r="D102"/>
      <c r="E102"/>
      <c r="F102"/>
      <c r="G102"/>
      <c r="H102"/>
      <c r="I102"/>
      <c r="J102"/>
      <c r="K102"/>
      <c r="L102"/>
      <c r="M102"/>
      <c r="N102"/>
      <c r="O102"/>
      <c r="P102"/>
      <c r="Q102"/>
    </row>
    <row r="103" spans="1:17" x14ac:dyDescent="0.4">
      <c r="A103"/>
      <c r="B103"/>
      <c r="C103"/>
      <c r="D103"/>
      <c r="E103"/>
      <c r="F103"/>
      <c r="G103"/>
      <c r="H103"/>
      <c r="I103"/>
      <c r="J103"/>
      <c r="K103"/>
      <c r="L103"/>
      <c r="M103"/>
      <c r="N103"/>
      <c r="O103"/>
      <c r="P103"/>
      <c r="Q103"/>
    </row>
    <row r="104" spans="1:17" x14ac:dyDescent="0.4">
      <c r="A104"/>
      <c r="B104"/>
      <c r="C104"/>
      <c r="D104"/>
      <c r="E104"/>
      <c r="F104"/>
      <c r="G104"/>
      <c r="H104"/>
      <c r="I104"/>
      <c r="J104"/>
      <c r="K104"/>
      <c r="L104"/>
      <c r="M104"/>
      <c r="N104"/>
      <c r="O104"/>
      <c r="P104"/>
      <c r="Q104"/>
    </row>
    <row r="105" spans="1:17" x14ac:dyDescent="0.4">
      <c r="A105"/>
      <c r="B105"/>
      <c r="C105"/>
      <c r="D105"/>
      <c r="E105"/>
      <c r="F105"/>
      <c r="G105"/>
      <c r="H105"/>
      <c r="I105"/>
      <c r="J105"/>
      <c r="K105"/>
      <c r="L105"/>
      <c r="M105"/>
      <c r="N105"/>
      <c r="O105"/>
      <c r="P105"/>
      <c r="Q105"/>
    </row>
    <row r="106" spans="1:17" x14ac:dyDescent="0.4">
      <c r="A106"/>
      <c r="B106"/>
      <c r="C106"/>
      <c r="D106"/>
      <c r="E106"/>
      <c r="F106"/>
      <c r="G106"/>
      <c r="H106"/>
      <c r="I106"/>
      <c r="J106"/>
      <c r="K106"/>
      <c r="L106"/>
      <c r="M106"/>
      <c r="N106"/>
      <c r="O106"/>
      <c r="P106"/>
      <c r="Q106"/>
    </row>
    <row r="107" spans="1:17" x14ac:dyDescent="0.4">
      <c r="A107"/>
      <c r="B107"/>
      <c r="C107"/>
      <c r="D107"/>
      <c r="E107"/>
      <c r="F107"/>
      <c r="G107"/>
      <c r="H107"/>
      <c r="I107"/>
      <c r="J107"/>
      <c r="K107"/>
      <c r="L107"/>
      <c r="M107"/>
      <c r="N107"/>
      <c r="O107"/>
      <c r="P107"/>
      <c r="Q107"/>
    </row>
    <row r="108" spans="1:17" x14ac:dyDescent="0.4">
      <c r="A108"/>
      <c r="B108"/>
      <c r="C108"/>
      <c r="D108"/>
      <c r="E108"/>
      <c r="F108"/>
      <c r="G108"/>
      <c r="H108"/>
      <c r="I108"/>
      <c r="J108"/>
      <c r="K108"/>
      <c r="L108"/>
      <c r="M108"/>
      <c r="N108"/>
      <c r="O108"/>
      <c r="P108"/>
      <c r="Q108"/>
    </row>
    <row r="109" spans="1:17" x14ac:dyDescent="0.4">
      <c r="A109"/>
      <c r="B109"/>
      <c r="C109"/>
      <c r="D109"/>
      <c r="E109"/>
      <c r="F109"/>
      <c r="G109"/>
      <c r="H109"/>
      <c r="I109"/>
      <c r="J109"/>
      <c r="K109"/>
      <c r="L109"/>
      <c r="M109"/>
      <c r="N109"/>
      <c r="O109"/>
      <c r="P109"/>
      <c r="Q109"/>
    </row>
    <row r="110" spans="1:17" x14ac:dyDescent="0.4">
      <c r="A110"/>
      <c r="B110"/>
      <c r="C110"/>
      <c r="D110"/>
      <c r="E110"/>
      <c r="F110"/>
      <c r="G110"/>
      <c r="H110"/>
      <c r="I110"/>
      <c r="J110"/>
      <c r="K110"/>
      <c r="L110"/>
      <c r="M110"/>
      <c r="N110"/>
      <c r="O110"/>
      <c r="P110"/>
      <c r="Q110"/>
    </row>
    <row r="111" spans="1:17" x14ac:dyDescent="0.4">
      <c r="A111"/>
      <c r="B111"/>
      <c r="C111"/>
      <c r="D111"/>
      <c r="E111"/>
      <c r="F111"/>
      <c r="G111"/>
      <c r="H111"/>
      <c r="I111"/>
      <c r="J111"/>
      <c r="K111"/>
      <c r="L111"/>
      <c r="M111"/>
      <c r="N111"/>
      <c r="O111"/>
      <c r="P111"/>
      <c r="Q111"/>
    </row>
    <row r="112" spans="1:17" x14ac:dyDescent="0.4">
      <c r="A112"/>
      <c r="B112"/>
      <c r="C112"/>
      <c r="D112"/>
      <c r="E112"/>
      <c r="F112"/>
      <c r="G112"/>
      <c r="H112"/>
      <c r="I112"/>
      <c r="J112"/>
      <c r="K112"/>
      <c r="L112"/>
      <c r="M112"/>
      <c r="N112"/>
      <c r="O112"/>
      <c r="P112"/>
      <c r="Q112"/>
    </row>
    <row r="113" spans="1:17" x14ac:dyDescent="0.4">
      <c r="A113"/>
      <c r="B113"/>
      <c r="C113"/>
      <c r="D113"/>
      <c r="E113"/>
      <c r="F113"/>
      <c r="G113"/>
      <c r="H113"/>
      <c r="I113"/>
      <c r="J113"/>
      <c r="K113"/>
      <c r="L113"/>
      <c r="M113"/>
      <c r="N113"/>
      <c r="O113"/>
      <c r="P113"/>
      <c r="Q113"/>
    </row>
    <row r="114" spans="1:17" x14ac:dyDescent="0.4">
      <c r="A114"/>
      <c r="B114"/>
      <c r="C114"/>
      <c r="D114"/>
      <c r="E114"/>
      <c r="F114"/>
      <c r="G114"/>
      <c r="H114"/>
      <c r="I114"/>
      <c r="J114"/>
      <c r="K114"/>
      <c r="L114"/>
      <c r="M114"/>
      <c r="N114"/>
      <c r="O114"/>
      <c r="P114"/>
      <c r="Q114"/>
    </row>
    <row r="115" spans="1:17" x14ac:dyDescent="0.4">
      <c r="A115"/>
      <c r="B115"/>
      <c r="C115"/>
      <c r="D115"/>
      <c r="E115"/>
      <c r="F115"/>
      <c r="G115"/>
      <c r="H115"/>
      <c r="I115"/>
      <c r="J115"/>
      <c r="K115"/>
      <c r="L115"/>
      <c r="M115"/>
      <c r="N115"/>
      <c r="O115"/>
      <c r="P115"/>
      <c r="Q115"/>
    </row>
    <row r="116" spans="1:17" x14ac:dyDescent="0.4">
      <c r="A116"/>
      <c r="B116"/>
      <c r="C116"/>
      <c r="D116"/>
      <c r="E116"/>
      <c r="F116"/>
      <c r="G116"/>
      <c r="H116"/>
      <c r="I116"/>
      <c r="J116"/>
      <c r="K116"/>
      <c r="L116"/>
      <c r="M116"/>
      <c r="N116"/>
      <c r="O116"/>
      <c r="P116"/>
      <c r="Q116"/>
    </row>
    <row r="117" spans="1:17" x14ac:dyDescent="0.4">
      <c r="A117"/>
      <c r="B117"/>
      <c r="C117"/>
      <c r="D117"/>
      <c r="E117"/>
      <c r="F117"/>
      <c r="G117"/>
      <c r="H117"/>
      <c r="I117"/>
      <c r="J117"/>
      <c r="K117"/>
      <c r="L117"/>
      <c r="M117"/>
      <c r="N117"/>
      <c r="O117"/>
      <c r="P117"/>
      <c r="Q117"/>
    </row>
    <row r="118" spans="1:17" x14ac:dyDescent="0.4">
      <c r="A118"/>
      <c r="B118"/>
      <c r="C118"/>
      <c r="D118"/>
      <c r="E118"/>
      <c r="F118"/>
      <c r="G118"/>
      <c r="H118"/>
      <c r="I118"/>
      <c r="J118"/>
      <c r="K118"/>
      <c r="L118"/>
      <c r="M118"/>
      <c r="N118"/>
      <c r="O118"/>
      <c r="P118"/>
      <c r="Q118"/>
    </row>
    <row r="119" spans="1:17" x14ac:dyDescent="0.4">
      <c r="A119"/>
      <c r="B119"/>
      <c r="C119"/>
      <c r="D119"/>
      <c r="E119"/>
      <c r="F119"/>
      <c r="G119"/>
      <c r="H119"/>
      <c r="I119"/>
      <c r="J119"/>
      <c r="K119"/>
      <c r="L119"/>
      <c r="M119"/>
      <c r="N119"/>
      <c r="O119"/>
      <c r="P119"/>
      <c r="Q119"/>
    </row>
    <row r="120" spans="1:17" x14ac:dyDescent="0.4">
      <c r="A120"/>
      <c r="B120"/>
      <c r="C120"/>
      <c r="D120"/>
      <c r="E120"/>
      <c r="F120"/>
      <c r="G120"/>
      <c r="H120"/>
      <c r="I120"/>
      <c r="J120"/>
      <c r="K120"/>
      <c r="L120"/>
      <c r="M120"/>
      <c r="N120"/>
      <c r="O120"/>
      <c r="P120"/>
      <c r="Q120"/>
    </row>
    <row r="121" spans="1:17" x14ac:dyDescent="0.4">
      <c r="A121"/>
      <c r="B121"/>
      <c r="C121"/>
      <c r="D121"/>
      <c r="E121"/>
      <c r="F121"/>
      <c r="G121"/>
      <c r="H121"/>
      <c r="I121"/>
      <c r="J121"/>
      <c r="K121"/>
      <c r="L121"/>
      <c r="M121"/>
      <c r="N121"/>
      <c r="O121"/>
      <c r="P121"/>
      <c r="Q121"/>
    </row>
    <row r="122" spans="1:17" x14ac:dyDescent="0.4">
      <c r="A122"/>
      <c r="B122"/>
      <c r="C122"/>
      <c r="D122"/>
      <c r="E122"/>
      <c r="F122"/>
      <c r="G122"/>
      <c r="H122"/>
      <c r="I122"/>
      <c r="J122"/>
      <c r="K122"/>
      <c r="L122"/>
      <c r="M122"/>
      <c r="N122"/>
      <c r="O122"/>
      <c r="P122"/>
      <c r="Q122"/>
    </row>
    <row r="123" spans="1:17" x14ac:dyDescent="0.4">
      <c r="A123"/>
      <c r="B123"/>
      <c r="C123"/>
      <c r="D123"/>
      <c r="E123"/>
      <c r="F123"/>
      <c r="G123"/>
      <c r="H123"/>
      <c r="I123"/>
      <c r="J123"/>
      <c r="K123"/>
      <c r="L123"/>
      <c r="M123"/>
      <c r="N123"/>
      <c r="O123"/>
      <c r="P123"/>
      <c r="Q123"/>
    </row>
    <row r="124" spans="1:17" x14ac:dyDescent="0.4">
      <c r="A124"/>
      <c r="B124"/>
      <c r="C124"/>
      <c r="D124"/>
      <c r="E124"/>
      <c r="F124"/>
      <c r="G124"/>
      <c r="H124"/>
      <c r="I124"/>
      <c r="J124"/>
      <c r="K124"/>
      <c r="L124"/>
      <c r="M124"/>
      <c r="N124"/>
      <c r="O124"/>
      <c r="P124"/>
      <c r="Q124"/>
    </row>
    <row r="125" spans="1:17" x14ac:dyDescent="0.4">
      <c r="A125"/>
      <c r="B125"/>
      <c r="C125"/>
      <c r="D125"/>
      <c r="E125"/>
      <c r="F125"/>
      <c r="G125"/>
      <c r="H125"/>
      <c r="I125"/>
      <c r="J125"/>
      <c r="K125"/>
      <c r="L125"/>
      <c r="M125"/>
      <c r="N125"/>
      <c r="O125"/>
      <c r="P125"/>
      <c r="Q125"/>
    </row>
    <row r="126" spans="1:17" x14ac:dyDescent="0.4">
      <c r="A126"/>
      <c r="B126"/>
      <c r="C126"/>
      <c r="D126"/>
      <c r="E126"/>
      <c r="F126"/>
      <c r="G126"/>
      <c r="H126"/>
      <c r="I126"/>
      <c r="J126"/>
      <c r="K126"/>
      <c r="L126"/>
      <c r="M126"/>
      <c r="N126"/>
      <c r="O126"/>
      <c r="P126"/>
      <c r="Q126"/>
    </row>
    <row r="127" spans="1:17" x14ac:dyDescent="0.4">
      <c r="A127"/>
      <c r="B127"/>
      <c r="C127"/>
      <c r="D127"/>
      <c r="E127"/>
      <c r="F127"/>
      <c r="G127"/>
      <c r="H127"/>
      <c r="I127"/>
      <c r="J127"/>
      <c r="K127"/>
      <c r="L127"/>
      <c r="M127"/>
      <c r="N127"/>
      <c r="O127"/>
      <c r="P127"/>
      <c r="Q127"/>
    </row>
    <row r="128" spans="1:17" x14ac:dyDescent="0.4">
      <c r="A128"/>
      <c r="B128"/>
      <c r="C128"/>
      <c r="D128"/>
      <c r="E128"/>
      <c r="F128"/>
      <c r="G128"/>
      <c r="H128"/>
      <c r="I128"/>
      <c r="J128"/>
      <c r="K128"/>
      <c r="L128"/>
      <c r="M128"/>
      <c r="N128"/>
      <c r="O128"/>
      <c r="P128"/>
      <c r="Q128"/>
    </row>
    <row r="129" spans="1:17" x14ac:dyDescent="0.4">
      <c r="A129"/>
      <c r="B129"/>
      <c r="C129"/>
      <c r="D129"/>
      <c r="E129"/>
      <c r="F129"/>
      <c r="G129"/>
      <c r="H129"/>
      <c r="I129"/>
      <c r="J129"/>
      <c r="K129"/>
      <c r="L129"/>
      <c r="M129"/>
      <c r="N129"/>
      <c r="O129"/>
      <c r="P129"/>
      <c r="Q129"/>
    </row>
    <row r="130" spans="1:17" x14ac:dyDescent="0.4">
      <c r="A130"/>
      <c r="B130"/>
      <c r="C130"/>
      <c r="D130"/>
      <c r="E130"/>
      <c r="F130"/>
      <c r="G130"/>
      <c r="H130"/>
      <c r="I130"/>
      <c r="J130"/>
      <c r="K130"/>
      <c r="L130"/>
      <c r="M130"/>
      <c r="N130"/>
      <c r="O130"/>
      <c r="P130"/>
      <c r="Q130"/>
    </row>
    <row r="131" spans="1:17" x14ac:dyDescent="0.4">
      <c r="A131"/>
      <c r="B131"/>
      <c r="C131"/>
      <c r="D131"/>
      <c r="E131"/>
      <c r="F131"/>
      <c r="G131"/>
      <c r="H131"/>
      <c r="I131"/>
      <c r="J131"/>
      <c r="K131"/>
      <c r="L131"/>
      <c r="M131"/>
      <c r="N131"/>
      <c r="O131"/>
      <c r="P131"/>
      <c r="Q131"/>
    </row>
    <row r="132" spans="1:17" x14ac:dyDescent="0.4">
      <c r="A132"/>
      <c r="B132"/>
      <c r="C132"/>
      <c r="D132"/>
      <c r="E132"/>
      <c r="F132"/>
      <c r="G132"/>
      <c r="H132"/>
      <c r="I132"/>
      <c r="J132"/>
      <c r="K132"/>
      <c r="L132"/>
      <c r="M132"/>
      <c r="N132"/>
      <c r="O132"/>
      <c r="P132"/>
      <c r="Q132"/>
    </row>
    <row r="133" spans="1:17" x14ac:dyDescent="0.4">
      <c r="A133"/>
      <c r="B133"/>
      <c r="C133"/>
      <c r="D133"/>
      <c r="E133"/>
      <c r="F133"/>
      <c r="G133"/>
      <c r="H133"/>
      <c r="I133"/>
      <c r="J133"/>
      <c r="K133"/>
      <c r="L133"/>
      <c r="M133"/>
      <c r="N133"/>
      <c r="O133"/>
      <c r="P133"/>
      <c r="Q133"/>
    </row>
    <row r="134" spans="1:17" x14ac:dyDescent="0.4">
      <c r="A134"/>
      <c r="B134"/>
      <c r="C134"/>
      <c r="D134"/>
      <c r="E134"/>
      <c r="F134"/>
      <c r="G134"/>
      <c r="H134"/>
      <c r="I134"/>
      <c r="J134"/>
      <c r="K134"/>
      <c r="L134"/>
      <c r="M134"/>
      <c r="N134"/>
      <c r="O134"/>
      <c r="P134"/>
      <c r="Q134"/>
    </row>
    <row r="135" spans="1:17" x14ac:dyDescent="0.4">
      <c r="A135"/>
      <c r="B135"/>
      <c r="C135"/>
      <c r="D135"/>
      <c r="E135"/>
      <c r="F135"/>
      <c r="G135"/>
      <c r="H135"/>
      <c r="I135"/>
      <c r="J135"/>
      <c r="K135"/>
      <c r="L135"/>
      <c r="M135"/>
      <c r="N135"/>
      <c r="O135"/>
      <c r="P135"/>
      <c r="Q135"/>
    </row>
    <row r="136" spans="1:17" x14ac:dyDescent="0.4">
      <c r="A136"/>
      <c r="B136"/>
      <c r="C136"/>
      <c r="D136"/>
      <c r="E136"/>
      <c r="F136"/>
      <c r="G136"/>
      <c r="H136"/>
      <c r="I136"/>
      <c r="J136"/>
      <c r="K136"/>
      <c r="L136"/>
      <c r="M136"/>
      <c r="N136"/>
      <c r="O136"/>
      <c r="P136"/>
      <c r="Q136"/>
    </row>
    <row r="137" spans="1:17" x14ac:dyDescent="0.4">
      <c r="A137"/>
      <c r="B137"/>
      <c r="C137"/>
      <c r="D137"/>
      <c r="E137"/>
      <c r="F137"/>
      <c r="G137"/>
      <c r="H137"/>
      <c r="I137"/>
      <c r="J137"/>
      <c r="K137"/>
      <c r="L137"/>
      <c r="M137"/>
      <c r="N137"/>
      <c r="O137"/>
      <c r="P137"/>
      <c r="Q137"/>
    </row>
    <row r="138" spans="1:17" x14ac:dyDescent="0.4">
      <c r="A138"/>
      <c r="B138"/>
      <c r="C138"/>
      <c r="D138"/>
      <c r="E138"/>
      <c r="F138"/>
      <c r="G138"/>
      <c r="H138"/>
      <c r="I138"/>
      <c r="J138"/>
      <c r="K138"/>
      <c r="L138"/>
      <c r="M138"/>
      <c r="N138"/>
      <c r="O138"/>
      <c r="P138"/>
      <c r="Q138"/>
    </row>
    <row r="139" spans="1:17" x14ac:dyDescent="0.4">
      <c r="A139"/>
      <c r="B139"/>
      <c r="C139"/>
      <c r="D139"/>
      <c r="E139"/>
      <c r="F139"/>
      <c r="G139"/>
      <c r="H139"/>
      <c r="I139"/>
      <c r="J139"/>
      <c r="K139"/>
      <c r="L139"/>
      <c r="M139"/>
      <c r="N139"/>
      <c r="O139"/>
      <c r="P139"/>
      <c r="Q139"/>
    </row>
    <row r="140" spans="1:17" x14ac:dyDescent="0.4">
      <c r="A140"/>
      <c r="B140"/>
      <c r="C140"/>
      <c r="D140"/>
      <c r="E140"/>
      <c r="F140"/>
      <c r="G140"/>
      <c r="H140"/>
      <c r="I140"/>
      <c r="J140"/>
      <c r="K140"/>
      <c r="L140"/>
      <c r="M140"/>
      <c r="N140"/>
      <c r="O140"/>
      <c r="P140"/>
      <c r="Q140"/>
    </row>
    <row r="141" spans="1:17" x14ac:dyDescent="0.4">
      <c r="A141"/>
      <c r="B141"/>
      <c r="C141"/>
      <c r="D141"/>
      <c r="E141"/>
      <c r="F141"/>
      <c r="G141"/>
      <c r="H141"/>
      <c r="I141"/>
      <c r="J141"/>
      <c r="K141"/>
      <c r="L141"/>
      <c r="M141"/>
      <c r="N141"/>
      <c r="O141"/>
      <c r="P141"/>
      <c r="Q141"/>
    </row>
    <row r="142" spans="1:17" x14ac:dyDescent="0.4">
      <c r="A142"/>
      <c r="B142"/>
      <c r="C142"/>
      <c r="D142"/>
      <c r="E142"/>
      <c r="F142"/>
      <c r="G142"/>
      <c r="H142"/>
      <c r="I142"/>
      <c r="J142"/>
      <c r="K142"/>
      <c r="L142"/>
      <c r="M142"/>
      <c r="N142"/>
      <c r="O142"/>
      <c r="P142"/>
      <c r="Q142"/>
    </row>
    <row r="143" spans="1:17" x14ac:dyDescent="0.4">
      <c r="A143"/>
      <c r="B143"/>
      <c r="C143"/>
      <c r="D143"/>
      <c r="E143"/>
      <c r="F143"/>
      <c r="G143"/>
      <c r="H143"/>
      <c r="I143"/>
      <c r="J143"/>
      <c r="K143"/>
      <c r="L143"/>
      <c r="M143"/>
      <c r="N143"/>
      <c r="O143"/>
      <c r="P143"/>
      <c r="Q143"/>
    </row>
    <row r="144" spans="1:17" x14ac:dyDescent="0.4">
      <c r="A144"/>
      <c r="B144"/>
      <c r="C144"/>
      <c r="D144"/>
      <c r="E144"/>
      <c r="F144"/>
      <c r="G144"/>
      <c r="H144"/>
      <c r="I144"/>
      <c r="J144"/>
      <c r="K144"/>
      <c r="L144"/>
      <c r="M144"/>
      <c r="N144"/>
      <c r="O144"/>
      <c r="P144"/>
      <c r="Q144"/>
    </row>
    <row r="145" spans="1:17" x14ac:dyDescent="0.4">
      <c r="A145"/>
      <c r="B145"/>
      <c r="C145"/>
      <c r="D145"/>
      <c r="E145"/>
      <c r="F145"/>
      <c r="G145"/>
      <c r="H145"/>
      <c r="I145"/>
      <c r="J145"/>
      <c r="K145"/>
      <c r="L145"/>
      <c r="M145"/>
      <c r="N145"/>
      <c r="O145"/>
      <c r="P145"/>
      <c r="Q145"/>
    </row>
    <row r="146" spans="1:17" x14ac:dyDescent="0.4">
      <c r="A146"/>
      <c r="B146"/>
      <c r="C146"/>
      <c r="D146"/>
      <c r="E146"/>
      <c r="F146"/>
      <c r="G146"/>
      <c r="H146"/>
      <c r="I146"/>
      <c r="J146"/>
      <c r="K146"/>
      <c r="L146"/>
      <c r="M146"/>
      <c r="N146"/>
      <c r="O146"/>
      <c r="P146"/>
      <c r="Q146"/>
    </row>
    <row r="147" spans="1:17" x14ac:dyDescent="0.4">
      <c r="A147"/>
      <c r="B147"/>
      <c r="C147"/>
      <c r="D147"/>
      <c r="E147"/>
      <c r="F147"/>
      <c r="G147"/>
      <c r="H147"/>
      <c r="I147"/>
      <c r="J147"/>
      <c r="K147"/>
      <c r="L147"/>
      <c r="M147"/>
      <c r="N147"/>
      <c r="O147"/>
      <c r="P147"/>
      <c r="Q147"/>
    </row>
    <row r="148" spans="1:17" x14ac:dyDescent="0.4">
      <c r="A148"/>
      <c r="B148"/>
      <c r="C148"/>
      <c r="D148"/>
      <c r="E148"/>
      <c r="F148"/>
      <c r="G148"/>
      <c r="H148"/>
      <c r="I148"/>
      <c r="J148"/>
      <c r="K148"/>
      <c r="L148"/>
      <c r="M148"/>
      <c r="N148"/>
      <c r="O148"/>
      <c r="P148"/>
      <c r="Q148"/>
    </row>
    <row r="149" spans="1:17" x14ac:dyDescent="0.4">
      <c r="A149"/>
      <c r="B149"/>
      <c r="C149"/>
      <c r="D149"/>
      <c r="E149"/>
      <c r="F149"/>
      <c r="G149"/>
      <c r="H149"/>
      <c r="I149"/>
      <c r="J149"/>
      <c r="K149"/>
      <c r="L149"/>
      <c r="M149"/>
      <c r="N149"/>
      <c r="O149"/>
      <c r="P149"/>
      <c r="Q149"/>
    </row>
    <row r="150" spans="1:17" x14ac:dyDescent="0.4">
      <c r="A150"/>
      <c r="B150"/>
      <c r="C150"/>
      <c r="D150"/>
      <c r="E150"/>
      <c r="F150"/>
      <c r="G150"/>
      <c r="H150"/>
      <c r="I150"/>
      <c r="J150"/>
      <c r="K150"/>
      <c r="L150"/>
      <c r="M150"/>
      <c r="N150"/>
      <c r="O150"/>
      <c r="P150"/>
      <c r="Q150"/>
    </row>
    <row r="151" spans="1:17" x14ac:dyDescent="0.4">
      <c r="A151"/>
      <c r="B151"/>
      <c r="C151"/>
      <c r="D151"/>
      <c r="E151"/>
      <c r="F151"/>
      <c r="G151"/>
      <c r="H151"/>
      <c r="I151"/>
      <c r="J151"/>
      <c r="K151"/>
      <c r="L151"/>
      <c r="M151"/>
      <c r="N151"/>
      <c r="O151"/>
      <c r="P151"/>
      <c r="Q151"/>
    </row>
    <row r="152" spans="1:17" x14ac:dyDescent="0.4">
      <c r="A152"/>
      <c r="B152"/>
      <c r="C152"/>
      <c r="D152"/>
      <c r="E152"/>
      <c r="F152"/>
      <c r="G152"/>
      <c r="H152"/>
      <c r="I152"/>
      <c r="J152"/>
      <c r="K152"/>
      <c r="L152"/>
      <c r="M152"/>
      <c r="N152"/>
      <c r="O152"/>
      <c r="P152"/>
      <c r="Q152"/>
    </row>
    <row r="153" spans="1:17" x14ac:dyDescent="0.4">
      <c r="A153"/>
      <c r="B153"/>
      <c r="C153"/>
      <c r="D153"/>
      <c r="E153"/>
      <c r="F153"/>
      <c r="G153"/>
      <c r="H153"/>
      <c r="I153"/>
      <c r="J153"/>
      <c r="K153"/>
      <c r="L153"/>
      <c r="M153"/>
      <c r="N153"/>
      <c r="O153"/>
      <c r="P153"/>
      <c r="Q153"/>
    </row>
    <row r="154" spans="1:17" x14ac:dyDescent="0.4">
      <c r="A154"/>
      <c r="B154"/>
      <c r="C154"/>
      <c r="D154"/>
      <c r="E154"/>
      <c r="F154"/>
      <c r="G154"/>
      <c r="H154"/>
      <c r="I154"/>
      <c r="J154"/>
      <c r="K154"/>
      <c r="L154"/>
      <c r="M154"/>
      <c r="N154"/>
      <c r="O154"/>
      <c r="P154"/>
      <c r="Q154"/>
    </row>
    <row r="155" spans="1:17" x14ac:dyDescent="0.4">
      <c r="A155"/>
      <c r="B155"/>
      <c r="C155"/>
      <c r="D155"/>
      <c r="E155"/>
      <c r="F155"/>
      <c r="G155"/>
      <c r="H155"/>
      <c r="I155"/>
      <c r="J155"/>
      <c r="K155"/>
      <c r="L155"/>
      <c r="M155"/>
      <c r="N155"/>
      <c r="O155"/>
      <c r="P155"/>
      <c r="Q155"/>
    </row>
    <row r="156" spans="1:17" x14ac:dyDescent="0.4">
      <c r="A156"/>
      <c r="B156"/>
      <c r="C156"/>
      <c r="D156"/>
      <c r="E156"/>
      <c r="F156"/>
      <c r="G156"/>
      <c r="H156"/>
      <c r="I156"/>
      <c r="J156"/>
      <c r="K156"/>
      <c r="L156"/>
      <c r="M156"/>
      <c r="N156"/>
      <c r="O156"/>
      <c r="P156"/>
      <c r="Q156"/>
    </row>
    <row r="157" spans="1:17" x14ac:dyDescent="0.4">
      <c r="A157"/>
      <c r="B157"/>
      <c r="C157"/>
      <c r="D157"/>
      <c r="E157"/>
      <c r="F157"/>
      <c r="G157"/>
      <c r="H157"/>
      <c r="I157"/>
      <c r="J157"/>
      <c r="K157"/>
      <c r="L157"/>
      <c r="M157"/>
      <c r="N157"/>
      <c r="O157"/>
      <c r="P157"/>
      <c r="Q157"/>
    </row>
    <row r="158" spans="1:17" x14ac:dyDescent="0.4">
      <c r="A158"/>
      <c r="B158"/>
      <c r="C158"/>
      <c r="D158"/>
      <c r="E158"/>
      <c r="F158"/>
      <c r="G158"/>
      <c r="H158"/>
      <c r="I158"/>
      <c r="J158"/>
      <c r="K158"/>
      <c r="L158"/>
      <c r="M158"/>
      <c r="N158"/>
      <c r="O158"/>
      <c r="P158"/>
      <c r="Q158"/>
    </row>
    <row r="159" spans="1:17" x14ac:dyDescent="0.4">
      <c r="A159"/>
      <c r="B159"/>
      <c r="C159"/>
      <c r="D159"/>
      <c r="E159"/>
      <c r="F159"/>
      <c r="G159"/>
      <c r="H159"/>
      <c r="I159"/>
      <c r="J159"/>
      <c r="K159"/>
      <c r="L159"/>
      <c r="M159"/>
      <c r="N159"/>
      <c r="O159"/>
      <c r="P159"/>
      <c r="Q159"/>
    </row>
    <row r="160" spans="1:17" x14ac:dyDescent="0.4">
      <c r="A160"/>
      <c r="B160"/>
      <c r="C160"/>
      <c r="D160"/>
      <c r="E160"/>
      <c r="F160"/>
      <c r="G160"/>
      <c r="H160"/>
      <c r="I160"/>
      <c r="J160"/>
      <c r="K160"/>
      <c r="L160"/>
      <c r="M160"/>
      <c r="N160"/>
      <c r="O160"/>
      <c r="P160"/>
      <c r="Q160"/>
    </row>
    <row r="161" spans="1:17" x14ac:dyDescent="0.4">
      <c r="A161"/>
      <c r="B161"/>
      <c r="C161"/>
      <c r="D161"/>
      <c r="E161"/>
      <c r="F161"/>
      <c r="G161"/>
      <c r="H161"/>
      <c r="I161"/>
      <c r="J161"/>
      <c r="K161"/>
      <c r="L161"/>
      <c r="M161"/>
      <c r="N161"/>
      <c r="O161"/>
      <c r="P161"/>
      <c r="Q161"/>
    </row>
    <row r="162" spans="1:17" x14ac:dyDescent="0.4">
      <c r="A162"/>
      <c r="B162"/>
      <c r="C162"/>
      <c r="D162"/>
      <c r="E162"/>
      <c r="F162"/>
      <c r="G162"/>
      <c r="H162"/>
      <c r="I162"/>
      <c r="J162"/>
      <c r="K162"/>
      <c r="L162"/>
      <c r="M162"/>
      <c r="N162"/>
      <c r="O162"/>
      <c r="P162"/>
      <c r="Q162"/>
    </row>
    <row r="163" spans="1:17" x14ac:dyDescent="0.4">
      <c r="A163"/>
      <c r="B163"/>
      <c r="C163"/>
      <c r="D163"/>
      <c r="E163"/>
      <c r="F163"/>
      <c r="G163"/>
      <c r="H163"/>
      <c r="I163"/>
      <c r="J163"/>
      <c r="K163"/>
      <c r="L163"/>
      <c r="M163"/>
      <c r="N163"/>
      <c r="O163"/>
      <c r="P163"/>
      <c r="Q163"/>
    </row>
    <row r="164" spans="1:17" x14ac:dyDescent="0.4">
      <c r="A164"/>
      <c r="B164"/>
      <c r="C164"/>
      <c r="D164"/>
      <c r="E164"/>
      <c r="F164"/>
      <c r="G164"/>
      <c r="H164"/>
      <c r="I164"/>
      <c r="J164"/>
      <c r="K164"/>
      <c r="L164"/>
      <c r="M164"/>
      <c r="N164"/>
      <c r="O164"/>
      <c r="P164"/>
      <c r="Q164"/>
    </row>
    <row r="165" spans="1:17" x14ac:dyDescent="0.4">
      <c r="A165"/>
      <c r="B165"/>
      <c r="C165"/>
      <c r="D165"/>
      <c r="E165"/>
      <c r="F165"/>
      <c r="G165"/>
      <c r="H165"/>
      <c r="I165"/>
      <c r="J165"/>
      <c r="K165"/>
      <c r="L165"/>
      <c r="M165"/>
      <c r="N165"/>
      <c r="O165"/>
      <c r="P165"/>
      <c r="Q165"/>
    </row>
    <row r="166" spans="1:17" x14ac:dyDescent="0.4">
      <c r="A166"/>
      <c r="B166"/>
      <c r="C166"/>
      <c r="D166"/>
      <c r="E166"/>
      <c r="F166"/>
      <c r="G166"/>
      <c r="H166"/>
      <c r="I166"/>
      <c r="J166"/>
      <c r="K166"/>
      <c r="L166"/>
      <c r="M166"/>
      <c r="N166"/>
      <c r="O166"/>
      <c r="P166"/>
      <c r="Q166"/>
    </row>
    <row r="167" spans="1:17" x14ac:dyDescent="0.4">
      <c r="A167"/>
      <c r="B167"/>
      <c r="C167"/>
      <c r="D167"/>
      <c r="E167"/>
      <c r="F167"/>
      <c r="G167"/>
      <c r="H167"/>
      <c r="I167"/>
      <c r="J167"/>
      <c r="K167"/>
      <c r="L167"/>
      <c r="M167"/>
      <c r="N167"/>
      <c r="O167"/>
      <c r="P167"/>
      <c r="Q167"/>
    </row>
    <row r="168" spans="1:17" x14ac:dyDescent="0.4">
      <c r="A168"/>
      <c r="B168"/>
      <c r="C168"/>
      <c r="D168"/>
      <c r="E168"/>
      <c r="F168"/>
      <c r="G168"/>
      <c r="H168"/>
      <c r="I168"/>
      <c r="J168"/>
      <c r="K168"/>
      <c r="L168"/>
      <c r="M168"/>
      <c r="N168"/>
      <c r="O168"/>
      <c r="P168"/>
      <c r="Q168"/>
    </row>
    <row r="169" spans="1:17" x14ac:dyDescent="0.4">
      <c r="A169"/>
      <c r="B169"/>
      <c r="C169"/>
      <c r="D169"/>
      <c r="E169"/>
      <c r="F169"/>
      <c r="G169"/>
      <c r="H169"/>
      <c r="I169"/>
      <c r="J169"/>
      <c r="K169"/>
      <c r="L169"/>
      <c r="M169"/>
      <c r="N169"/>
      <c r="O169"/>
      <c r="P169"/>
      <c r="Q169"/>
    </row>
    <row r="170" spans="1:17" x14ac:dyDescent="0.4">
      <c r="A170"/>
      <c r="B170"/>
      <c r="C170"/>
      <c r="D170"/>
      <c r="E170"/>
      <c r="F170"/>
      <c r="G170"/>
      <c r="H170"/>
      <c r="I170"/>
      <c r="J170"/>
      <c r="K170"/>
      <c r="L170"/>
      <c r="M170"/>
      <c r="N170"/>
      <c r="O170"/>
      <c r="P170"/>
      <c r="Q170"/>
    </row>
    <row r="171" spans="1:17" x14ac:dyDescent="0.4">
      <c r="A171"/>
      <c r="B171"/>
      <c r="C171"/>
      <c r="D171"/>
      <c r="E171"/>
      <c r="F171"/>
      <c r="G171"/>
      <c r="H171"/>
      <c r="I171"/>
      <c r="J171"/>
      <c r="K171"/>
      <c r="L171"/>
      <c r="M171"/>
      <c r="N171"/>
      <c r="O171"/>
      <c r="P171"/>
      <c r="Q171"/>
    </row>
    <row r="172" spans="1:17" x14ac:dyDescent="0.4">
      <c r="A172"/>
      <c r="B172"/>
      <c r="C172"/>
      <c r="D172"/>
      <c r="E172"/>
      <c r="F172"/>
      <c r="G172"/>
      <c r="H172"/>
      <c r="I172"/>
      <c r="J172"/>
      <c r="K172"/>
      <c r="L172"/>
      <c r="M172"/>
      <c r="N172"/>
      <c r="O172"/>
      <c r="P172"/>
      <c r="Q172"/>
    </row>
    <row r="173" spans="1:17" x14ac:dyDescent="0.4">
      <c r="A173"/>
      <c r="B173"/>
      <c r="C173"/>
      <c r="D173"/>
      <c r="E173"/>
      <c r="F173"/>
      <c r="G173"/>
      <c r="H173"/>
      <c r="I173"/>
      <c r="J173"/>
      <c r="K173"/>
      <c r="L173"/>
      <c r="M173"/>
      <c r="N173"/>
      <c r="O173"/>
      <c r="P173"/>
      <c r="Q173"/>
    </row>
    <row r="174" spans="1:17" x14ac:dyDescent="0.4">
      <c r="A174"/>
      <c r="B174"/>
      <c r="C174"/>
      <c r="D174"/>
      <c r="E174"/>
      <c r="F174"/>
      <c r="G174"/>
      <c r="H174"/>
      <c r="I174"/>
      <c r="J174"/>
      <c r="K174"/>
      <c r="L174"/>
      <c r="M174"/>
      <c r="N174"/>
      <c r="O174"/>
      <c r="P174"/>
      <c r="Q174"/>
    </row>
    <row r="175" spans="1:17" x14ac:dyDescent="0.4">
      <c r="A175"/>
      <c r="B175"/>
      <c r="C175"/>
      <c r="D175"/>
      <c r="E175"/>
      <c r="F175"/>
      <c r="G175"/>
      <c r="H175"/>
      <c r="I175"/>
      <c r="J175"/>
      <c r="K175"/>
      <c r="L175"/>
      <c r="M175"/>
      <c r="N175"/>
      <c r="O175"/>
      <c r="P175"/>
      <c r="Q175"/>
    </row>
    <row r="176" spans="1:17" x14ac:dyDescent="0.4">
      <c r="A176"/>
      <c r="B176"/>
      <c r="C176"/>
      <c r="D176"/>
      <c r="E176"/>
      <c r="F176"/>
      <c r="G176"/>
      <c r="H176"/>
      <c r="I176"/>
      <c r="J176"/>
      <c r="K176"/>
      <c r="L176"/>
      <c r="M176"/>
      <c r="N176"/>
      <c r="O176"/>
      <c r="P176"/>
      <c r="Q176"/>
    </row>
    <row r="177" spans="1:17" x14ac:dyDescent="0.4">
      <c r="A177"/>
      <c r="B177"/>
      <c r="C177"/>
      <c r="D177"/>
      <c r="E177"/>
      <c r="F177"/>
      <c r="G177"/>
      <c r="H177"/>
      <c r="I177"/>
      <c r="J177"/>
      <c r="K177"/>
      <c r="L177"/>
      <c r="M177"/>
      <c r="N177"/>
      <c r="O177"/>
      <c r="P177"/>
      <c r="Q177"/>
    </row>
    <row r="178" spans="1:17" x14ac:dyDescent="0.4">
      <c r="A178"/>
      <c r="B178"/>
      <c r="C178"/>
      <c r="D178"/>
      <c r="E178"/>
      <c r="F178"/>
      <c r="G178"/>
      <c r="H178"/>
      <c r="I178"/>
      <c r="J178"/>
      <c r="K178"/>
      <c r="L178"/>
      <c r="M178"/>
      <c r="N178"/>
      <c r="O178"/>
      <c r="P178"/>
      <c r="Q178"/>
    </row>
    <row r="179" spans="1:17" x14ac:dyDescent="0.4">
      <c r="A179"/>
      <c r="B179"/>
      <c r="C179"/>
      <c r="D179"/>
      <c r="E179"/>
      <c r="F179"/>
      <c r="G179"/>
      <c r="H179"/>
      <c r="I179"/>
      <c r="J179"/>
      <c r="K179"/>
      <c r="L179"/>
      <c r="M179"/>
      <c r="N179"/>
      <c r="O179"/>
      <c r="P179"/>
      <c r="Q179"/>
    </row>
    <row r="180" spans="1:17" x14ac:dyDescent="0.4">
      <c r="A180"/>
      <c r="B180"/>
      <c r="C180"/>
      <c r="D180"/>
      <c r="E180"/>
      <c r="F180"/>
      <c r="G180"/>
      <c r="H180"/>
      <c r="I180"/>
      <c r="J180"/>
      <c r="K180"/>
      <c r="L180"/>
      <c r="M180"/>
      <c r="N180"/>
      <c r="O180"/>
      <c r="P180"/>
      <c r="Q180"/>
    </row>
    <row r="181" spans="1:17" x14ac:dyDescent="0.4">
      <c r="A181"/>
      <c r="B181"/>
      <c r="C181"/>
      <c r="D181"/>
      <c r="E181"/>
      <c r="F181"/>
      <c r="G181"/>
      <c r="H181"/>
      <c r="I181"/>
      <c r="J181"/>
      <c r="K181"/>
      <c r="L181"/>
      <c r="M181"/>
      <c r="N181"/>
      <c r="O181"/>
      <c r="P181"/>
      <c r="Q181"/>
    </row>
    <row r="182" spans="1:17" x14ac:dyDescent="0.4">
      <c r="A182"/>
      <c r="B182"/>
      <c r="C182"/>
      <c r="D182"/>
      <c r="E182"/>
      <c r="F182"/>
      <c r="G182"/>
      <c r="H182"/>
      <c r="I182"/>
      <c r="J182"/>
      <c r="K182"/>
      <c r="L182"/>
      <c r="M182"/>
      <c r="N182"/>
      <c r="O182"/>
      <c r="P182"/>
      <c r="Q182"/>
    </row>
    <row r="183" spans="1:17" x14ac:dyDescent="0.4">
      <c r="A183"/>
      <c r="B183"/>
      <c r="C183"/>
      <c r="D183"/>
      <c r="E183"/>
      <c r="F183"/>
      <c r="G183"/>
      <c r="H183"/>
      <c r="I183"/>
      <c r="J183"/>
      <c r="K183"/>
      <c r="L183"/>
      <c r="M183"/>
      <c r="N183"/>
      <c r="O183"/>
      <c r="P183"/>
      <c r="Q183"/>
    </row>
    <row r="184" spans="1:17" x14ac:dyDescent="0.4">
      <c r="A184"/>
      <c r="B184"/>
      <c r="C184"/>
      <c r="D184"/>
      <c r="E184"/>
      <c r="F184"/>
      <c r="G184"/>
      <c r="H184"/>
      <c r="I184"/>
      <c r="J184"/>
      <c r="K184"/>
      <c r="L184"/>
      <c r="M184"/>
      <c r="N184"/>
      <c r="O184"/>
      <c r="P184"/>
      <c r="Q184"/>
    </row>
    <row r="185" spans="1:17" x14ac:dyDescent="0.4">
      <c r="A185"/>
      <c r="B185"/>
      <c r="C185"/>
      <c r="D185"/>
      <c r="E185"/>
      <c r="F185"/>
      <c r="G185"/>
      <c r="H185"/>
      <c r="I185"/>
      <c r="J185"/>
      <c r="K185"/>
      <c r="L185"/>
      <c r="M185"/>
      <c r="N185"/>
      <c r="O185"/>
      <c r="P185"/>
      <c r="Q185"/>
    </row>
    <row r="186" spans="1:17" x14ac:dyDescent="0.4">
      <c r="A186"/>
      <c r="B186"/>
      <c r="C186"/>
      <c r="D186"/>
      <c r="E186"/>
      <c r="F186"/>
      <c r="G186"/>
      <c r="H186"/>
      <c r="I186"/>
      <c r="J186"/>
      <c r="K186"/>
      <c r="L186"/>
      <c r="M186"/>
      <c r="N186"/>
      <c r="O186"/>
      <c r="P186"/>
      <c r="Q186"/>
    </row>
    <row r="187" spans="1:17" x14ac:dyDescent="0.4">
      <c r="A187"/>
      <c r="B187"/>
      <c r="C187"/>
      <c r="D187"/>
      <c r="E187"/>
      <c r="F187"/>
      <c r="G187"/>
      <c r="H187"/>
      <c r="I187"/>
      <c r="J187"/>
      <c r="K187"/>
      <c r="L187"/>
      <c r="M187"/>
      <c r="N187"/>
      <c r="O187"/>
      <c r="P187"/>
      <c r="Q187"/>
    </row>
    <row r="188" spans="1:17" x14ac:dyDescent="0.4">
      <c r="A188"/>
      <c r="B188"/>
      <c r="C188"/>
      <c r="D188"/>
      <c r="E188"/>
      <c r="F188"/>
      <c r="G188"/>
      <c r="H188"/>
      <c r="I188"/>
      <c r="J188"/>
      <c r="K188"/>
      <c r="L188"/>
      <c r="M188"/>
      <c r="N188"/>
      <c r="O188"/>
      <c r="P188"/>
      <c r="Q188"/>
    </row>
    <row r="189" spans="1:17" x14ac:dyDescent="0.4">
      <c r="A189"/>
      <c r="B189"/>
      <c r="C189"/>
      <c r="D189"/>
      <c r="E189"/>
      <c r="F189"/>
      <c r="G189"/>
      <c r="H189"/>
      <c r="I189"/>
      <c r="J189"/>
      <c r="K189"/>
      <c r="L189"/>
      <c r="M189"/>
      <c r="N189"/>
      <c r="O189"/>
      <c r="P189"/>
      <c r="Q189"/>
    </row>
    <row r="190" spans="1:17" x14ac:dyDescent="0.4">
      <c r="A190"/>
      <c r="B190"/>
      <c r="C190"/>
      <c r="D190"/>
      <c r="E190"/>
      <c r="F190"/>
      <c r="G190"/>
      <c r="H190"/>
      <c r="I190"/>
      <c r="J190"/>
      <c r="K190"/>
      <c r="L190"/>
      <c r="M190"/>
      <c r="N190"/>
      <c r="O190"/>
      <c r="P190"/>
      <c r="Q190"/>
    </row>
    <row r="191" spans="1:17" x14ac:dyDescent="0.4">
      <c r="A191"/>
      <c r="B191"/>
      <c r="C191"/>
      <c r="D191"/>
      <c r="E191"/>
      <c r="F191"/>
      <c r="G191"/>
      <c r="H191"/>
      <c r="I191"/>
      <c r="J191"/>
      <c r="K191"/>
      <c r="L191"/>
      <c r="M191"/>
      <c r="N191"/>
      <c r="O191"/>
      <c r="P191"/>
      <c r="Q191"/>
    </row>
    <row r="192" spans="1:17" x14ac:dyDescent="0.4">
      <c r="A192"/>
      <c r="B192"/>
      <c r="C192"/>
      <c r="D192"/>
      <c r="E192"/>
      <c r="F192"/>
      <c r="G192"/>
      <c r="H192"/>
      <c r="I192"/>
      <c r="J192"/>
      <c r="K192"/>
      <c r="L192"/>
      <c r="M192"/>
      <c r="N192"/>
      <c r="O192"/>
      <c r="P192"/>
      <c r="Q192"/>
    </row>
    <row r="193" spans="1:17" x14ac:dyDescent="0.4">
      <c r="A193"/>
      <c r="B193"/>
      <c r="C193"/>
      <c r="D193"/>
      <c r="E193"/>
      <c r="F193"/>
      <c r="G193"/>
      <c r="H193"/>
      <c r="I193"/>
      <c r="J193"/>
      <c r="K193"/>
      <c r="L193"/>
      <c r="M193"/>
      <c r="N193"/>
      <c r="O193"/>
      <c r="P193"/>
      <c r="Q193"/>
    </row>
    <row r="194" spans="1:17" x14ac:dyDescent="0.4">
      <c r="A194"/>
      <c r="B194"/>
      <c r="C194"/>
      <c r="D194"/>
      <c r="E194"/>
      <c r="F194"/>
      <c r="G194"/>
      <c r="H194"/>
      <c r="I194"/>
      <c r="J194"/>
      <c r="K194"/>
      <c r="L194"/>
      <c r="M194"/>
      <c r="N194"/>
      <c r="O194"/>
      <c r="P194"/>
      <c r="Q194"/>
    </row>
    <row r="195" spans="1:17" x14ac:dyDescent="0.4">
      <c r="A195"/>
      <c r="B195"/>
      <c r="C195"/>
      <c r="D195"/>
      <c r="E195"/>
      <c r="F195"/>
      <c r="G195"/>
      <c r="H195"/>
      <c r="I195"/>
      <c r="J195"/>
      <c r="K195"/>
      <c r="L195"/>
      <c r="M195"/>
      <c r="N195"/>
      <c r="O195"/>
      <c r="P195"/>
      <c r="Q195"/>
    </row>
    <row r="196" spans="1:17" x14ac:dyDescent="0.4">
      <c r="A196"/>
      <c r="B196"/>
      <c r="C196"/>
      <c r="D196"/>
      <c r="E196"/>
      <c r="F196"/>
      <c r="G196"/>
      <c r="H196"/>
      <c r="I196"/>
      <c r="J196"/>
      <c r="K196"/>
      <c r="L196"/>
      <c r="M196"/>
      <c r="N196"/>
      <c r="O196"/>
      <c r="P196"/>
      <c r="Q196"/>
    </row>
    <row r="197" spans="1:17" x14ac:dyDescent="0.4">
      <c r="A197"/>
      <c r="B197"/>
      <c r="C197"/>
      <c r="D197"/>
      <c r="E197"/>
      <c r="F197"/>
      <c r="G197"/>
      <c r="H197"/>
      <c r="I197"/>
      <c r="J197"/>
      <c r="K197"/>
      <c r="L197"/>
      <c r="M197"/>
      <c r="N197"/>
      <c r="O197"/>
      <c r="P197"/>
      <c r="Q197"/>
    </row>
    <row r="198" spans="1:17" x14ac:dyDescent="0.4">
      <c r="A198"/>
      <c r="B198"/>
      <c r="C198"/>
      <c r="D198"/>
      <c r="E198"/>
      <c r="F198"/>
      <c r="G198"/>
      <c r="H198"/>
      <c r="I198"/>
      <c r="J198"/>
      <c r="K198"/>
      <c r="L198"/>
      <c r="M198"/>
      <c r="N198"/>
      <c r="O198"/>
      <c r="P198"/>
      <c r="Q198"/>
    </row>
    <row r="199" spans="1:17" x14ac:dyDescent="0.4">
      <c r="A199"/>
      <c r="B199"/>
      <c r="C199"/>
      <c r="D199"/>
      <c r="E199"/>
      <c r="F199"/>
      <c r="G199"/>
      <c r="H199"/>
      <c r="I199"/>
      <c r="J199"/>
      <c r="K199"/>
      <c r="L199"/>
      <c r="M199"/>
      <c r="N199"/>
      <c r="O199"/>
      <c r="P199"/>
      <c r="Q199"/>
    </row>
    <row r="200" spans="1:17" x14ac:dyDescent="0.4">
      <c r="A200"/>
      <c r="B200"/>
      <c r="C200"/>
      <c r="D200"/>
      <c r="E200"/>
      <c r="F200"/>
      <c r="G200"/>
      <c r="H200"/>
      <c r="I200"/>
      <c r="J200"/>
      <c r="K200"/>
      <c r="L200"/>
      <c r="M200"/>
      <c r="N200"/>
      <c r="O200"/>
      <c r="P200"/>
      <c r="Q200"/>
    </row>
    <row r="201" spans="1:17" x14ac:dyDescent="0.4">
      <c r="A201"/>
      <c r="B201"/>
      <c r="C201"/>
      <c r="D201"/>
      <c r="E201"/>
      <c r="F201"/>
      <c r="G201"/>
      <c r="H201"/>
      <c r="I201"/>
      <c r="J201"/>
      <c r="K201"/>
      <c r="L201"/>
      <c r="M201"/>
      <c r="N201"/>
      <c r="O201"/>
      <c r="P201"/>
      <c r="Q201"/>
    </row>
    <row r="202" spans="1:17" x14ac:dyDescent="0.4">
      <c r="A202"/>
      <c r="B202"/>
      <c r="C202"/>
      <c r="D202"/>
      <c r="E202"/>
      <c r="F202"/>
      <c r="G202"/>
      <c r="H202"/>
      <c r="I202"/>
      <c r="J202"/>
      <c r="K202"/>
      <c r="L202"/>
      <c r="M202"/>
      <c r="N202"/>
      <c r="O202"/>
      <c r="P202"/>
      <c r="Q202"/>
    </row>
    <row r="203" spans="1:17" x14ac:dyDescent="0.4">
      <c r="A203"/>
      <c r="B203"/>
      <c r="C203"/>
      <c r="D203"/>
      <c r="E203"/>
      <c r="F203"/>
      <c r="G203"/>
      <c r="H203"/>
      <c r="I203"/>
      <c r="J203"/>
      <c r="K203"/>
      <c r="L203"/>
      <c r="M203"/>
      <c r="N203"/>
      <c r="O203"/>
      <c r="P203"/>
      <c r="Q203"/>
    </row>
    <row r="204" spans="1:17" x14ac:dyDescent="0.4">
      <c r="A204"/>
      <c r="B204"/>
      <c r="C204"/>
      <c r="D204"/>
      <c r="E204"/>
      <c r="F204"/>
      <c r="G204"/>
      <c r="H204"/>
      <c r="I204"/>
      <c r="J204"/>
      <c r="K204"/>
      <c r="L204"/>
      <c r="M204"/>
      <c r="N204"/>
      <c r="O204"/>
      <c r="P204"/>
      <c r="Q204"/>
    </row>
    <row r="205" spans="1:17" x14ac:dyDescent="0.4">
      <c r="A205"/>
      <c r="B205"/>
      <c r="C205"/>
      <c r="D205"/>
      <c r="E205"/>
      <c r="F205"/>
      <c r="G205"/>
      <c r="H205"/>
      <c r="I205"/>
      <c r="J205"/>
      <c r="K205"/>
      <c r="L205"/>
      <c r="M205"/>
      <c r="N205"/>
      <c r="O205"/>
      <c r="P205"/>
      <c r="Q205"/>
    </row>
    <row r="206" spans="1:17" x14ac:dyDescent="0.4">
      <c r="A206"/>
      <c r="B206"/>
      <c r="C206"/>
      <c r="D206"/>
      <c r="E206"/>
      <c r="F206"/>
      <c r="G206"/>
      <c r="H206"/>
      <c r="I206"/>
      <c r="J206"/>
      <c r="K206"/>
      <c r="L206"/>
      <c r="M206"/>
      <c r="N206"/>
      <c r="O206"/>
      <c r="P206"/>
      <c r="Q206"/>
    </row>
    <row r="207" spans="1:17" x14ac:dyDescent="0.4">
      <c r="A207"/>
      <c r="B207"/>
      <c r="C207"/>
      <c r="D207"/>
      <c r="E207"/>
      <c r="F207"/>
      <c r="G207"/>
      <c r="H207"/>
      <c r="I207"/>
      <c r="J207"/>
      <c r="K207"/>
      <c r="L207"/>
      <c r="M207"/>
      <c r="N207"/>
      <c r="O207"/>
      <c r="P207"/>
      <c r="Q207"/>
    </row>
    <row r="208" spans="1:17" x14ac:dyDescent="0.4">
      <c r="A208"/>
      <c r="B208"/>
      <c r="C208"/>
      <c r="D208"/>
      <c r="E208"/>
      <c r="F208"/>
      <c r="G208"/>
      <c r="H208"/>
      <c r="I208"/>
      <c r="J208"/>
      <c r="K208"/>
      <c r="L208"/>
      <c r="M208"/>
      <c r="N208"/>
      <c r="O208"/>
      <c r="P208"/>
      <c r="Q208"/>
    </row>
    <row r="209" spans="1:17" x14ac:dyDescent="0.4">
      <c r="A209"/>
      <c r="B209"/>
      <c r="C209"/>
      <c r="D209"/>
      <c r="E209"/>
      <c r="F209"/>
      <c r="G209"/>
      <c r="H209"/>
      <c r="I209"/>
      <c r="J209"/>
      <c r="K209"/>
      <c r="L209"/>
      <c r="M209"/>
      <c r="N209"/>
      <c r="O209"/>
      <c r="P209"/>
      <c r="Q209"/>
    </row>
    <row r="210" spans="1:17" x14ac:dyDescent="0.4">
      <c r="A210"/>
      <c r="B210"/>
      <c r="C210"/>
      <c r="D210"/>
      <c r="E210"/>
      <c r="F210"/>
      <c r="G210"/>
      <c r="H210"/>
      <c r="I210"/>
      <c r="J210"/>
      <c r="K210"/>
      <c r="L210"/>
      <c r="M210"/>
      <c r="N210"/>
      <c r="O210"/>
      <c r="P210"/>
      <c r="Q210"/>
    </row>
    <row r="211" spans="1:17" x14ac:dyDescent="0.4">
      <c r="A211"/>
      <c r="B211"/>
      <c r="C211"/>
      <c r="D211"/>
      <c r="E211"/>
      <c r="F211"/>
      <c r="G211"/>
      <c r="H211"/>
      <c r="I211"/>
      <c r="J211"/>
      <c r="K211"/>
      <c r="L211"/>
      <c r="M211"/>
      <c r="N211"/>
      <c r="O211"/>
      <c r="P211"/>
      <c r="Q211"/>
    </row>
    <row r="212" spans="1:17" x14ac:dyDescent="0.4">
      <c r="A212"/>
      <c r="B212"/>
      <c r="C212"/>
      <c r="D212"/>
      <c r="E212"/>
      <c r="F212"/>
      <c r="G212"/>
      <c r="H212"/>
      <c r="I212"/>
      <c r="J212"/>
      <c r="K212"/>
      <c r="L212"/>
      <c r="M212"/>
      <c r="N212"/>
      <c r="O212"/>
      <c r="P212"/>
      <c r="Q212"/>
    </row>
    <row r="213" spans="1:17" x14ac:dyDescent="0.4">
      <c r="A213"/>
      <c r="B213"/>
      <c r="C213"/>
      <c r="D213"/>
      <c r="E213"/>
      <c r="F213"/>
      <c r="G213"/>
      <c r="H213"/>
      <c r="I213"/>
      <c r="J213"/>
      <c r="K213"/>
      <c r="L213"/>
      <c r="M213"/>
      <c r="N213"/>
      <c r="O213"/>
      <c r="P213"/>
      <c r="Q213"/>
    </row>
    <row r="214" spans="1:17" x14ac:dyDescent="0.4">
      <c r="A214"/>
      <c r="B214"/>
      <c r="C214"/>
      <c r="D214"/>
      <c r="E214"/>
      <c r="F214"/>
      <c r="G214"/>
      <c r="H214"/>
      <c r="I214"/>
      <c r="J214"/>
      <c r="K214"/>
      <c r="L214"/>
      <c r="M214"/>
      <c r="N214"/>
      <c r="O214"/>
      <c r="P214"/>
      <c r="Q214"/>
    </row>
    <row r="215" spans="1:17" x14ac:dyDescent="0.4">
      <c r="A215"/>
      <c r="B215"/>
      <c r="C215"/>
      <c r="D215"/>
      <c r="E215"/>
      <c r="F215"/>
      <c r="G215"/>
      <c r="H215"/>
      <c r="I215"/>
      <c r="J215"/>
      <c r="K215"/>
      <c r="L215"/>
      <c r="M215"/>
      <c r="N215"/>
      <c r="O215"/>
      <c r="P215"/>
      <c r="Q215"/>
    </row>
    <row r="216" spans="1:17" x14ac:dyDescent="0.4">
      <c r="A216"/>
      <c r="B216"/>
      <c r="C216"/>
      <c r="D216"/>
      <c r="E216"/>
      <c r="F216"/>
      <c r="G216"/>
      <c r="H216"/>
      <c r="I216"/>
      <c r="J216"/>
      <c r="K216"/>
      <c r="L216"/>
      <c r="M216"/>
      <c r="N216"/>
      <c r="O216"/>
      <c r="P216"/>
      <c r="Q216"/>
    </row>
    <row r="217" spans="1:17" x14ac:dyDescent="0.4">
      <c r="A217"/>
      <c r="B217"/>
      <c r="C217"/>
      <c r="D217"/>
      <c r="E217"/>
      <c r="F217"/>
      <c r="G217"/>
      <c r="H217"/>
      <c r="I217"/>
      <c r="J217"/>
      <c r="K217"/>
      <c r="L217"/>
      <c r="M217"/>
      <c r="N217"/>
      <c r="O217"/>
      <c r="P217"/>
      <c r="Q217"/>
    </row>
    <row r="218" spans="1:17" x14ac:dyDescent="0.4">
      <c r="A218"/>
      <c r="B218"/>
      <c r="C218"/>
      <c r="D218"/>
      <c r="E218"/>
      <c r="F218"/>
      <c r="G218"/>
      <c r="H218"/>
      <c r="I218"/>
      <c r="J218"/>
      <c r="K218"/>
      <c r="L218"/>
      <c r="M218"/>
      <c r="N218"/>
      <c r="O218"/>
      <c r="P218"/>
      <c r="Q218"/>
    </row>
    <row r="219" spans="1:17" x14ac:dyDescent="0.4">
      <c r="A219"/>
      <c r="B219"/>
      <c r="C219"/>
      <c r="D219"/>
      <c r="E219"/>
      <c r="F219"/>
      <c r="G219"/>
      <c r="H219"/>
      <c r="I219"/>
      <c r="J219"/>
      <c r="K219"/>
      <c r="L219"/>
      <c r="M219"/>
      <c r="N219"/>
      <c r="O219"/>
      <c r="P219"/>
      <c r="Q219"/>
    </row>
    <row r="220" spans="1:17" x14ac:dyDescent="0.4">
      <c r="A220"/>
      <c r="B220"/>
      <c r="C220"/>
      <c r="D220"/>
      <c r="E220"/>
      <c r="F220"/>
      <c r="G220"/>
      <c r="H220"/>
      <c r="I220"/>
      <c r="J220"/>
      <c r="K220"/>
      <c r="L220"/>
      <c r="M220"/>
      <c r="N220"/>
      <c r="O220"/>
      <c r="P220"/>
      <c r="Q220"/>
    </row>
    <row r="221" spans="1:17" x14ac:dyDescent="0.4">
      <c r="A221"/>
      <c r="B221"/>
      <c r="C221"/>
      <c r="D221"/>
      <c r="E221"/>
      <c r="F221"/>
      <c r="G221"/>
      <c r="H221"/>
      <c r="I221"/>
      <c r="J221"/>
      <c r="K221"/>
      <c r="L221"/>
      <c r="M221"/>
      <c r="N221"/>
      <c r="O221"/>
      <c r="P221"/>
      <c r="Q221"/>
    </row>
    <row r="222" spans="1:17" x14ac:dyDescent="0.4">
      <c r="A222"/>
      <c r="B222"/>
      <c r="C222"/>
      <c r="D222"/>
      <c r="E222"/>
      <c r="F222"/>
      <c r="G222"/>
      <c r="H222"/>
      <c r="I222"/>
      <c r="J222"/>
      <c r="K222"/>
      <c r="L222"/>
      <c r="M222"/>
      <c r="N222"/>
      <c r="O222"/>
      <c r="P222"/>
      <c r="Q222"/>
    </row>
    <row r="223" spans="1:17" x14ac:dyDescent="0.4">
      <c r="A223"/>
      <c r="B223"/>
      <c r="C223"/>
      <c r="D223"/>
      <c r="E223"/>
      <c r="F223"/>
      <c r="G223"/>
      <c r="H223"/>
      <c r="I223"/>
      <c r="J223"/>
      <c r="K223"/>
      <c r="L223"/>
      <c r="M223"/>
      <c r="N223"/>
      <c r="O223"/>
      <c r="P223"/>
      <c r="Q223"/>
    </row>
    <row r="224" spans="1:17" x14ac:dyDescent="0.4">
      <c r="A224"/>
      <c r="B224"/>
      <c r="C224"/>
      <c r="D224"/>
      <c r="E224"/>
      <c r="F224"/>
      <c r="G224"/>
      <c r="H224"/>
      <c r="I224"/>
      <c r="J224"/>
      <c r="K224"/>
      <c r="L224"/>
      <c r="M224"/>
      <c r="N224"/>
      <c r="O224"/>
      <c r="P224"/>
      <c r="Q224"/>
    </row>
    <row r="225" spans="1:17" x14ac:dyDescent="0.4">
      <c r="A225"/>
      <c r="B225"/>
      <c r="C225"/>
      <c r="D225"/>
      <c r="E225"/>
      <c r="F225"/>
      <c r="G225"/>
      <c r="H225"/>
      <c r="I225"/>
      <c r="J225"/>
      <c r="K225"/>
      <c r="L225"/>
      <c r="M225"/>
      <c r="N225"/>
      <c r="O225"/>
      <c r="P225"/>
      <c r="Q225"/>
    </row>
    <row r="226" spans="1:17" x14ac:dyDescent="0.4">
      <c r="A226"/>
      <c r="B226"/>
      <c r="C226"/>
      <c r="D226"/>
      <c r="E226"/>
      <c r="F226"/>
      <c r="G226"/>
      <c r="H226"/>
      <c r="I226"/>
      <c r="J226"/>
      <c r="K226"/>
      <c r="L226"/>
      <c r="M226"/>
      <c r="N226"/>
      <c r="O226"/>
      <c r="P226"/>
      <c r="Q226"/>
    </row>
    <row r="227" spans="1:17" x14ac:dyDescent="0.4">
      <c r="A227"/>
      <c r="B227"/>
      <c r="C227"/>
      <c r="D227"/>
      <c r="E227"/>
      <c r="F227"/>
      <c r="G227"/>
      <c r="H227"/>
      <c r="I227"/>
      <c r="J227"/>
      <c r="K227"/>
      <c r="L227"/>
      <c r="M227"/>
      <c r="N227"/>
      <c r="O227"/>
      <c r="P227"/>
      <c r="Q227"/>
    </row>
    <row r="228" spans="1:17" x14ac:dyDescent="0.4">
      <c r="A228"/>
      <c r="B228"/>
      <c r="C228"/>
      <c r="D228"/>
      <c r="E228"/>
      <c r="F228"/>
      <c r="G228"/>
      <c r="H228"/>
      <c r="I228"/>
      <c r="J228"/>
      <c r="K228"/>
      <c r="L228"/>
      <c r="M228"/>
      <c r="N228"/>
      <c r="O228"/>
      <c r="P228"/>
      <c r="Q228"/>
    </row>
    <row r="229" spans="1:17" x14ac:dyDescent="0.4">
      <c r="A229"/>
      <c r="B229"/>
      <c r="C229"/>
      <c r="D229"/>
      <c r="E229"/>
      <c r="F229"/>
      <c r="G229"/>
      <c r="H229"/>
      <c r="I229"/>
      <c r="J229"/>
      <c r="K229"/>
      <c r="L229"/>
      <c r="M229"/>
      <c r="N229"/>
      <c r="O229"/>
      <c r="P229"/>
      <c r="Q229"/>
    </row>
    <row r="230" spans="1:17" x14ac:dyDescent="0.4">
      <c r="A230"/>
      <c r="B230"/>
      <c r="C230"/>
      <c r="D230"/>
      <c r="E230"/>
      <c r="F230"/>
      <c r="G230"/>
      <c r="H230"/>
      <c r="I230"/>
      <c r="J230"/>
      <c r="K230"/>
      <c r="L230"/>
      <c r="M230"/>
      <c r="N230"/>
      <c r="O230"/>
      <c r="P230"/>
      <c r="Q230"/>
    </row>
    <row r="231" spans="1:17" x14ac:dyDescent="0.4">
      <c r="A231"/>
      <c r="B231"/>
      <c r="C231"/>
      <c r="D231"/>
      <c r="E231"/>
      <c r="F231"/>
      <c r="G231"/>
      <c r="H231"/>
      <c r="I231"/>
      <c r="J231"/>
      <c r="K231"/>
      <c r="L231"/>
      <c r="M231"/>
      <c r="N231"/>
      <c r="O231"/>
      <c r="P231"/>
      <c r="Q231"/>
    </row>
    <row r="232" spans="1:17" x14ac:dyDescent="0.4">
      <c r="A232"/>
      <c r="B232"/>
      <c r="C232"/>
      <c r="D232"/>
      <c r="E232"/>
      <c r="F232"/>
      <c r="G232"/>
      <c r="H232"/>
      <c r="I232"/>
      <c r="J232"/>
      <c r="K232"/>
      <c r="L232"/>
      <c r="M232"/>
      <c r="N232"/>
      <c r="O232"/>
      <c r="P232"/>
      <c r="Q232"/>
    </row>
    <row r="233" spans="1:17" x14ac:dyDescent="0.4">
      <c r="A233"/>
      <c r="B233"/>
      <c r="C233"/>
      <c r="D233"/>
      <c r="E233"/>
      <c r="F233"/>
      <c r="G233"/>
      <c r="H233"/>
      <c r="I233"/>
      <c r="J233"/>
      <c r="K233"/>
      <c r="L233"/>
      <c r="M233"/>
      <c r="N233"/>
      <c r="O233"/>
      <c r="P233"/>
      <c r="Q233"/>
    </row>
    <row r="234" spans="1:17" x14ac:dyDescent="0.4">
      <c r="A234"/>
      <c r="B234"/>
      <c r="C234"/>
      <c r="D234"/>
      <c r="E234"/>
      <c r="F234"/>
      <c r="G234"/>
      <c r="H234"/>
      <c r="I234"/>
      <c r="J234"/>
      <c r="K234"/>
      <c r="L234"/>
      <c r="M234"/>
      <c r="N234"/>
      <c r="O234"/>
      <c r="P234"/>
      <c r="Q234"/>
    </row>
    <row r="235" spans="1:17" x14ac:dyDescent="0.4">
      <c r="A235"/>
      <c r="B235"/>
      <c r="C235"/>
      <c r="D235"/>
      <c r="E235"/>
      <c r="F235"/>
      <c r="G235"/>
      <c r="H235"/>
      <c r="I235"/>
      <c r="J235"/>
      <c r="K235"/>
      <c r="L235"/>
      <c r="M235"/>
      <c r="N235"/>
      <c r="O235"/>
      <c r="P235"/>
      <c r="Q235"/>
    </row>
    <row r="236" spans="1:17" x14ac:dyDescent="0.4">
      <c r="A236"/>
      <c r="B236"/>
      <c r="C236"/>
      <c r="D236"/>
      <c r="E236"/>
      <c r="F236"/>
      <c r="G236"/>
      <c r="H236"/>
      <c r="I236"/>
      <c r="J236"/>
      <c r="K236"/>
      <c r="L236"/>
      <c r="M236"/>
      <c r="N236"/>
      <c r="O236"/>
      <c r="P236"/>
      <c r="Q236"/>
    </row>
    <row r="237" spans="1:17" x14ac:dyDescent="0.4">
      <c r="A237"/>
      <c r="B237"/>
      <c r="C237"/>
      <c r="D237"/>
      <c r="E237"/>
      <c r="F237"/>
      <c r="G237"/>
      <c r="H237"/>
      <c r="I237"/>
      <c r="J237"/>
      <c r="K237"/>
      <c r="L237"/>
      <c r="M237"/>
      <c r="N237"/>
      <c r="O237"/>
      <c r="P237"/>
      <c r="Q237"/>
    </row>
    <row r="238" spans="1:17" x14ac:dyDescent="0.4">
      <c r="A238"/>
      <c r="B238"/>
      <c r="C238"/>
      <c r="D238"/>
      <c r="E238"/>
      <c r="F238"/>
      <c r="G238"/>
      <c r="H238"/>
      <c r="I238"/>
      <c r="J238"/>
      <c r="K238"/>
      <c r="L238"/>
      <c r="M238"/>
      <c r="N238"/>
      <c r="O238"/>
      <c r="P238"/>
      <c r="Q238"/>
    </row>
    <row r="239" spans="1:17" x14ac:dyDescent="0.4">
      <c r="A239"/>
      <c r="B239"/>
      <c r="C239"/>
      <c r="D239"/>
      <c r="E239"/>
      <c r="F239"/>
      <c r="G239"/>
      <c r="H239"/>
      <c r="I239"/>
      <c r="J239"/>
      <c r="K239"/>
      <c r="L239"/>
      <c r="M239"/>
      <c r="N239"/>
      <c r="O239"/>
      <c r="P239"/>
      <c r="Q239"/>
    </row>
    <row r="240" spans="1:17" x14ac:dyDescent="0.4">
      <c r="A240"/>
      <c r="B240"/>
      <c r="C240"/>
      <c r="D240"/>
      <c r="E240"/>
      <c r="F240"/>
      <c r="G240"/>
      <c r="H240"/>
      <c r="I240"/>
      <c r="J240"/>
      <c r="K240"/>
      <c r="L240"/>
      <c r="M240"/>
      <c r="N240"/>
      <c r="O240"/>
      <c r="P240"/>
      <c r="Q240"/>
    </row>
    <row r="241" spans="1:17" x14ac:dyDescent="0.4">
      <c r="A241"/>
      <c r="B241"/>
      <c r="C241"/>
      <c r="D241"/>
      <c r="E241"/>
      <c r="F241"/>
      <c r="G241"/>
      <c r="H241"/>
      <c r="I241"/>
      <c r="J241"/>
      <c r="K241"/>
      <c r="L241"/>
      <c r="M241"/>
      <c r="N241"/>
      <c r="O241"/>
      <c r="P241"/>
      <c r="Q241"/>
    </row>
    <row r="242" spans="1:17" x14ac:dyDescent="0.4">
      <c r="A242"/>
      <c r="B242"/>
      <c r="C242"/>
      <c r="D242"/>
      <c r="E242"/>
      <c r="F242"/>
      <c r="G242"/>
      <c r="H242"/>
      <c r="I242"/>
      <c r="J242"/>
      <c r="K242"/>
      <c r="L242"/>
      <c r="M242"/>
      <c r="N242"/>
      <c r="O242"/>
      <c r="P242"/>
      <c r="Q242"/>
    </row>
    <row r="243" spans="1:17" x14ac:dyDescent="0.4">
      <c r="A243"/>
      <c r="B243"/>
      <c r="C243"/>
      <c r="D243"/>
      <c r="E243"/>
      <c r="F243"/>
      <c r="G243"/>
      <c r="H243"/>
      <c r="I243"/>
      <c r="J243"/>
      <c r="K243"/>
      <c r="L243"/>
      <c r="M243"/>
      <c r="N243"/>
      <c r="O243"/>
      <c r="P243"/>
      <c r="Q243"/>
    </row>
    <row r="244" spans="1:17" x14ac:dyDescent="0.4">
      <c r="A244"/>
      <c r="B244"/>
      <c r="C244"/>
      <c r="D244"/>
      <c r="E244"/>
      <c r="F244"/>
      <c r="G244"/>
      <c r="H244"/>
      <c r="I244"/>
      <c r="J244"/>
      <c r="K244"/>
      <c r="L244"/>
      <c r="M244"/>
      <c r="N244"/>
      <c r="O244"/>
      <c r="P244"/>
      <c r="Q244"/>
    </row>
    <row r="245" spans="1:17" x14ac:dyDescent="0.4">
      <c r="A245"/>
      <c r="B245"/>
      <c r="C245"/>
      <c r="D245"/>
      <c r="E245"/>
      <c r="F245"/>
      <c r="G245"/>
      <c r="H245"/>
      <c r="I245"/>
      <c r="J245"/>
      <c r="K245"/>
      <c r="L245"/>
      <c r="M245"/>
      <c r="N245"/>
      <c r="O245"/>
      <c r="P245"/>
      <c r="Q245"/>
    </row>
    <row r="246" spans="1:17" x14ac:dyDescent="0.4">
      <c r="A246"/>
      <c r="B246"/>
      <c r="C246"/>
      <c r="D246"/>
      <c r="E246"/>
      <c r="F246"/>
      <c r="G246"/>
      <c r="H246"/>
      <c r="I246"/>
      <c r="J246"/>
      <c r="K246"/>
      <c r="L246"/>
      <c r="M246"/>
      <c r="N246"/>
      <c r="O246"/>
      <c r="P246"/>
      <c r="Q246"/>
    </row>
    <row r="247" spans="1:17" x14ac:dyDescent="0.4">
      <c r="A247"/>
      <c r="B247"/>
      <c r="C247"/>
      <c r="D247"/>
      <c r="E247"/>
      <c r="F247"/>
      <c r="G247"/>
      <c r="H247"/>
      <c r="I247"/>
      <c r="J247"/>
      <c r="K247"/>
      <c r="L247"/>
      <c r="M247"/>
      <c r="N247"/>
      <c r="O247"/>
      <c r="P247"/>
      <c r="Q247"/>
    </row>
    <row r="248" spans="1:17" x14ac:dyDescent="0.4">
      <c r="A248"/>
      <c r="B248"/>
      <c r="C248"/>
      <c r="D248"/>
      <c r="E248"/>
      <c r="F248"/>
      <c r="G248"/>
      <c r="H248"/>
      <c r="I248"/>
      <c r="J248"/>
      <c r="K248"/>
      <c r="L248"/>
      <c r="M248"/>
      <c r="N248"/>
      <c r="O248"/>
      <c r="P248"/>
      <c r="Q248"/>
    </row>
    <row r="249" spans="1:17" x14ac:dyDescent="0.4">
      <c r="A249"/>
      <c r="B249"/>
      <c r="C249"/>
      <c r="D249"/>
      <c r="E249"/>
      <c r="F249"/>
      <c r="G249"/>
      <c r="H249"/>
      <c r="I249"/>
      <c r="J249"/>
      <c r="K249"/>
      <c r="L249"/>
      <c r="M249"/>
      <c r="N249"/>
      <c r="O249"/>
      <c r="P249"/>
      <c r="Q249"/>
    </row>
    <row r="250" spans="1:17" x14ac:dyDescent="0.4">
      <c r="A250"/>
      <c r="B250"/>
      <c r="C250"/>
      <c r="D250"/>
      <c r="E250"/>
      <c r="F250"/>
      <c r="G250"/>
      <c r="H250"/>
      <c r="I250"/>
      <c r="J250"/>
      <c r="K250"/>
      <c r="L250"/>
      <c r="M250"/>
      <c r="N250"/>
      <c r="O250"/>
      <c r="P250"/>
      <c r="Q250"/>
    </row>
    <row r="251" spans="1:17" x14ac:dyDescent="0.4">
      <c r="A251"/>
      <c r="B251"/>
      <c r="C251"/>
      <c r="D251"/>
      <c r="E251"/>
      <c r="F251"/>
      <c r="G251"/>
      <c r="H251"/>
      <c r="I251"/>
      <c r="J251"/>
      <c r="K251"/>
      <c r="L251"/>
      <c r="M251"/>
      <c r="N251"/>
      <c r="O251"/>
      <c r="P251"/>
      <c r="Q251"/>
    </row>
    <row r="252" spans="1:17" x14ac:dyDescent="0.4">
      <c r="A252"/>
      <c r="B252"/>
      <c r="C252"/>
      <c r="D252"/>
      <c r="E252"/>
      <c r="F252"/>
      <c r="G252"/>
      <c r="H252"/>
      <c r="I252"/>
      <c r="J252"/>
      <c r="K252"/>
      <c r="L252"/>
      <c r="M252"/>
      <c r="N252"/>
      <c r="O252"/>
      <c r="P252"/>
      <c r="Q252"/>
    </row>
    <row r="253" spans="1:17" x14ac:dyDescent="0.4">
      <c r="A253"/>
      <c r="B253"/>
      <c r="C253"/>
      <c r="D253"/>
      <c r="E253"/>
      <c r="F253"/>
      <c r="G253"/>
      <c r="H253"/>
      <c r="I253"/>
      <c r="J253"/>
      <c r="K253"/>
      <c r="L253"/>
      <c r="M253"/>
      <c r="N253"/>
      <c r="O253"/>
      <c r="P253"/>
      <c r="Q253"/>
    </row>
    <row r="254" spans="1:17" x14ac:dyDescent="0.4">
      <c r="A254"/>
      <c r="B254"/>
      <c r="C254"/>
      <c r="D254"/>
      <c r="E254"/>
      <c r="F254"/>
      <c r="G254"/>
      <c r="H254"/>
      <c r="I254"/>
      <c r="J254"/>
      <c r="K254"/>
      <c r="L254"/>
      <c r="M254"/>
      <c r="N254"/>
      <c r="O254"/>
      <c r="P254"/>
      <c r="Q254"/>
    </row>
    <row r="255" spans="1:17" x14ac:dyDescent="0.4">
      <c r="A255"/>
      <c r="B255"/>
      <c r="C255"/>
      <c r="D255"/>
      <c r="E255"/>
      <c r="F255"/>
      <c r="G255"/>
      <c r="H255"/>
      <c r="I255"/>
      <c r="J255"/>
      <c r="K255"/>
      <c r="L255"/>
      <c r="M255"/>
      <c r="N255"/>
      <c r="O255"/>
      <c r="P255"/>
      <c r="Q255"/>
    </row>
    <row r="256" spans="1:17" x14ac:dyDescent="0.4">
      <c r="A256"/>
      <c r="B256"/>
      <c r="C256"/>
      <c r="D256"/>
      <c r="E256"/>
      <c r="F256"/>
      <c r="G256"/>
      <c r="H256"/>
      <c r="I256"/>
      <c r="J256"/>
      <c r="K256"/>
      <c r="L256"/>
      <c r="M256"/>
      <c r="N256"/>
      <c r="O256"/>
      <c r="P256"/>
      <c r="Q256"/>
    </row>
    <row r="257" spans="1:17" x14ac:dyDescent="0.4">
      <c r="A257"/>
      <c r="B257"/>
      <c r="C257"/>
      <c r="D257"/>
      <c r="E257"/>
      <c r="F257"/>
      <c r="G257"/>
      <c r="H257"/>
      <c r="I257"/>
      <c r="J257"/>
      <c r="K257"/>
      <c r="L257"/>
      <c r="M257"/>
      <c r="N257"/>
      <c r="O257"/>
      <c r="P257"/>
      <c r="Q257"/>
    </row>
    <row r="258" spans="1:17" x14ac:dyDescent="0.4">
      <c r="A258"/>
      <c r="B258"/>
      <c r="C258"/>
      <c r="D258"/>
      <c r="E258"/>
      <c r="F258"/>
      <c r="G258"/>
      <c r="H258"/>
      <c r="I258"/>
      <c r="J258"/>
      <c r="K258"/>
      <c r="L258"/>
      <c r="M258"/>
      <c r="N258"/>
      <c r="O258"/>
      <c r="P258"/>
      <c r="Q258"/>
    </row>
    <row r="259" spans="1:17" x14ac:dyDescent="0.4">
      <c r="A259"/>
      <c r="B259"/>
      <c r="C259"/>
      <c r="D259"/>
      <c r="E259"/>
      <c r="F259"/>
      <c r="G259"/>
      <c r="H259"/>
      <c r="I259"/>
      <c r="J259"/>
      <c r="K259"/>
      <c r="L259"/>
      <c r="M259"/>
      <c r="N259"/>
      <c r="O259"/>
      <c r="P259"/>
      <c r="Q259"/>
    </row>
    <row r="260" spans="1:17" x14ac:dyDescent="0.4">
      <c r="A260"/>
      <c r="B260"/>
      <c r="C260"/>
      <c r="D260"/>
      <c r="E260"/>
      <c r="F260"/>
      <c r="G260"/>
      <c r="H260"/>
      <c r="I260"/>
      <c r="J260"/>
      <c r="K260"/>
      <c r="L260"/>
      <c r="M260"/>
      <c r="N260"/>
      <c r="O260"/>
      <c r="P260"/>
      <c r="Q260"/>
    </row>
    <row r="261" spans="1:17" x14ac:dyDescent="0.4">
      <c r="A261"/>
      <c r="B261"/>
      <c r="C261"/>
      <c r="D261"/>
      <c r="E261"/>
      <c r="F261"/>
      <c r="G261"/>
      <c r="H261"/>
      <c r="I261"/>
      <c r="J261"/>
      <c r="K261"/>
      <c r="L261"/>
      <c r="M261"/>
      <c r="N261"/>
      <c r="O261"/>
      <c r="P261"/>
      <c r="Q261"/>
    </row>
    <row r="262" spans="1:17" x14ac:dyDescent="0.4">
      <c r="A262"/>
      <c r="B262"/>
      <c r="C262"/>
      <c r="D262"/>
      <c r="E262"/>
      <c r="F262"/>
      <c r="G262"/>
      <c r="H262"/>
      <c r="I262"/>
      <c r="J262"/>
      <c r="K262"/>
      <c r="L262"/>
      <c r="M262"/>
      <c r="N262"/>
      <c r="O262"/>
      <c r="P262"/>
      <c r="Q262"/>
    </row>
    <row r="263" spans="1:17" x14ac:dyDescent="0.4">
      <c r="A263"/>
      <c r="B263"/>
      <c r="C263"/>
      <c r="D263"/>
      <c r="E263"/>
      <c r="F263"/>
      <c r="G263"/>
      <c r="H263"/>
      <c r="I263"/>
      <c r="J263"/>
      <c r="K263"/>
      <c r="L263"/>
      <c r="M263"/>
      <c r="N263"/>
      <c r="O263"/>
      <c r="P263"/>
      <c r="Q263"/>
    </row>
    <row r="264" spans="1:17" x14ac:dyDescent="0.4">
      <c r="A264"/>
      <c r="B264"/>
      <c r="C264"/>
      <c r="D264"/>
      <c r="E264"/>
      <c r="F264"/>
      <c r="G264"/>
      <c r="H264"/>
      <c r="I264"/>
      <c r="J264"/>
      <c r="K264"/>
      <c r="L264"/>
      <c r="M264"/>
      <c r="N264"/>
      <c r="O264"/>
      <c r="P264"/>
      <c r="Q264"/>
    </row>
    <row r="265" spans="1:17" x14ac:dyDescent="0.4">
      <c r="A265"/>
      <c r="B265"/>
      <c r="C265"/>
      <c r="D265"/>
      <c r="E265"/>
      <c r="F265"/>
      <c r="G265"/>
      <c r="H265"/>
      <c r="I265"/>
      <c r="J265"/>
      <c r="K265"/>
      <c r="L265"/>
      <c r="M265"/>
      <c r="N265"/>
      <c r="O265"/>
      <c r="P265"/>
      <c r="Q265"/>
    </row>
    <row r="266" spans="1:17" x14ac:dyDescent="0.4">
      <c r="A266"/>
      <c r="B266"/>
      <c r="C266"/>
      <c r="D266"/>
      <c r="E266"/>
      <c r="F266"/>
      <c r="G266"/>
      <c r="H266"/>
      <c r="I266"/>
      <c r="J266"/>
      <c r="K266"/>
      <c r="L266"/>
      <c r="M266"/>
      <c r="N266"/>
      <c r="O266"/>
      <c r="P266"/>
      <c r="Q266"/>
    </row>
    <row r="267" spans="1:17" x14ac:dyDescent="0.4">
      <c r="A267"/>
      <c r="B267"/>
      <c r="C267"/>
      <c r="D267"/>
      <c r="E267"/>
      <c r="F267"/>
      <c r="G267"/>
      <c r="H267"/>
      <c r="I267"/>
      <c r="J267"/>
      <c r="K267"/>
      <c r="L267"/>
      <c r="M267"/>
      <c r="N267"/>
      <c r="O267"/>
      <c r="P267"/>
      <c r="Q267"/>
    </row>
    <row r="268" spans="1:17" x14ac:dyDescent="0.4">
      <c r="A268"/>
      <c r="B268"/>
      <c r="C268"/>
      <c r="D268"/>
      <c r="E268"/>
      <c r="F268"/>
      <c r="G268"/>
      <c r="H268"/>
      <c r="I268"/>
      <c r="J268"/>
      <c r="K268"/>
      <c r="L268"/>
      <c r="M268"/>
      <c r="N268"/>
      <c r="O268"/>
      <c r="P268"/>
      <c r="Q268"/>
    </row>
    <row r="269" spans="1:17" x14ac:dyDescent="0.4">
      <c r="A269"/>
      <c r="B269"/>
      <c r="C269"/>
      <c r="D269"/>
      <c r="E269"/>
      <c r="F269"/>
      <c r="G269"/>
      <c r="H269"/>
      <c r="I269"/>
      <c r="J269"/>
      <c r="K269"/>
      <c r="L269"/>
      <c r="M269"/>
      <c r="N269"/>
      <c r="O269"/>
      <c r="P269"/>
      <c r="Q269"/>
    </row>
    <row r="270" spans="1:17" x14ac:dyDescent="0.4">
      <c r="A270"/>
      <c r="B270"/>
      <c r="C270"/>
      <c r="D270"/>
      <c r="E270"/>
      <c r="F270"/>
      <c r="G270"/>
      <c r="H270"/>
      <c r="I270"/>
      <c r="J270"/>
      <c r="K270"/>
      <c r="L270"/>
      <c r="M270"/>
      <c r="N270"/>
      <c r="O270"/>
      <c r="P270"/>
      <c r="Q270"/>
    </row>
    <row r="271" spans="1:17" x14ac:dyDescent="0.4">
      <c r="A271"/>
      <c r="B271"/>
      <c r="C271"/>
      <c r="D271"/>
      <c r="E271"/>
      <c r="F271"/>
      <c r="G271"/>
      <c r="H271"/>
      <c r="I271"/>
      <c r="J271"/>
      <c r="K271"/>
      <c r="L271"/>
      <c r="M271"/>
      <c r="N271"/>
      <c r="O271"/>
      <c r="P271"/>
      <c r="Q271"/>
    </row>
    <row r="272" spans="1:17" x14ac:dyDescent="0.4">
      <c r="A272"/>
      <c r="B272"/>
      <c r="C272"/>
      <c r="D272"/>
      <c r="E272"/>
      <c r="F272"/>
      <c r="G272"/>
      <c r="H272"/>
      <c r="I272"/>
      <c r="J272"/>
      <c r="K272"/>
      <c r="L272"/>
      <c r="M272"/>
      <c r="N272"/>
      <c r="O272"/>
      <c r="P272"/>
      <c r="Q272"/>
    </row>
    <row r="273" spans="1:17" x14ac:dyDescent="0.4">
      <c r="A273"/>
      <c r="B273"/>
      <c r="C273"/>
      <c r="D273"/>
      <c r="E273"/>
      <c r="F273"/>
      <c r="G273"/>
      <c r="H273"/>
      <c r="I273"/>
      <c r="J273"/>
      <c r="K273"/>
      <c r="L273"/>
      <c r="M273"/>
      <c r="N273"/>
      <c r="O273"/>
      <c r="P273"/>
      <c r="Q273"/>
    </row>
    <row r="274" spans="1:17" x14ac:dyDescent="0.4">
      <c r="A274"/>
      <c r="B274"/>
      <c r="C274"/>
      <c r="D274"/>
      <c r="E274"/>
      <c r="F274"/>
      <c r="G274"/>
      <c r="H274"/>
      <c r="I274"/>
      <c r="J274"/>
      <c r="K274"/>
      <c r="L274"/>
      <c r="M274"/>
      <c r="N274"/>
      <c r="O274"/>
      <c r="P274"/>
      <c r="Q274"/>
    </row>
    <row r="275" spans="1:17" x14ac:dyDescent="0.4">
      <c r="A275"/>
      <c r="B275"/>
      <c r="C275"/>
      <c r="D275"/>
      <c r="E275"/>
      <c r="F275"/>
      <c r="G275"/>
      <c r="H275"/>
      <c r="I275"/>
      <c r="J275"/>
      <c r="K275"/>
      <c r="L275"/>
      <c r="M275"/>
      <c r="N275"/>
      <c r="O275"/>
      <c r="P275"/>
      <c r="Q275"/>
    </row>
    <row r="276" spans="1:17" x14ac:dyDescent="0.4">
      <c r="A276"/>
      <c r="B276"/>
      <c r="C276"/>
      <c r="D276"/>
      <c r="E276"/>
      <c r="F276"/>
      <c r="G276"/>
      <c r="H276"/>
      <c r="I276"/>
      <c r="J276"/>
      <c r="K276"/>
      <c r="L276"/>
      <c r="M276"/>
      <c r="N276"/>
      <c r="O276"/>
      <c r="P276"/>
      <c r="Q276"/>
    </row>
    <row r="277" spans="1:17" x14ac:dyDescent="0.4">
      <c r="A277"/>
      <c r="B277"/>
      <c r="C277"/>
      <c r="D277"/>
      <c r="E277"/>
      <c r="F277"/>
      <c r="G277"/>
      <c r="H277"/>
      <c r="I277"/>
      <c r="J277"/>
      <c r="K277"/>
      <c r="L277"/>
      <c r="M277"/>
      <c r="N277"/>
      <c r="O277"/>
      <c r="P277"/>
      <c r="Q277"/>
    </row>
    <row r="278" spans="1:17" x14ac:dyDescent="0.4">
      <c r="A278"/>
      <c r="B278"/>
      <c r="C278"/>
      <c r="D278"/>
      <c r="E278"/>
      <c r="F278"/>
      <c r="G278"/>
      <c r="H278"/>
      <c r="I278"/>
      <c r="J278"/>
      <c r="K278"/>
      <c r="L278"/>
      <c r="M278"/>
      <c r="N278"/>
      <c r="O278"/>
      <c r="P278"/>
      <c r="Q278"/>
    </row>
    <row r="279" spans="1:17" x14ac:dyDescent="0.4">
      <c r="A279"/>
      <c r="B279"/>
      <c r="C279"/>
      <c r="D279"/>
      <c r="E279"/>
      <c r="F279"/>
      <c r="G279"/>
      <c r="H279"/>
      <c r="I279"/>
      <c r="J279"/>
      <c r="K279"/>
      <c r="L279"/>
      <c r="M279"/>
      <c r="N279"/>
      <c r="O279"/>
      <c r="P279"/>
      <c r="Q279"/>
    </row>
    <row r="280" spans="1:17" x14ac:dyDescent="0.4">
      <c r="A280"/>
      <c r="B280"/>
      <c r="C280"/>
      <c r="D280"/>
      <c r="E280"/>
      <c r="F280"/>
      <c r="G280"/>
      <c r="H280"/>
      <c r="I280"/>
      <c r="J280"/>
      <c r="K280"/>
      <c r="L280"/>
      <c r="M280"/>
      <c r="N280"/>
      <c r="O280"/>
      <c r="P280"/>
      <c r="Q280"/>
    </row>
    <row r="281" spans="1:17" x14ac:dyDescent="0.4">
      <c r="A281"/>
      <c r="B281"/>
      <c r="C281"/>
      <c r="D281"/>
      <c r="E281"/>
      <c r="F281"/>
      <c r="G281"/>
      <c r="H281"/>
      <c r="I281"/>
      <c r="J281"/>
      <c r="K281"/>
      <c r="L281"/>
      <c r="M281"/>
      <c r="N281"/>
      <c r="O281"/>
      <c r="P281"/>
      <c r="Q281"/>
    </row>
    <row r="282" spans="1:17" x14ac:dyDescent="0.4">
      <c r="A282"/>
      <c r="B282"/>
      <c r="C282"/>
      <c r="D282"/>
      <c r="E282"/>
      <c r="F282"/>
      <c r="G282"/>
      <c r="H282"/>
      <c r="I282"/>
      <c r="J282"/>
      <c r="K282"/>
      <c r="L282"/>
      <c r="M282"/>
      <c r="N282"/>
      <c r="O282"/>
      <c r="P282"/>
      <c r="Q282"/>
    </row>
    <row r="283" spans="1:17" x14ac:dyDescent="0.4">
      <c r="A283"/>
      <c r="B283"/>
      <c r="C283"/>
      <c r="D283"/>
      <c r="E283"/>
      <c r="F283"/>
      <c r="G283"/>
      <c r="H283"/>
      <c r="I283"/>
      <c r="J283"/>
      <c r="K283"/>
      <c r="L283"/>
      <c r="M283"/>
      <c r="N283"/>
      <c r="O283"/>
      <c r="P283"/>
      <c r="Q283"/>
    </row>
    <row r="284" spans="1:17" x14ac:dyDescent="0.4">
      <c r="A284"/>
      <c r="B284"/>
      <c r="C284"/>
      <c r="D284"/>
      <c r="E284"/>
      <c r="F284"/>
      <c r="G284"/>
      <c r="H284"/>
      <c r="I284"/>
      <c r="J284"/>
      <c r="K284"/>
      <c r="L284"/>
      <c r="M284"/>
      <c r="N284"/>
      <c r="O284"/>
      <c r="P284"/>
      <c r="Q284"/>
    </row>
    <row r="285" spans="1:17" x14ac:dyDescent="0.4">
      <c r="A285"/>
      <c r="B285"/>
      <c r="C285"/>
      <c r="D285"/>
      <c r="E285"/>
      <c r="F285"/>
      <c r="G285"/>
      <c r="H285"/>
      <c r="I285"/>
      <c r="J285"/>
      <c r="K285"/>
      <c r="L285"/>
      <c r="M285"/>
      <c r="N285"/>
      <c r="O285"/>
      <c r="P285"/>
      <c r="Q285"/>
    </row>
    <row r="286" spans="1:17" x14ac:dyDescent="0.4">
      <c r="A286"/>
      <c r="B286"/>
      <c r="C286"/>
      <c r="D286"/>
      <c r="E286"/>
      <c r="F286"/>
      <c r="G286"/>
      <c r="H286"/>
      <c r="I286"/>
      <c r="J286"/>
      <c r="K286"/>
      <c r="L286"/>
      <c r="M286"/>
      <c r="N286"/>
      <c r="O286"/>
      <c r="P286"/>
      <c r="Q286"/>
    </row>
    <row r="287" spans="1:17" x14ac:dyDescent="0.4">
      <c r="A287"/>
      <c r="B287"/>
      <c r="C287"/>
      <c r="D287"/>
      <c r="E287"/>
      <c r="F287"/>
      <c r="G287"/>
      <c r="H287"/>
      <c r="I287"/>
      <c r="J287"/>
      <c r="K287"/>
      <c r="L287"/>
      <c r="M287"/>
      <c r="N287"/>
      <c r="O287"/>
      <c r="P287"/>
      <c r="Q287"/>
    </row>
    <row r="288" spans="1:17" x14ac:dyDescent="0.4">
      <c r="A288"/>
      <c r="B288"/>
      <c r="C288"/>
      <c r="D288"/>
      <c r="E288"/>
      <c r="F288"/>
      <c r="G288"/>
      <c r="H288"/>
      <c r="I288"/>
      <c r="J288"/>
      <c r="K288"/>
      <c r="L288"/>
      <c r="M288"/>
      <c r="N288"/>
      <c r="O288"/>
      <c r="P288"/>
      <c r="Q288"/>
    </row>
    <row r="289" spans="1:17" x14ac:dyDescent="0.4">
      <c r="A289"/>
      <c r="B289"/>
      <c r="C289"/>
      <c r="D289"/>
      <c r="E289"/>
      <c r="F289"/>
      <c r="G289"/>
      <c r="H289"/>
      <c r="I289"/>
      <c r="J289"/>
      <c r="K289"/>
      <c r="L289"/>
      <c r="M289"/>
      <c r="N289"/>
      <c r="O289"/>
      <c r="P289"/>
      <c r="Q289"/>
    </row>
    <row r="290" spans="1:17" x14ac:dyDescent="0.4">
      <c r="A290"/>
      <c r="B290"/>
      <c r="C290"/>
      <c r="D290"/>
      <c r="E290"/>
      <c r="F290"/>
      <c r="G290"/>
      <c r="H290"/>
      <c r="I290"/>
      <c r="J290"/>
      <c r="K290"/>
      <c r="L290"/>
      <c r="M290"/>
      <c r="N290"/>
      <c r="O290"/>
      <c r="P290"/>
      <c r="Q290"/>
    </row>
    <row r="291" spans="1:17" x14ac:dyDescent="0.4">
      <c r="A291"/>
      <c r="B291"/>
      <c r="C291"/>
      <c r="D291"/>
      <c r="E291"/>
      <c r="F291"/>
      <c r="G291"/>
      <c r="H291"/>
      <c r="I291"/>
      <c r="J291"/>
      <c r="K291"/>
      <c r="L291"/>
      <c r="M291"/>
      <c r="N291"/>
      <c r="O291"/>
      <c r="P291"/>
      <c r="Q291"/>
    </row>
    <row r="292" spans="1:17" x14ac:dyDescent="0.4">
      <c r="A292"/>
      <c r="B292"/>
      <c r="C292"/>
      <c r="D292"/>
      <c r="E292"/>
      <c r="F292"/>
      <c r="G292"/>
      <c r="H292"/>
      <c r="I292"/>
      <c r="J292"/>
      <c r="K292"/>
      <c r="L292"/>
      <c r="M292"/>
      <c r="N292"/>
      <c r="O292"/>
      <c r="P292"/>
      <c r="Q292"/>
    </row>
    <row r="293" spans="1:17" x14ac:dyDescent="0.4">
      <c r="A293"/>
      <c r="B293"/>
      <c r="C293"/>
      <c r="D293"/>
      <c r="E293"/>
      <c r="F293"/>
      <c r="G293"/>
      <c r="H293"/>
      <c r="I293"/>
      <c r="J293"/>
      <c r="K293"/>
      <c r="L293"/>
      <c r="M293"/>
      <c r="N293"/>
      <c r="O293"/>
      <c r="P293"/>
      <c r="Q293"/>
    </row>
    <row r="294" spans="1:17" x14ac:dyDescent="0.4">
      <c r="A294"/>
      <c r="B294"/>
      <c r="C294"/>
      <c r="D294"/>
      <c r="E294"/>
      <c r="F294"/>
      <c r="G294"/>
      <c r="H294"/>
      <c r="I294"/>
      <c r="J294"/>
      <c r="K294"/>
      <c r="L294"/>
      <c r="M294"/>
      <c r="N294"/>
      <c r="O294"/>
      <c r="P294"/>
      <c r="Q294"/>
    </row>
    <row r="295" spans="1:17" x14ac:dyDescent="0.4">
      <c r="A295"/>
      <c r="B295"/>
      <c r="C295"/>
      <c r="D295"/>
      <c r="E295"/>
      <c r="F295"/>
      <c r="G295"/>
      <c r="H295"/>
      <c r="I295"/>
      <c r="J295"/>
      <c r="K295"/>
      <c r="L295"/>
      <c r="M295"/>
      <c r="N295"/>
      <c r="O295"/>
      <c r="P295"/>
      <c r="Q295"/>
    </row>
    <row r="296" spans="1:17" x14ac:dyDescent="0.4">
      <c r="A296"/>
      <c r="B296"/>
      <c r="C296"/>
      <c r="D296"/>
      <c r="E296"/>
      <c r="F296"/>
      <c r="G296"/>
      <c r="H296"/>
      <c r="I296"/>
      <c r="J296"/>
      <c r="K296"/>
      <c r="L296"/>
      <c r="M296"/>
      <c r="N296"/>
      <c r="O296"/>
      <c r="P296"/>
      <c r="Q296"/>
    </row>
    <row r="297" spans="1:17" x14ac:dyDescent="0.4">
      <c r="A297"/>
      <c r="B297"/>
      <c r="C297"/>
      <c r="D297"/>
      <c r="E297"/>
      <c r="F297"/>
      <c r="G297"/>
      <c r="H297"/>
      <c r="I297"/>
      <c r="J297"/>
      <c r="K297"/>
      <c r="L297"/>
      <c r="M297"/>
      <c r="N297"/>
      <c r="O297"/>
      <c r="P297"/>
      <c r="Q297"/>
    </row>
    <row r="298" spans="1:17" x14ac:dyDescent="0.4">
      <c r="A298"/>
      <c r="B298"/>
      <c r="C298"/>
      <c r="D298"/>
      <c r="E298"/>
      <c r="F298"/>
      <c r="G298"/>
      <c r="H298"/>
      <c r="I298"/>
      <c r="J298"/>
      <c r="K298"/>
      <c r="L298"/>
      <c r="M298"/>
      <c r="N298"/>
      <c r="O298"/>
      <c r="P298"/>
      <c r="Q298"/>
    </row>
    <row r="299" spans="1:17" x14ac:dyDescent="0.4">
      <c r="A299"/>
      <c r="B299"/>
      <c r="C299"/>
      <c r="D299"/>
      <c r="E299"/>
      <c r="F299"/>
      <c r="G299"/>
      <c r="H299"/>
      <c r="I299"/>
      <c r="J299"/>
      <c r="K299"/>
      <c r="L299"/>
      <c r="M299"/>
      <c r="N299"/>
      <c r="O299"/>
      <c r="P299"/>
      <c r="Q299"/>
    </row>
    <row r="300" spans="1:17" x14ac:dyDescent="0.4">
      <c r="A300"/>
      <c r="B300"/>
      <c r="C300"/>
      <c r="D300"/>
      <c r="E300"/>
      <c r="F300"/>
      <c r="G300"/>
      <c r="H300"/>
      <c r="I300"/>
      <c r="J300"/>
      <c r="K300"/>
      <c r="L300"/>
      <c r="M300"/>
      <c r="N300"/>
      <c r="O300"/>
      <c r="P300"/>
      <c r="Q300"/>
    </row>
    <row r="301" spans="1:17" x14ac:dyDescent="0.4">
      <c r="A301"/>
      <c r="B301"/>
      <c r="C301"/>
      <c r="D301"/>
      <c r="E301"/>
      <c r="F301"/>
      <c r="G301"/>
      <c r="H301"/>
      <c r="I301"/>
      <c r="J301"/>
      <c r="K301"/>
      <c r="L301"/>
      <c r="M301"/>
      <c r="N301"/>
      <c r="O301"/>
      <c r="P301"/>
      <c r="Q301"/>
    </row>
    <row r="302" spans="1:17" x14ac:dyDescent="0.4">
      <c r="A302"/>
      <c r="B302"/>
      <c r="C302"/>
      <c r="D302"/>
      <c r="E302"/>
      <c r="F302"/>
      <c r="G302"/>
      <c r="H302"/>
      <c r="I302"/>
      <c r="J302"/>
      <c r="K302"/>
      <c r="L302"/>
      <c r="M302"/>
      <c r="N302"/>
      <c r="O302"/>
      <c r="P302"/>
      <c r="Q302"/>
    </row>
    <row r="303" spans="1:17" x14ac:dyDescent="0.4">
      <c r="A303"/>
      <c r="B303"/>
      <c r="C303"/>
      <c r="D303"/>
      <c r="E303"/>
      <c r="F303"/>
      <c r="G303"/>
      <c r="H303"/>
      <c r="I303"/>
      <c r="J303"/>
      <c r="K303"/>
      <c r="L303"/>
      <c r="M303"/>
      <c r="N303"/>
      <c r="O303"/>
      <c r="P303"/>
      <c r="Q303"/>
    </row>
    <row r="304" spans="1:17" x14ac:dyDescent="0.4">
      <c r="A304"/>
      <c r="B304"/>
      <c r="C304"/>
      <c r="D304"/>
      <c r="E304"/>
      <c r="F304"/>
      <c r="G304"/>
      <c r="H304"/>
      <c r="I304"/>
      <c r="J304"/>
      <c r="K304"/>
      <c r="L304"/>
      <c r="M304"/>
      <c r="N304"/>
      <c r="O304"/>
      <c r="P304"/>
      <c r="Q304"/>
    </row>
    <row r="305" spans="1:17" x14ac:dyDescent="0.4">
      <c r="A305"/>
      <c r="B305"/>
      <c r="C305"/>
      <c r="D305"/>
      <c r="E305"/>
      <c r="F305"/>
      <c r="G305"/>
      <c r="H305"/>
      <c r="I305"/>
      <c r="J305"/>
      <c r="K305"/>
      <c r="L305"/>
      <c r="M305"/>
      <c r="N305"/>
      <c r="O305"/>
      <c r="P305"/>
      <c r="Q305"/>
    </row>
    <row r="306" spans="1:17" x14ac:dyDescent="0.4">
      <c r="A306"/>
      <c r="B306"/>
      <c r="C306"/>
      <c r="D306"/>
      <c r="E306"/>
      <c r="F306"/>
      <c r="G306"/>
      <c r="H306"/>
      <c r="I306"/>
      <c r="J306"/>
      <c r="K306"/>
      <c r="L306"/>
      <c r="M306"/>
      <c r="N306"/>
      <c r="O306"/>
      <c r="P306"/>
      <c r="Q306"/>
    </row>
    <row r="307" spans="1:17" x14ac:dyDescent="0.4">
      <c r="A307"/>
      <c r="B307"/>
      <c r="C307"/>
      <c r="D307"/>
      <c r="E307"/>
      <c r="F307"/>
      <c r="G307"/>
      <c r="H307"/>
      <c r="I307"/>
      <c r="J307"/>
      <c r="K307"/>
      <c r="L307"/>
      <c r="M307"/>
      <c r="N307"/>
      <c r="O307"/>
      <c r="P307"/>
      <c r="Q307"/>
    </row>
    <row r="308" spans="1:17" x14ac:dyDescent="0.4">
      <c r="A308"/>
      <c r="B308"/>
      <c r="C308"/>
      <c r="D308"/>
      <c r="E308"/>
      <c r="F308"/>
      <c r="G308"/>
      <c r="H308"/>
      <c r="I308"/>
      <c r="J308"/>
      <c r="K308"/>
      <c r="L308"/>
      <c r="M308"/>
      <c r="N308"/>
      <c r="O308"/>
      <c r="P308"/>
      <c r="Q308"/>
    </row>
    <row r="309" spans="1:17" x14ac:dyDescent="0.4">
      <c r="A309"/>
      <c r="B309"/>
      <c r="C309"/>
      <c r="D309"/>
      <c r="E309"/>
      <c r="F309"/>
      <c r="G309"/>
      <c r="H309"/>
      <c r="I309"/>
      <c r="J309"/>
      <c r="K309"/>
      <c r="L309"/>
      <c r="M309"/>
      <c r="N309"/>
      <c r="O309"/>
      <c r="P309"/>
      <c r="Q309"/>
    </row>
    <row r="310" spans="1:17" x14ac:dyDescent="0.4">
      <c r="A310"/>
      <c r="B310"/>
      <c r="C310"/>
      <c r="D310"/>
      <c r="E310"/>
      <c r="F310"/>
      <c r="G310"/>
      <c r="H310"/>
      <c r="I310"/>
      <c r="J310"/>
      <c r="K310"/>
      <c r="L310"/>
      <c r="M310"/>
      <c r="N310"/>
      <c r="O310"/>
      <c r="P310"/>
      <c r="Q310"/>
    </row>
    <row r="311" spans="1:17" x14ac:dyDescent="0.4">
      <c r="A311"/>
      <c r="B311"/>
      <c r="C311"/>
      <c r="D311"/>
      <c r="E311"/>
      <c r="F311"/>
      <c r="G311"/>
      <c r="H311"/>
      <c r="I311"/>
      <c r="J311"/>
      <c r="K311"/>
      <c r="L311"/>
      <c r="M311"/>
      <c r="N311"/>
      <c r="O311"/>
      <c r="P311"/>
      <c r="Q311"/>
    </row>
    <row r="312" spans="1:17" x14ac:dyDescent="0.4">
      <c r="A312"/>
      <c r="B312"/>
      <c r="C312"/>
      <c r="D312"/>
      <c r="E312"/>
      <c r="F312"/>
      <c r="G312"/>
      <c r="H312"/>
      <c r="I312"/>
      <c r="J312"/>
      <c r="K312"/>
      <c r="L312"/>
      <c r="M312"/>
      <c r="N312"/>
      <c r="O312"/>
      <c r="P312"/>
      <c r="Q312"/>
    </row>
    <row r="313" spans="1:17" x14ac:dyDescent="0.4">
      <c r="A313"/>
      <c r="B313"/>
      <c r="C313"/>
      <c r="D313"/>
      <c r="E313"/>
      <c r="F313"/>
      <c r="G313"/>
      <c r="H313"/>
      <c r="I313"/>
      <c r="J313"/>
      <c r="K313"/>
      <c r="L313"/>
      <c r="M313"/>
      <c r="N313"/>
      <c r="O313"/>
      <c r="P313"/>
      <c r="Q313"/>
    </row>
    <row r="314" spans="1:17" x14ac:dyDescent="0.4">
      <c r="A314"/>
      <c r="B314"/>
      <c r="C314"/>
      <c r="D314"/>
      <c r="E314"/>
      <c r="F314"/>
      <c r="G314"/>
      <c r="H314"/>
      <c r="I314"/>
      <c r="J314"/>
      <c r="K314"/>
      <c r="L314"/>
      <c r="M314"/>
      <c r="N314"/>
      <c r="O314"/>
      <c r="P314"/>
      <c r="Q314"/>
    </row>
    <row r="315" spans="1:17" x14ac:dyDescent="0.4">
      <c r="A315"/>
      <c r="B315"/>
      <c r="C315"/>
      <c r="D315"/>
      <c r="E315"/>
      <c r="F315"/>
      <c r="G315"/>
      <c r="H315"/>
      <c r="I315"/>
      <c r="J315"/>
      <c r="K315"/>
      <c r="L315"/>
      <c r="M315"/>
      <c r="N315"/>
      <c r="O315"/>
      <c r="P315"/>
      <c r="Q315"/>
    </row>
    <row r="316" spans="1:17" x14ac:dyDescent="0.4">
      <c r="A316"/>
      <c r="B316"/>
      <c r="C316"/>
      <c r="D316"/>
      <c r="E316"/>
      <c r="F316"/>
      <c r="G316"/>
      <c r="H316"/>
      <c r="I316"/>
      <c r="J316"/>
      <c r="K316"/>
      <c r="L316"/>
      <c r="M316"/>
      <c r="N316"/>
      <c r="O316"/>
      <c r="P316"/>
      <c r="Q316"/>
    </row>
    <row r="317" spans="1:17" x14ac:dyDescent="0.4">
      <c r="A317"/>
      <c r="B317"/>
      <c r="C317"/>
      <c r="D317"/>
      <c r="E317"/>
      <c r="F317"/>
      <c r="G317"/>
      <c r="H317"/>
      <c r="I317"/>
      <c r="J317"/>
      <c r="K317"/>
      <c r="L317"/>
      <c r="M317"/>
      <c r="N317"/>
      <c r="O317"/>
      <c r="P317"/>
      <c r="Q317"/>
    </row>
    <row r="318" spans="1:17" x14ac:dyDescent="0.4">
      <c r="A318"/>
      <c r="B318"/>
      <c r="C318"/>
      <c r="D318"/>
      <c r="E318"/>
      <c r="F318"/>
      <c r="G318"/>
      <c r="H318"/>
      <c r="I318"/>
      <c r="J318"/>
      <c r="K318"/>
      <c r="L318"/>
      <c r="M318"/>
      <c r="N318"/>
      <c r="O318"/>
      <c r="P318"/>
      <c r="Q318"/>
    </row>
    <row r="319" spans="1:17" x14ac:dyDescent="0.4">
      <c r="A319"/>
      <c r="B319"/>
      <c r="C319"/>
      <c r="D319"/>
      <c r="E319"/>
      <c r="F319"/>
      <c r="G319"/>
      <c r="H319"/>
      <c r="I319"/>
      <c r="J319"/>
      <c r="K319"/>
      <c r="L319"/>
      <c r="M319"/>
      <c r="N319"/>
      <c r="O319"/>
      <c r="P319"/>
      <c r="Q319"/>
    </row>
    <row r="320" spans="1:17" x14ac:dyDescent="0.4">
      <c r="A320"/>
      <c r="B320"/>
      <c r="C320"/>
      <c r="D320"/>
      <c r="E320"/>
      <c r="F320"/>
      <c r="G320"/>
      <c r="H320"/>
      <c r="I320"/>
      <c r="J320"/>
      <c r="K320"/>
      <c r="L320"/>
      <c r="M320"/>
      <c r="N320"/>
      <c r="O320"/>
      <c r="P320"/>
      <c r="Q320"/>
    </row>
    <row r="321" spans="1:17" x14ac:dyDescent="0.4">
      <c r="A321"/>
      <c r="B321"/>
      <c r="C321"/>
      <c r="D321"/>
      <c r="E321"/>
      <c r="F321"/>
      <c r="G321"/>
      <c r="H321"/>
      <c r="I321"/>
      <c r="J321"/>
      <c r="K321"/>
      <c r="L321"/>
      <c r="M321"/>
      <c r="N321"/>
      <c r="O321"/>
      <c r="P321"/>
      <c r="Q321"/>
    </row>
    <row r="322" spans="1:17" x14ac:dyDescent="0.4">
      <c r="A322"/>
      <c r="B322"/>
      <c r="C322"/>
      <c r="D322"/>
      <c r="E322"/>
      <c r="F322"/>
      <c r="G322"/>
      <c r="H322"/>
      <c r="I322"/>
      <c r="J322"/>
      <c r="K322"/>
      <c r="L322"/>
      <c r="M322"/>
      <c r="N322"/>
      <c r="O322"/>
      <c r="P322"/>
      <c r="Q322"/>
    </row>
    <row r="323" spans="1:17" x14ac:dyDescent="0.4">
      <c r="A323"/>
      <c r="B323"/>
      <c r="C323"/>
      <c r="D323"/>
      <c r="E323"/>
      <c r="F323"/>
      <c r="G323"/>
      <c r="H323"/>
      <c r="I323"/>
      <c r="J323"/>
      <c r="K323"/>
      <c r="L323"/>
      <c r="M323"/>
      <c r="N323"/>
      <c r="O323"/>
      <c r="P323"/>
      <c r="Q323"/>
    </row>
    <row r="324" spans="1:17" x14ac:dyDescent="0.4">
      <c r="A324"/>
      <c r="B324"/>
      <c r="C324"/>
      <c r="D324"/>
      <c r="E324"/>
      <c r="F324"/>
      <c r="G324"/>
      <c r="H324"/>
      <c r="I324"/>
      <c r="J324"/>
      <c r="K324"/>
      <c r="L324"/>
      <c r="M324"/>
      <c r="N324"/>
      <c r="O324"/>
      <c r="P324"/>
      <c r="Q324"/>
    </row>
    <row r="325" spans="1:17" x14ac:dyDescent="0.4">
      <c r="A325"/>
      <c r="B325"/>
      <c r="C325"/>
      <c r="D325"/>
      <c r="E325"/>
      <c r="F325"/>
      <c r="G325"/>
      <c r="H325"/>
      <c r="I325"/>
      <c r="J325"/>
      <c r="K325"/>
      <c r="L325"/>
      <c r="M325"/>
      <c r="N325"/>
      <c r="O325"/>
      <c r="P325"/>
      <c r="Q325"/>
    </row>
    <row r="326" spans="1:17" x14ac:dyDescent="0.4">
      <c r="A326"/>
      <c r="B326"/>
      <c r="C326"/>
      <c r="D326"/>
      <c r="E326"/>
      <c r="F326"/>
      <c r="G326"/>
      <c r="H326"/>
      <c r="I326"/>
      <c r="J326"/>
      <c r="K326"/>
      <c r="L326"/>
      <c r="M326"/>
      <c r="N326"/>
      <c r="O326"/>
      <c r="P326"/>
      <c r="Q326"/>
    </row>
    <row r="327" spans="1:17" x14ac:dyDescent="0.4">
      <c r="A327"/>
      <c r="B327"/>
      <c r="C327"/>
      <c r="D327"/>
      <c r="E327"/>
      <c r="F327"/>
      <c r="G327"/>
      <c r="H327"/>
      <c r="I327"/>
      <c r="J327"/>
      <c r="K327"/>
      <c r="L327"/>
      <c r="M327"/>
      <c r="N327"/>
      <c r="O327"/>
      <c r="P327"/>
      <c r="Q327"/>
    </row>
    <row r="328" spans="1:17" x14ac:dyDescent="0.4">
      <c r="A328"/>
      <c r="B328"/>
      <c r="C328"/>
      <c r="D328"/>
      <c r="E328"/>
      <c r="F328"/>
      <c r="G328"/>
      <c r="H328"/>
      <c r="I328"/>
      <c r="J328"/>
      <c r="K328"/>
      <c r="L328"/>
      <c r="M328"/>
      <c r="N328"/>
      <c r="O328"/>
      <c r="P328"/>
      <c r="Q328"/>
    </row>
    <row r="329" spans="1:17" x14ac:dyDescent="0.4">
      <c r="A329"/>
      <c r="B329"/>
      <c r="C329"/>
      <c r="D329"/>
      <c r="E329"/>
      <c r="F329"/>
      <c r="G329"/>
      <c r="H329"/>
      <c r="I329"/>
      <c r="J329"/>
      <c r="K329"/>
      <c r="L329"/>
      <c r="M329"/>
      <c r="N329"/>
      <c r="O329"/>
      <c r="P329"/>
      <c r="Q329"/>
    </row>
    <row r="330" spans="1:17" x14ac:dyDescent="0.4">
      <c r="A330"/>
      <c r="B330"/>
      <c r="C330"/>
      <c r="D330"/>
      <c r="E330"/>
      <c r="F330"/>
      <c r="G330"/>
      <c r="H330"/>
      <c r="I330"/>
      <c r="J330"/>
      <c r="K330"/>
      <c r="L330"/>
      <c r="M330"/>
      <c r="N330"/>
      <c r="O330"/>
      <c r="P330"/>
      <c r="Q330"/>
    </row>
    <row r="331" spans="1:17" x14ac:dyDescent="0.4">
      <c r="A331"/>
      <c r="B331"/>
      <c r="C331"/>
      <c r="D331"/>
      <c r="E331"/>
      <c r="F331"/>
      <c r="G331"/>
      <c r="H331"/>
      <c r="I331"/>
      <c r="J331"/>
      <c r="K331"/>
      <c r="L331"/>
      <c r="M331"/>
      <c r="N331"/>
      <c r="O331"/>
      <c r="P331"/>
      <c r="Q331"/>
    </row>
    <row r="332" spans="1:17" x14ac:dyDescent="0.4">
      <c r="A332"/>
      <c r="B332"/>
      <c r="C332"/>
      <c r="D332"/>
      <c r="E332"/>
      <c r="F332"/>
      <c r="G332"/>
      <c r="H332"/>
      <c r="I332"/>
      <c r="J332"/>
      <c r="K332"/>
      <c r="L332"/>
      <c r="M332"/>
      <c r="N332"/>
      <c r="O332"/>
      <c r="P332"/>
      <c r="Q332"/>
    </row>
    <row r="333" spans="1:17" x14ac:dyDescent="0.4">
      <c r="A333"/>
      <c r="B333"/>
      <c r="C333"/>
      <c r="D333"/>
      <c r="E333"/>
      <c r="F333"/>
      <c r="G333"/>
      <c r="H333"/>
      <c r="I333"/>
      <c r="J333"/>
      <c r="K333"/>
      <c r="L333"/>
      <c r="M333"/>
      <c r="N333"/>
      <c r="O333"/>
      <c r="P333"/>
      <c r="Q333"/>
    </row>
    <row r="334" spans="1:17" x14ac:dyDescent="0.4">
      <c r="A334"/>
      <c r="B334"/>
      <c r="C334"/>
      <c r="D334"/>
      <c r="E334"/>
      <c r="F334"/>
      <c r="G334"/>
      <c r="H334"/>
      <c r="I334"/>
      <c r="J334"/>
      <c r="K334"/>
      <c r="L334"/>
      <c r="M334"/>
      <c r="N334"/>
      <c r="O334"/>
      <c r="P334"/>
      <c r="Q334"/>
    </row>
    <row r="335" spans="1:17" x14ac:dyDescent="0.4">
      <c r="A335"/>
      <c r="B335"/>
      <c r="C335"/>
      <c r="D335"/>
      <c r="E335"/>
      <c r="F335"/>
      <c r="G335"/>
      <c r="H335"/>
      <c r="I335"/>
      <c r="J335"/>
      <c r="K335"/>
      <c r="L335"/>
      <c r="M335"/>
      <c r="N335"/>
      <c r="O335"/>
      <c r="P335"/>
      <c r="Q335"/>
    </row>
    <row r="336" spans="1:17" x14ac:dyDescent="0.4">
      <c r="A336"/>
      <c r="B336"/>
      <c r="C336"/>
      <c r="D336"/>
      <c r="E336"/>
      <c r="F336"/>
      <c r="G336"/>
      <c r="H336"/>
      <c r="I336"/>
      <c r="J336"/>
      <c r="K336"/>
      <c r="L336"/>
      <c r="M336"/>
      <c r="N336"/>
      <c r="O336"/>
      <c r="P336"/>
      <c r="Q336"/>
    </row>
    <row r="337" spans="1:17" x14ac:dyDescent="0.4">
      <c r="A337"/>
      <c r="B337"/>
      <c r="C337"/>
      <c r="D337"/>
      <c r="E337"/>
      <c r="F337"/>
      <c r="G337"/>
      <c r="H337"/>
      <c r="I337"/>
      <c r="J337"/>
      <c r="K337"/>
      <c r="L337"/>
      <c r="M337"/>
      <c r="N337"/>
      <c r="O337"/>
      <c r="P337"/>
      <c r="Q337"/>
    </row>
    <row r="338" spans="1:17" x14ac:dyDescent="0.4">
      <c r="A338"/>
      <c r="B338"/>
      <c r="C338"/>
      <c r="D338"/>
      <c r="E338"/>
      <c r="F338"/>
      <c r="G338"/>
      <c r="H338"/>
      <c r="I338"/>
      <c r="J338"/>
      <c r="K338"/>
      <c r="L338"/>
      <c r="M338"/>
      <c r="N338"/>
      <c r="O338"/>
      <c r="P338"/>
      <c r="Q338"/>
    </row>
    <row r="339" spans="1:17" x14ac:dyDescent="0.4">
      <c r="A339"/>
      <c r="B339"/>
      <c r="C339"/>
      <c r="D339"/>
      <c r="E339"/>
      <c r="F339"/>
      <c r="G339"/>
      <c r="H339"/>
      <c r="I339"/>
      <c r="J339"/>
      <c r="K339"/>
      <c r="L339"/>
      <c r="M339"/>
      <c r="N339"/>
      <c r="O339"/>
      <c r="P339"/>
      <c r="Q339"/>
    </row>
    <row r="340" spans="1:17" x14ac:dyDescent="0.4">
      <c r="A340"/>
      <c r="B340"/>
      <c r="C340"/>
      <c r="D340"/>
      <c r="E340"/>
      <c r="F340"/>
      <c r="G340"/>
      <c r="H340"/>
      <c r="I340"/>
      <c r="J340"/>
      <c r="K340"/>
      <c r="L340"/>
      <c r="M340"/>
      <c r="N340"/>
      <c r="O340"/>
      <c r="P340"/>
      <c r="Q340"/>
    </row>
    <row r="341" spans="1:17" x14ac:dyDescent="0.4">
      <c r="A341"/>
      <c r="B341"/>
      <c r="C341"/>
      <c r="D341"/>
      <c r="E341"/>
      <c r="F341"/>
      <c r="G341"/>
      <c r="H341"/>
      <c r="I341"/>
      <c r="J341"/>
      <c r="K341"/>
      <c r="L341"/>
      <c r="M341"/>
      <c r="N341"/>
      <c r="O341"/>
      <c r="P341"/>
      <c r="Q341"/>
    </row>
    <row r="342" spans="1:17" x14ac:dyDescent="0.4">
      <c r="A342"/>
      <c r="B342"/>
      <c r="C342"/>
      <c r="D342"/>
      <c r="E342"/>
      <c r="F342"/>
      <c r="G342"/>
      <c r="H342"/>
      <c r="I342"/>
      <c r="J342"/>
      <c r="K342"/>
      <c r="L342"/>
      <c r="M342"/>
      <c r="N342"/>
      <c r="O342"/>
      <c r="P342"/>
      <c r="Q342"/>
    </row>
    <row r="343" spans="1:17" x14ac:dyDescent="0.4">
      <c r="A343"/>
      <c r="B343"/>
      <c r="C343"/>
      <c r="D343"/>
      <c r="E343"/>
      <c r="F343"/>
      <c r="G343"/>
      <c r="H343"/>
      <c r="I343"/>
      <c r="J343"/>
      <c r="K343"/>
      <c r="L343"/>
      <c r="M343"/>
      <c r="N343"/>
      <c r="O343"/>
      <c r="P343"/>
      <c r="Q343"/>
    </row>
    <row r="344" spans="1:17" x14ac:dyDescent="0.4">
      <c r="A344"/>
      <c r="B344"/>
      <c r="C344"/>
      <c r="D344"/>
      <c r="E344"/>
      <c r="F344"/>
      <c r="G344"/>
      <c r="H344"/>
      <c r="I344"/>
      <c r="J344"/>
      <c r="K344"/>
      <c r="L344"/>
      <c r="M344"/>
      <c r="N344"/>
      <c r="O344"/>
      <c r="P344"/>
      <c r="Q344"/>
    </row>
    <row r="345" spans="1:17" x14ac:dyDescent="0.4">
      <c r="A345"/>
      <c r="B345"/>
      <c r="C345"/>
      <c r="D345"/>
      <c r="E345"/>
      <c r="F345"/>
      <c r="G345"/>
      <c r="H345"/>
      <c r="I345"/>
      <c r="J345"/>
      <c r="K345"/>
      <c r="L345"/>
      <c r="M345"/>
      <c r="N345"/>
      <c r="O345"/>
      <c r="P345"/>
      <c r="Q345"/>
    </row>
    <row r="346" spans="1:17" x14ac:dyDescent="0.4">
      <c r="A346"/>
      <c r="B346"/>
      <c r="C346"/>
      <c r="D346"/>
      <c r="E346"/>
      <c r="F346"/>
      <c r="G346"/>
      <c r="H346"/>
      <c r="I346"/>
      <c r="J346"/>
      <c r="K346"/>
      <c r="L346"/>
      <c r="M346"/>
      <c r="N346"/>
      <c r="O346"/>
      <c r="P346"/>
      <c r="Q346"/>
    </row>
    <row r="347" spans="1:17" x14ac:dyDescent="0.4">
      <c r="A347"/>
      <c r="B347"/>
      <c r="C347"/>
      <c r="D347"/>
      <c r="E347"/>
      <c r="F347"/>
      <c r="G347"/>
      <c r="H347"/>
      <c r="I347"/>
      <c r="J347"/>
      <c r="K347"/>
      <c r="L347"/>
      <c r="M347"/>
      <c r="N347"/>
      <c r="O347"/>
      <c r="P347"/>
      <c r="Q347"/>
    </row>
    <row r="348" spans="1:17" x14ac:dyDescent="0.4">
      <c r="A348"/>
      <c r="B348"/>
      <c r="C348"/>
      <c r="D348"/>
      <c r="E348"/>
      <c r="F348"/>
      <c r="G348"/>
      <c r="H348"/>
      <c r="I348"/>
      <c r="J348"/>
      <c r="K348"/>
      <c r="L348"/>
      <c r="M348"/>
      <c r="N348"/>
      <c r="O348"/>
      <c r="P348"/>
      <c r="Q348"/>
    </row>
    <row r="349" spans="1:17" x14ac:dyDescent="0.4">
      <c r="A349"/>
      <c r="B349"/>
      <c r="C349"/>
      <c r="D349"/>
      <c r="E349"/>
      <c r="F349"/>
      <c r="G349"/>
      <c r="H349"/>
      <c r="I349"/>
      <c r="J349"/>
      <c r="K349"/>
      <c r="L349"/>
      <c r="M349"/>
      <c r="N349"/>
      <c r="O349"/>
      <c r="P349"/>
      <c r="Q349"/>
    </row>
    <row r="350" spans="1:17" x14ac:dyDescent="0.4">
      <c r="A350"/>
      <c r="B350"/>
      <c r="C350"/>
      <c r="D350"/>
      <c r="E350"/>
      <c r="F350"/>
      <c r="G350"/>
      <c r="H350"/>
      <c r="I350"/>
      <c r="J350"/>
      <c r="K350"/>
      <c r="L350"/>
      <c r="M350"/>
      <c r="N350"/>
      <c r="O350"/>
      <c r="P350"/>
      <c r="Q350"/>
    </row>
    <row r="351" spans="1:17" x14ac:dyDescent="0.4">
      <c r="A351"/>
      <c r="B351"/>
      <c r="C351"/>
      <c r="D351"/>
      <c r="E351"/>
      <c r="F351"/>
      <c r="G351"/>
      <c r="H351"/>
      <c r="I351"/>
      <c r="J351"/>
      <c r="K351"/>
      <c r="L351"/>
      <c r="M351"/>
      <c r="N351"/>
      <c r="O351"/>
      <c r="P351"/>
      <c r="Q351"/>
    </row>
    <row r="352" spans="1:17" x14ac:dyDescent="0.4">
      <c r="A352"/>
      <c r="B352"/>
      <c r="C352"/>
      <c r="D352"/>
      <c r="E352"/>
      <c r="F352"/>
      <c r="G352"/>
      <c r="H352"/>
      <c r="I352"/>
      <c r="J352"/>
      <c r="K352"/>
      <c r="L352"/>
      <c r="M352"/>
      <c r="N352"/>
      <c r="O352"/>
      <c r="P352"/>
      <c r="Q352"/>
    </row>
    <row r="353" spans="1:17" x14ac:dyDescent="0.4">
      <c r="A353"/>
      <c r="B353"/>
      <c r="C353"/>
      <c r="D353"/>
      <c r="E353"/>
      <c r="F353"/>
      <c r="G353"/>
      <c r="H353"/>
      <c r="I353"/>
      <c r="J353"/>
      <c r="K353"/>
      <c r="L353"/>
      <c r="M353"/>
      <c r="N353"/>
      <c r="O353"/>
      <c r="P353"/>
      <c r="Q353"/>
    </row>
    <row r="354" spans="1:17" x14ac:dyDescent="0.4">
      <c r="A354"/>
      <c r="B354"/>
      <c r="C354"/>
      <c r="D354"/>
      <c r="E354"/>
      <c r="F354"/>
      <c r="G354"/>
      <c r="H354"/>
      <c r="I354"/>
      <c r="J354"/>
      <c r="K354"/>
      <c r="L354"/>
      <c r="M354"/>
      <c r="N354"/>
      <c r="O354"/>
      <c r="P354"/>
      <c r="Q354"/>
    </row>
    <row r="355" spans="1:17" x14ac:dyDescent="0.4">
      <c r="A355"/>
      <c r="B355"/>
      <c r="C355"/>
      <c r="D355"/>
      <c r="E355"/>
      <c r="F355"/>
      <c r="G355"/>
      <c r="H355"/>
      <c r="I355"/>
      <c r="J355"/>
      <c r="K355"/>
      <c r="L355"/>
      <c r="M355"/>
      <c r="N355"/>
      <c r="O355"/>
      <c r="P355"/>
      <c r="Q355"/>
    </row>
    <row r="356" spans="1:17" x14ac:dyDescent="0.4">
      <c r="A356"/>
      <c r="B356"/>
      <c r="C356"/>
      <c r="D356"/>
      <c r="E356"/>
      <c r="F356"/>
      <c r="G356"/>
      <c r="H356"/>
      <c r="I356"/>
      <c r="J356"/>
      <c r="K356"/>
      <c r="L356"/>
      <c r="M356"/>
      <c r="N356"/>
      <c r="O356"/>
      <c r="P356"/>
      <c r="Q356"/>
    </row>
    <row r="357" spans="1:17" x14ac:dyDescent="0.4">
      <c r="A357"/>
      <c r="B357"/>
      <c r="C357"/>
      <c r="D357"/>
      <c r="E357"/>
      <c r="F357"/>
      <c r="G357"/>
      <c r="H357"/>
      <c r="I357"/>
      <c r="J357"/>
      <c r="K357"/>
      <c r="L357"/>
      <c r="M357"/>
      <c r="N357"/>
      <c r="O357"/>
      <c r="P357"/>
      <c r="Q357"/>
    </row>
    <row r="358" spans="1:17" x14ac:dyDescent="0.4">
      <c r="A358"/>
      <c r="B358"/>
      <c r="C358"/>
      <c r="D358"/>
      <c r="E358"/>
      <c r="F358"/>
      <c r="G358"/>
      <c r="H358"/>
      <c r="I358"/>
      <c r="J358"/>
      <c r="K358"/>
      <c r="L358"/>
      <c r="M358"/>
      <c r="N358"/>
      <c r="O358"/>
      <c r="P358"/>
      <c r="Q358"/>
    </row>
    <row r="359" spans="1:17" x14ac:dyDescent="0.4">
      <c r="A359"/>
      <c r="B359"/>
      <c r="C359"/>
      <c r="D359"/>
      <c r="E359"/>
      <c r="F359"/>
      <c r="G359"/>
      <c r="H359"/>
      <c r="I359"/>
      <c r="J359"/>
      <c r="K359"/>
      <c r="L359"/>
      <c r="M359"/>
      <c r="N359"/>
      <c r="O359"/>
      <c r="P359"/>
      <c r="Q359"/>
    </row>
    <row r="360" spans="1:17" x14ac:dyDescent="0.4">
      <c r="A360"/>
      <c r="B360"/>
      <c r="C360"/>
      <c r="D360"/>
      <c r="E360"/>
      <c r="F360"/>
      <c r="G360"/>
      <c r="H360"/>
      <c r="I360"/>
      <c r="J360"/>
      <c r="K360"/>
      <c r="L360"/>
      <c r="M360"/>
      <c r="N360"/>
      <c r="O360"/>
      <c r="P360"/>
      <c r="Q360"/>
    </row>
    <row r="361" spans="1:17" x14ac:dyDescent="0.4">
      <c r="A361"/>
      <c r="B361"/>
      <c r="C361"/>
      <c r="D361"/>
      <c r="E361"/>
      <c r="F361"/>
      <c r="G361"/>
      <c r="H361"/>
      <c r="I361"/>
      <c r="J361"/>
      <c r="K361"/>
      <c r="L361"/>
      <c r="M361"/>
      <c r="N361"/>
      <c r="O361"/>
      <c r="P361"/>
      <c r="Q361"/>
    </row>
    <row r="362" spans="1:17" x14ac:dyDescent="0.4">
      <c r="A362"/>
      <c r="B362"/>
      <c r="C362"/>
      <c r="D362"/>
      <c r="E362"/>
      <c r="F362"/>
      <c r="G362"/>
      <c r="H362"/>
      <c r="I362"/>
      <c r="J362"/>
      <c r="K362"/>
      <c r="L362"/>
      <c r="M362"/>
      <c r="N362"/>
      <c r="O362"/>
      <c r="P362"/>
      <c r="Q362"/>
    </row>
    <row r="363" spans="1:17" x14ac:dyDescent="0.4">
      <c r="A363"/>
      <c r="B363"/>
      <c r="C363"/>
      <c r="D363"/>
      <c r="E363"/>
      <c r="F363"/>
      <c r="G363"/>
      <c r="H363"/>
      <c r="I363"/>
      <c r="J363"/>
      <c r="K363"/>
      <c r="L363"/>
      <c r="M363"/>
      <c r="N363"/>
      <c r="O363"/>
      <c r="P363"/>
      <c r="Q363"/>
    </row>
    <row r="364" spans="1:17" x14ac:dyDescent="0.4">
      <c r="A364"/>
      <c r="B364"/>
      <c r="C364"/>
      <c r="D364"/>
      <c r="E364"/>
      <c r="F364"/>
      <c r="G364"/>
      <c r="H364"/>
      <c r="I364"/>
      <c r="J364"/>
      <c r="K364"/>
      <c r="L364"/>
      <c r="M364"/>
      <c r="N364"/>
      <c r="O364"/>
      <c r="P364"/>
      <c r="Q364"/>
    </row>
    <row r="365" spans="1:17" x14ac:dyDescent="0.4">
      <c r="A365"/>
      <c r="B365"/>
      <c r="C365"/>
      <c r="D365"/>
      <c r="E365"/>
      <c r="F365"/>
      <c r="G365"/>
      <c r="H365"/>
      <c r="I365"/>
      <c r="J365"/>
      <c r="K365"/>
      <c r="L365"/>
      <c r="M365"/>
      <c r="N365"/>
      <c r="O365"/>
      <c r="P365"/>
      <c r="Q365"/>
    </row>
    <row r="366" spans="1:17" x14ac:dyDescent="0.4">
      <c r="A366"/>
      <c r="B366"/>
      <c r="C366"/>
      <c r="D366"/>
      <c r="E366"/>
      <c r="F366"/>
      <c r="G366"/>
      <c r="H366"/>
      <c r="I366"/>
      <c r="J366"/>
      <c r="K366"/>
      <c r="L366"/>
      <c r="M366"/>
      <c r="N366"/>
      <c r="O366"/>
      <c r="P366"/>
      <c r="Q366"/>
    </row>
    <row r="367" spans="1:17" x14ac:dyDescent="0.4">
      <c r="A367"/>
      <c r="B367"/>
      <c r="C367"/>
      <c r="D367"/>
      <c r="E367"/>
      <c r="F367"/>
      <c r="G367"/>
      <c r="H367"/>
      <c r="I367"/>
      <c r="J367"/>
      <c r="K367"/>
      <c r="L367"/>
      <c r="M367"/>
      <c r="N367"/>
      <c r="O367"/>
      <c r="P367"/>
      <c r="Q367"/>
    </row>
    <row r="368" spans="1:17" x14ac:dyDescent="0.4">
      <c r="A368"/>
      <c r="B368"/>
      <c r="C368"/>
      <c r="D368"/>
      <c r="E368"/>
      <c r="F368"/>
      <c r="G368"/>
      <c r="H368"/>
      <c r="I368"/>
      <c r="J368"/>
      <c r="K368"/>
      <c r="L368"/>
      <c r="M368"/>
      <c r="N368"/>
      <c r="O368"/>
      <c r="P368"/>
      <c r="Q368"/>
    </row>
    <row r="369" spans="1:17" x14ac:dyDescent="0.4">
      <c r="A369"/>
      <c r="B369"/>
      <c r="C369"/>
      <c r="D369"/>
      <c r="E369"/>
      <c r="F369"/>
      <c r="G369"/>
      <c r="H369"/>
      <c r="I369"/>
      <c r="J369"/>
      <c r="K369"/>
      <c r="L369"/>
      <c r="M369"/>
      <c r="N369"/>
      <c r="O369"/>
      <c r="P369"/>
      <c r="Q369"/>
    </row>
    <row r="370" spans="1:17" x14ac:dyDescent="0.4">
      <c r="A370"/>
      <c r="B370"/>
      <c r="C370"/>
      <c r="D370"/>
      <c r="E370"/>
      <c r="F370"/>
      <c r="G370"/>
      <c r="H370"/>
      <c r="I370"/>
      <c r="J370"/>
      <c r="K370"/>
      <c r="L370"/>
      <c r="M370"/>
      <c r="N370"/>
      <c r="O370"/>
      <c r="P370"/>
      <c r="Q370"/>
    </row>
    <row r="371" spans="1:17" x14ac:dyDescent="0.4">
      <c r="A371"/>
      <c r="B371"/>
      <c r="C371"/>
      <c r="D371"/>
      <c r="E371"/>
      <c r="F371"/>
      <c r="G371"/>
      <c r="H371"/>
      <c r="I371"/>
      <c r="J371"/>
      <c r="K371"/>
      <c r="L371"/>
      <c r="M371"/>
      <c r="N371"/>
      <c r="O371"/>
      <c r="P371"/>
      <c r="Q371"/>
    </row>
    <row r="372" spans="1:17" x14ac:dyDescent="0.4">
      <c r="A372"/>
      <c r="B372"/>
      <c r="C372"/>
      <c r="D372"/>
      <c r="E372"/>
      <c r="F372"/>
      <c r="G372"/>
      <c r="H372"/>
      <c r="I372"/>
      <c r="J372"/>
      <c r="K372"/>
      <c r="L372"/>
      <c r="M372"/>
      <c r="N372"/>
      <c r="O372"/>
      <c r="P372"/>
      <c r="Q372"/>
    </row>
    <row r="373" spans="1:17" x14ac:dyDescent="0.4">
      <c r="A373"/>
      <c r="B373"/>
      <c r="C373"/>
      <c r="D373"/>
      <c r="E373"/>
      <c r="F373"/>
      <c r="G373"/>
      <c r="H373"/>
      <c r="I373"/>
      <c r="J373"/>
      <c r="K373"/>
      <c r="L373"/>
      <c r="M373"/>
      <c r="N373"/>
      <c r="O373"/>
      <c r="P373"/>
      <c r="Q373"/>
    </row>
    <row r="374" spans="1:17" x14ac:dyDescent="0.4">
      <c r="A374"/>
      <c r="B374"/>
      <c r="C374"/>
      <c r="D374"/>
      <c r="E374"/>
      <c r="F374"/>
      <c r="G374"/>
      <c r="H374"/>
      <c r="I374"/>
      <c r="J374"/>
      <c r="K374"/>
      <c r="L374"/>
      <c r="M374"/>
      <c r="N374"/>
      <c r="O374"/>
      <c r="P374"/>
      <c r="Q374"/>
    </row>
    <row r="375" spans="1:17" x14ac:dyDescent="0.4">
      <c r="A375"/>
      <c r="B375"/>
      <c r="C375"/>
      <c r="D375"/>
      <c r="E375"/>
      <c r="F375"/>
      <c r="G375"/>
      <c r="H375"/>
      <c r="I375"/>
      <c r="J375"/>
      <c r="K375"/>
      <c r="L375"/>
      <c r="M375"/>
      <c r="N375"/>
      <c r="O375"/>
      <c r="P375"/>
      <c r="Q375"/>
    </row>
    <row r="376" spans="1:17" x14ac:dyDescent="0.4">
      <c r="A376"/>
      <c r="B376"/>
      <c r="C376"/>
      <c r="D376"/>
      <c r="E376"/>
      <c r="F376"/>
      <c r="G376"/>
      <c r="H376"/>
      <c r="I376"/>
      <c r="J376"/>
      <c r="K376"/>
      <c r="L376"/>
      <c r="M376"/>
      <c r="N376"/>
      <c r="O376"/>
      <c r="P376"/>
      <c r="Q376"/>
    </row>
    <row r="377" spans="1:17" x14ac:dyDescent="0.4">
      <c r="A377"/>
      <c r="B377"/>
      <c r="C377"/>
      <c r="D377"/>
      <c r="E377"/>
      <c r="F377"/>
      <c r="G377"/>
      <c r="H377"/>
      <c r="I377"/>
      <c r="J377"/>
      <c r="K377"/>
      <c r="L377"/>
      <c r="M377"/>
      <c r="N377"/>
      <c r="O377"/>
      <c r="P377"/>
      <c r="Q377"/>
    </row>
    <row r="378" spans="1:17" x14ac:dyDescent="0.4">
      <c r="A378"/>
      <c r="B378"/>
      <c r="C378"/>
      <c r="D378"/>
      <c r="E378"/>
      <c r="F378"/>
      <c r="G378"/>
      <c r="H378"/>
      <c r="I378"/>
      <c r="J378"/>
      <c r="K378"/>
      <c r="L378"/>
      <c r="M378"/>
      <c r="N378"/>
      <c r="O378"/>
      <c r="P378"/>
      <c r="Q378"/>
    </row>
    <row r="379" spans="1:17" x14ac:dyDescent="0.4">
      <c r="A379"/>
      <c r="B379"/>
      <c r="C379"/>
      <c r="D379"/>
      <c r="E379"/>
      <c r="F379"/>
      <c r="G379"/>
      <c r="H379"/>
      <c r="I379"/>
      <c r="J379"/>
      <c r="K379"/>
      <c r="L379"/>
      <c r="M379"/>
      <c r="N379"/>
      <c r="O379"/>
      <c r="P379"/>
      <c r="Q379"/>
    </row>
    <row r="380" spans="1:17" x14ac:dyDescent="0.4">
      <c r="A380"/>
      <c r="B380"/>
      <c r="C380"/>
      <c r="D380"/>
      <c r="E380"/>
      <c r="F380"/>
      <c r="G380"/>
      <c r="H380"/>
      <c r="I380"/>
      <c r="J380"/>
      <c r="K380"/>
      <c r="L380"/>
      <c r="M380"/>
      <c r="N380"/>
      <c r="O380"/>
      <c r="P380"/>
      <c r="Q380"/>
    </row>
    <row r="381" spans="1:17" x14ac:dyDescent="0.4">
      <c r="A381"/>
      <c r="B381"/>
      <c r="C381"/>
      <c r="D381"/>
      <c r="E381"/>
      <c r="F381"/>
      <c r="G381"/>
      <c r="H381"/>
      <c r="I381"/>
      <c r="J381"/>
      <c r="K381"/>
      <c r="L381"/>
      <c r="M381"/>
      <c r="N381"/>
      <c r="O381"/>
      <c r="P381"/>
      <c r="Q381"/>
    </row>
    <row r="382" spans="1:17" x14ac:dyDescent="0.4">
      <c r="A382"/>
      <c r="B382"/>
      <c r="C382"/>
      <c r="D382"/>
      <c r="E382"/>
      <c r="F382"/>
      <c r="G382"/>
      <c r="H382"/>
      <c r="I382"/>
      <c r="J382"/>
      <c r="K382"/>
      <c r="L382"/>
      <c r="M382"/>
      <c r="N382"/>
      <c r="O382"/>
      <c r="P382"/>
      <c r="Q382"/>
    </row>
    <row r="383" spans="1:17" x14ac:dyDescent="0.4">
      <c r="A383"/>
      <c r="B383"/>
      <c r="C383"/>
      <c r="D383"/>
      <c r="E383"/>
      <c r="F383"/>
      <c r="G383"/>
      <c r="H383"/>
      <c r="I383"/>
      <c r="J383"/>
      <c r="K383"/>
      <c r="L383"/>
      <c r="M383"/>
      <c r="N383"/>
      <c r="O383"/>
      <c r="P383"/>
      <c r="Q383"/>
    </row>
    <row r="384" spans="1:17" x14ac:dyDescent="0.4">
      <c r="A384"/>
      <c r="B384"/>
      <c r="C384"/>
      <c r="D384"/>
      <c r="E384"/>
      <c r="F384"/>
      <c r="G384"/>
      <c r="H384"/>
      <c r="I384"/>
      <c r="J384"/>
      <c r="K384"/>
      <c r="L384"/>
      <c r="M384"/>
      <c r="N384"/>
      <c r="O384"/>
      <c r="P384"/>
      <c r="Q384"/>
    </row>
    <row r="385" spans="1:17" x14ac:dyDescent="0.4">
      <c r="A385"/>
      <c r="B385"/>
      <c r="C385"/>
      <c r="D385"/>
      <c r="E385"/>
      <c r="F385"/>
      <c r="G385"/>
      <c r="H385"/>
      <c r="I385"/>
      <c r="J385"/>
      <c r="K385"/>
      <c r="L385"/>
      <c r="M385"/>
      <c r="N385"/>
      <c r="O385"/>
      <c r="P385"/>
      <c r="Q385"/>
    </row>
    <row r="386" spans="1:17" x14ac:dyDescent="0.4">
      <c r="A386"/>
      <c r="B386"/>
      <c r="C386"/>
      <c r="D386"/>
      <c r="E386"/>
      <c r="F386"/>
      <c r="G386"/>
      <c r="H386"/>
      <c r="I386"/>
      <c r="J386"/>
      <c r="K386"/>
      <c r="L386"/>
      <c r="M386"/>
      <c r="N386"/>
      <c r="O386"/>
      <c r="P386"/>
      <c r="Q386"/>
    </row>
    <row r="387" spans="1:17" x14ac:dyDescent="0.4">
      <c r="A387"/>
      <c r="B387"/>
      <c r="C387"/>
      <c r="D387"/>
      <c r="E387"/>
      <c r="F387"/>
      <c r="G387"/>
      <c r="H387"/>
      <c r="I387"/>
      <c r="J387"/>
      <c r="K387"/>
      <c r="L387"/>
      <c r="M387"/>
      <c r="N387"/>
      <c r="O387"/>
      <c r="P387"/>
      <c r="Q387"/>
    </row>
    <row r="388" spans="1:17" x14ac:dyDescent="0.4">
      <c r="A388"/>
      <c r="B388"/>
      <c r="C388"/>
      <c r="D388"/>
      <c r="E388"/>
      <c r="F388"/>
      <c r="G388"/>
      <c r="H388"/>
      <c r="I388"/>
      <c r="J388"/>
      <c r="K388"/>
      <c r="L388"/>
      <c r="M388"/>
      <c r="N388"/>
      <c r="O388"/>
      <c r="P388"/>
      <c r="Q388"/>
    </row>
    <row r="389" spans="1:17" x14ac:dyDescent="0.4">
      <c r="A389"/>
      <c r="B389"/>
      <c r="C389"/>
      <c r="D389"/>
      <c r="E389"/>
      <c r="F389"/>
      <c r="G389"/>
      <c r="H389"/>
      <c r="I389"/>
      <c r="J389"/>
      <c r="K389"/>
      <c r="L389"/>
      <c r="M389"/>
      <c r="N389"/>
      <c r="O389"/>
      <c r="P389"/>
      <c r="Q389"/>
    </row>
    <row r="390" spans="1:17" x14ac:dyDescent="0.4">
      <c r="A390"/>
      <c r="B390"/>
      <c r="C390"/>
      <c r="D390"/>
      <c r="E390"/>
      <c r="F390"/>
      <c r="G390"/>
      <c r="H390"/>
      <c r="I390"/>
      <c r="J390"/>
      <c r="K390"/>
      <c r="L390"/>
      <c r="M390"/>
      <c r="N390"/>
      <c r="O390"/>
      <c r="P390"/>
      <c r="Q390"/>
    </row>
    <row r="391" spans="1:17" x14ac:dyDescent="0.4">
      <c r="A391"/>
      <c r="B391"/>
      <c r="C391"/>
      <c r="D391"/>
      <c r="E391"/>
      <c r="F391"/>
      <c r="G391"/>
      <c r="H391"/>
      <c r="I391"/>
      <c r="J391"/>
      <c r="K391"/>
      <c r="L391"/>
      <c r="M391"/>
      <c r="N391"/>
      <c r="O391"/>
      <c r="P391"/>
      <c r="Q391"/>
    </row>
    <row r="392" spans="1:17" x14ac:dyDescent="0.4">
      <c r="A392"/>
      <c r="B392"/>
      <c r="C392"/>
      <c r="D392"/>
      <c r="E392"/>
      <c r="F392"/>
      <c r="G392"/>
      <c r="H392"/>
      <c r="I392"/>
      <c r="J392"/>
      <c r="K392"/>
      <c r="L392"/>
      <c r="M392"/>
      <c r="N392"/>
      <c r="O392"/>
      <c r="P392"/>
      <c r="Q392"/>
    </row>
    <row r="393" spans="1:17" x14ac:dyDescent="0.4">
      <c r="A393"/>
      <c r="B393"/>
      <c r="C393"/>
      <c r="D393"/>
      <c r="E393"/>
      <c r="F393"/>
      <c r="G393"/>
      <c r="H393"/>
      <c r="I393"/>
      <c r="J393"/>
      <c r="K393"/>
      <c r="L393"/>
      <c r="M393"/>
      <c r="N393"/>
      <c r="O393"/>
      <c r="P393"/>
      <c r="Q393"/>
    </row>
    <row r="394" spans="1:17" x14ac:dyDescent="0.4">
      <c r="A394"/>
      <c r="B394"/>
      <c r="C394"/>
      <c r="D394"/>
      <c r="E394"/>
      <c r="F394"/>
      <c r="G394"/>
      <c r="H394"/>
      <c r="I394"/>
      <c r="J394"/>
      <c r="K394"/>
      <c r="L394"/>
      <c r="M394"/>
      <c r="N394"/>
      <c r="O394"/>
      <c r="P394"/>
      <c r="Q394"/>
    </row>
    <row r="395" spans="1:17" x14ac:dyDescent="0.4">
      <c r="A395"/>
      <c r="B395"/>
      <c r="C395"/>
      <c r="D395"/>
      <c r="E395"/>
      <c r="F395"/>
      <c r="G395"/>
      <c r="H395"/>
      <c r="I395"/>
      <c r="J395"/>
      <c r="K395"/>
      <c r="L395"/>
      <c r="M395"/>
      <c r="N395"/>
      <c r="O395"/>
      <c r="P395"/>
      <c r="Q395"/>
    </row>
    <row r="396" spans="1:17" x14ac:dyDescent="0.4">
      <c r="A396"/>
      <c r="B396"/>
      <c r="C396"/>
      <c r="D396"/>
      <c r="E396"/>
      <c r="F396"/>
      <c r="G396"/>
      <c r="H396"/>
      <c r="I396"/>
      <c r="J396"/>
      <c r="K396"/>
      <c r="L396"/>
      <c r="M396"/>
      <c r="N396"/>
      <c r="O396"/>
      <c r="P396"/>
      <c r="Q396"/>
    </row>
    <row r="397" spans="1:17" x14ac:dyDescent="0.4">
      <c r="A397"/>
      <c r="B397"/>
      <c r="C397"/>
      <c r="D397"/>
      <c r="E397"/>
      <c r="F397"/>
      <c r="G397"/>
      <c r="H397"/>
      <c r="I397"/>
      <c r="J397"/>
      <c r="K397"/>
      <c r="L397"/>
      <c r="M397"/>
      <c r="N397"/>
      <c r="O397"/>
      <c r="P397"/>
      <c r="Q397"/>
    </row>
    <row r="398" spans="1:17" x14ac:dyDescent="0.4">
      <c r="A398"/>
      <c r="B398"/>
      <c r="C398"/>
      <c r="D398"/>
      <c r="E398"/>
      <c r="F398"/>
      <c r="G398"/>
      <c r="H398"/>
      <c r="I398"/>
      <c r="J398"/>
      <c r="K398"/>
      <c r="L398"/>
      <c r="M398"/>
      <c r="N398"/>
      <c r="O398"/>
      <c r="P398"/>
      <c r="Q398"/>
    </row>
    <row r="399" spans="1:17" x14ac:dyDescent="0.4">
      <c r="A399"/>
      <c r="B399"/>
      <c r="C399"/>
      <c r="D399"/>
      <c r="E399"/>
      <c r="F399"/>
      <c r="G399"/>
      <c r="H399"/>
      <c r="I399"/>
      <c r="J399"/>
      <c r="K399"/>
      <c r="L399"/>
      <c r="M399"/>
      <c r="N399"/>
      <c r="O399"/>
      <c r="P399"/>
      <c r="Q399"/>
    </row>
    <row r="400" spans="1:17" x14ac:dyDescent="0.4">
      <c r="A400"/>
      <c r="B400"/>
      <c r="C400"/>
      <c r="D400"/>
      <c r="E400"/>
      <c r="F400"/>
      <c r="G400"/>
      <c r="H400"/>
      <c r="I400"/>
      <c r="J400"/>
      <c r="K400"/>
      <c r="L400"/>
      <c r="M400"/>
      <c r="N400"/>
      <c r="O400"/>
      <c r="P400"/>
      <c r="Q400"/>
    </row>
    <row r="401" spans="1:17" x14ac:dyDescent="0.4">
      <c r="A401"/>
      <c r="B401"/>
      <c r="C401"/>
      <c r="D401"/>
      <c r="E401"/>
      <c r="F401"/>
      <c r="G401"/>
      <c r="H401"/>
      <c r="I401"/>
      <c r="J401"/>
      <c r="K401"/>
      <c r="L401"/>
      <c r="M401"/>
      <c r="N401"/>
      <c r="O401"/>
      <c r="P401"/>
      <c r="Q401"/>
    </row>
    <row r="402" spans="1:17" x14ac:dyDescent="0.4">
      <c r="A402"/>
      <c r="B402"/>
      <c r="C402"/>
      <c r="D402"/>
      <c r="E402"/>
      <c r="F402"/>
      <c r="G402"/>
      <c r="H402"/>
      <c r="I402"/>
      <c r="J402"/>
      <c r="K402"/>
      <c r="L402"/>
      <c r="M402"/>
      <c r="N402"/>
      <c r="O402"/>
      <c r="P402"/>
      <c r="Q402"/>
    </row>
    <row r="403" spans="1:17" x14ac:dyDescent="0.4">
      <c r="A403"/>
      <c r="B403"/>
      <c r="C403"/>
      <c r="D403"/>
      <c r="E403"/>
      <c r="F403"/>
      <c r="G403"/>
      <c r="H403"/>
      <c r="I403"/>
      <c r="J403"/>
      <c r="K403"/>
      <c r="L403"/>
      <c r="M403"/>
      <c r="N403"/>
      <c r="O403"/>
      <c r="P403"/>
      <c r="Q403"/>
    </row>
    <row r="404" spans="1:17" x14ac:dyDescent="0.4">
      <c r="A404"/>
      <c r="B404"/>
      <c r="C404"/>
      <c r="D404"/>
      <c r="E404"/>
      <c r="F404"/>
      <c r="G404"/>
      <c r="H404"/>
      <c r="I404"/>
      <c r="J404"/>
      <c r="K404"/>
      <c r="L404"/>
      <c r="M404"/>
      <c r="N404"/>
      <c r="O404"/>
      <c r="P404"/>
      <c r="Q404"/>
    </row>
    <row r="405" spans="1:17" x14ac:dyDescent="0.4">
      <c r="A405"/>
      <c r="B405"/>
      <c r="C405"/>
      <c r="D405"/>
      <c r="E405"/>
      <c r="F405"/>
      <c r="G405"/>
      <c r="H405"/>
      <c r="I405"/>
      <c r="J405"/>
      <c r="K405"/>
      <c r="L405"/>
      <c r="M405"/>
      <c r="N405"/>
      <c r="O405"/>
      <c r="P405"/>
      <c r="Q405"/>
    </row>
    <row r="406" spans="1:17" x14ac:dyDescent="0.4">
      <c r="A406"/>
      <c r="B406"/>
      <c r="C406"/>
      <c r="D406"/>
      <c r="E406"/>
      <c r="F406"/>
      <c r="G406"/>
      <c r="H406"/>
      <c r="I406"/>
      <c r="J406"/>
      <c r="K406"/>
      <c r="L406"/>
      <c r="M406"/>
      <c r="N406"/>
      <c r="O406"/>
      <c r="P406"/>
      <c r="Q406"/>
    </row>
    <row r="407" spans="1:17" x14ac:dyDescent="0.4">
      <c r="A407"/>
      <c r="B407"/>
      <c r="C407"/>
      <c r="D407"/>
      <c r="E407"/>
      <c r="F407"/>
      <c r="G407"/>
      <c r="H407"/>
      <c r="I407"/>
      <c r="J407"/>
      <c r="K407"/>
      <c r="L407"/>
      <c r="M407"/>
      <c r="N407"/>
      <c r="O407"/>
      <c r="P407"/>
      <c r="Q407"/>
    </row>
    <row r="408" spans="1:17" x14ac:dyDescent="0.4">
      <c r="A408"/>
      <c r="B408"/>
      <c r="C408"/>
      <c r="D408"/>
      <c r="E408"/>
      <c r="F408"/>
      <c r="G408"/>
      <c r="H408"/>
      <c r="I408"/>
      <c r="J408"/>
      <c r="K408"/>
      <c r="L408"/>
      <c r="M408"/>
      <c r="N408"/>
      <c r="O408"/>
      <c r="P408"/>
      <c r="Q408"/>
    </row>
    <row r="409" spans="1:17" x14ac:dyDescent="0.4">
      <c r="A409"/>
      <c r="B409"/>
      <c r="C409"/>
      <c r="D409"/>
      <c r="E409"/>
      <c r="F409"/>
      <c r="G409"/>
      <c r="H409"/>
      <c r="I409"/>
      <c r="J409"/>
      <c r="K409"/>
      <c r="L409"/>
      <c r="M409"/>
      <c r="N409"/>
      <c r="O409"/>
      <c r="P409"/>
      <c r="Q409"/>
    </row>
    <row r="410" spans="1:17" x14ac:dyDescent="0.4">
      <c r="A410"/>
      <c r="B410"/>
      <c r="C410"/>
      <c r="D410"/>
      <c r="E410"/>
      <c r="F410"/>
      <c r="G410"/>
      <c r="H410"/>
      <c r="I410"/>
      <c r="J410"/>
      <c r="K410"/>
      <c r="L410"/>
      <c r="M410"/>
      <c r="N410"/>
      <c r="O410"/>
      <c r="P410"/>
      <c r="Q410"/>
    </row>
    <row r="411" spans="1:17" x14ac:dyDescent="0.4">
      <c r="A411"/>
      <c r="B411"/>
      <c r="C411"/>
      <c r="D411"/>
      <c r="E411"/>
      <c r="F411"/>
      <c r="G411"/>
      <c r="H411"/>
      <c r="I411"/>
      <c r="J411"/>
      <c r="K411"/>
      <c r="L411"/>
      <c r="M411"/>
      <c r="N411"/>
      <c r="O411"/>
      <c r="P411"/>
      <c r="Q411"/>
    </row>
    <row r="412" spans="1:17" x14ac:dyDescent="0.4">
      <c r="A412"/>
      <c r="B412"/>
      <c r="C412"/>
      <c r="D412"/>
      <c r="E412"/>
      <c r="F412"/>
      <c r="G412"/>
      <c r="H412"/>
      <c r="I412"/>
      <c r="J412"/>
      <c r="K412"/>
      <c r="L412"/>
      <c r="M412"/>
      <c r="N412"/>
      <c r="O412"/>
      <c r="P412"/>
      <c r="Q412"/>
    </row>
    <row r="413" spans="1:17" x14ac:dyDescent="0.4">
      <c r="A413"/>
      <c r="B413"/>
      <c r="C413"/>
      <c r="D413"/>
      <c r="E413"/>
      <c r="F413"/>
      <c r="G413"/>
      <c r="H413"/>
      <c r="I413"/>
      <c r="J413"/>
      <c r="K413"/>
      <c r="L413"/>
      <c r="M413"/>
      <c r="N413"/>
      <c r="O413"/>
      <c r="P413"/>
      <c r="Q413"/>
    </row>
    <row r="414" spans="1:17" x14ac:dyDescent="0.4">
      <c r="A414"/>
      <c r="B414"/>
      <c r="C414"/>
      <c r="D414"/>
      <c r="E414"/>
      <c r="F414"/>
      <c r="G414"/>
      <c r="H414"/>
      <c r="I414"/>
      <c r="J414"/>
      <c r="K414"/>
      <c r="L414"/>
      <c r="M414"/>
      <c r="N414"/>
      <c r="O414"/>
      <c r="P414"/>
      <c r="Q414"/>
    </row>
    <row r="415" spans="1:17" x14ac:dyDescent="0.4">
      <c r="A415"/>
      <c r="B415"/>
      <c r="C415"/>
      <c r="D415"/>
      <c r="E415"/>
      <c r="F415"/>
      <c r="G415"/>
      <c r="H415"/>
      <c r="I415"/>
      <c r="J415"/>
      <c r="K415"/>
      <c r="L415"/>
      <c r="M415"/>
      <c r="N415"/>
      <c r="O415"/>
      <c r="P415"/>
      <c r="Q415"/>
    </row>
    <row r="416" spans="1:17" x14ac:dyDescent="0.4">
      <c r="A416"/>
      <c r="B416"/>
      <c r="C416"/>
      <c r="D416"/>
      <c r="E416"/>
      <c r="F416"/>
      <c r="G416"/>
      <c r="H416"/>
      <c r="I416"/>
      <c r="J416"/>
      <c r="K416"/>
      <c r="L416"/>
      <c r="M416"/>
      <c r="N416"/>
      <c r="O416"/>
      <c r="P416"/>
      <c r="Q416"/>
    </row>
    <row r="417" spans="1:17" x14ac:dyDescent="0.4">
      <c r="A417"/>
      <c r="B417"/>
      <c r="C417"/>
      <c r="D417"/>
      <c r="E417"/>
      <c r="F417"/>
      <c r="G417"/>
      <c r="H417"/>
      <c r="I417"/>
      <c r="J417"/>
      <c r="K417"/>
      <c r="L417"/>
      <c r="M417"/>
      <c r="N417"/>
      <c r="O417"/>
      <c r="P417"/>
      <c r="Q417"/>
    </row>
    <row r="418" spans="1:17" x14ac:dyDescent="0.4">
      <c r="A418"/>
      <c r="B418"/>
      <c r="C418"/>
      <c r="D418"/>
      <c r="E418"/>
      <c r="F418"/>
      <c r="G418"/>
      <c r="H418"/>
      <c r="I418"/>
      <c r="J418"/>
      <c r="K418"/>
      <c r="L418"/>
      <c r="M418"/>
      <c r="N418"/>
      <c r="O418"/>
      <c r="P418"/>
      <c r="Q418"/>
    </row>
    <row r="419" spans="1:17" x14ac:dyDescent="0.4">
      <c r="A419"/>
      <c r="B419"/>
      <c r="C419"/>
      <c r="D419"/>
      <c r="E419"/>
      <c r="F419"/>
      <c r="G419"/>
      <c r="H419"/>
      <c r="I419"/>
      <c r="J419"/>
      <c r="K419"/>
      <c r="L419"/>
      <c r="M419"/>
      <c r="N419"/>
      <c r="O419"/>
      <c r="P419"/>
      <c r="Q419"/>
    </row>
    <row r="420" spans="1:17" x14ac:dyDescent="0.4">
      <c r="A420"/>
      <c r="B420"/>
      <c r="C420"/>
      <c r="D420"/>
      <c r="E420"/>
      <c r="F420"/>
      <c r="G420"/>
      <c r="H420"/>
      <c r="I420"/>
      <c r="J420"/>
      <c r="K420"/>
      <c r="L420"/>
      <c r="M420"/>
      <c r="N420"/>
      <c r="O420"/>
      <c r="P420"/>
      <c r="Q420"/>
    </row>
    <row r="421" spans="1:17" x14ac:dyDescent="0.4">
      <c r="A421"/>
      <c r="B421"/>
      <c r="C421"/>
      <c r="D421"/>
      <c r="E421"/>
      <c r="F421"/>
      <c r="G421"/>
      <c r="H421"/>
      <c r="I421"/>
      <c r="J421"/>
      <c r="K421"/>
      <c r="L421"/>
      <c r="M421"/>
      <c r="N421"/>
      <c r="O421"/>
      <c r="P421"/>
      <c r="Q421"/>
    </row>
    <row r="422" spans="1:17" x14ac:dyDescent="0.4">
      <c r="A422"/>
      <c r="B422"/>
      <c r="C422"/>
      <c r="D422"/>
      <c r="E422"/>
      <c r="F422"/>
      <c r="G422"/>
      <c r="H422"/>
      <c r="I422"/>
      <c r="J422"/>
      <c r="K422"/>
      <c r="L422"/>
      <c r="M422"/>
      <c r="N422"/>
      <c r="O422"/>
      <c r="P422"/>
      <c r="Q422"/>
    </row>
    <row r="423" spans="1:17" x14ac:dyDescent="0.4">
      <c r="A423"/>
      <c r="B423"/>
      <c r="C423"/>
      <c r="D423"/>
      <c r="E423"/>
      <c r="F423"/>
      <c r="G423"/>
      <c r="H423"/>
      <c r="I423"/>
      <c r="J423"/>
      <c r="K423"/>
      <c r="L423"/>
      <c r="M423"/>
      <c r="N423"/>
      <c r="O423"/>
      <c r="P423"/>
      <c r="Q423"/>
    </row>
    <row r="424" spans="1:17" x14ac:dyDescent="0.4">
      <c r="A424"/>
      <c r="B424"/>
      <c r="C424"/>
      <c r="D424"/>
      <c r="E424"/>
      <c r="F424"/>
      <c r="G424"/>
      <c r="H424"/>
      <c r="I424"/>
      <c r="J424"/>
      <c r="K424"/>
      <c r="L424"/>
      <c r="M424"/>
      <c r="N424"/>
      <c r="O424"/>
      <c r="P424"/>
      <c r="Q424"/>
    </row>
    <row r="425" spans="1:17" x14ac:dyDescent="0.4">
      <c r="A425"/>
      <c r="B425"/>
      <c r="C425"/>
      <c r="D425"/>
      <c r="E425"/>
      <c r="F425"/>
      <c r="G425"/>
      <c r="H425"/>
      <c r="I425"/>
      <c r="J425"/>
      <c r="K425"/>
      <c r="L425"/>
      <c r="M425"/>
      <c r="N425"/>
      <c r="O425"/>
      <c r="P425"/>
      <c r="Q425"/>
    </row>
    <row r="426" spans="1:17" x14ac:dyDescent="0.4">
      <c r="A426"/>
      <c r="B426"/>
      <c r="C426"/>
      <c r="D426"/>
      <c r="E426"/>
      <c r="F426"/>
      <c r="G426"/>
      <c r="H426"/>
      <c r="I426"/>
      <c r="J426"/>
      <c r="K426"/>
      <c r="L426"/>
      <c r="M426"/>
      <c r="N426"/>
      <c r="O426"/>
      <c r="P426"/>
      <c r="Q426"/>
    </row>
    <row r="427" spans="1:17" x14ac:dyDescent="0.4">
      <c r="A427"/>
      <c r="B427"/>
      <c r="C427"/>
      <c r="D427"/>
      <c r="E427"/>
      <c r="F427"/>
      <c r="G427"/>
      <c r="H427"/>
      <c r="I427"/>
      <c r="J427"/>
      <c r="K427"/>
      <c r="L427"/>
      <c r="M427"/>
      <c r="N427"/>
      <c r="O427"/>
      <c r="P427"/>
      <c r="Q427"/>
    </row>
    <row r="428" spans="1:17" x14ac:dyDescent="0.4">
      <c r="A428"/>
      <c r="B428"/>
      <c r="C428"/>
      <c r="D428"/>
      <c r="E428"/>
      <c r="F428"/>
      <c r="G428"/>
      <c r="H428"/>
      <c r="I428"/>
      <c r="J428"/>
      <c r="K428"/>
      <c r="L428"/>
      <c r="M428"/>
      <c r="N428"/>
      <c r="O428"/>
      <c r="P428"/>
      <c r="Q428"/>
    </row>
    <row r="429" spans="1:17" x14ac:dyDescent="0.4">
      <c r="A429"/>
      <c r="B429"/>
      <c r="C429"/>
      <c r="D429"/>
      <c r="E429"/>
      <c r="F429"/>
      <c r="G429"/>
      <c r="H429"/>
      <c r="I429"/>
      <c r="J429"/>
      <c r="K429"/>
      <c r="L429"/>
      <c r="M429"/>
      <c r="N429"/>
      <c r="O429"/>
      <c r="P429"/>
      <c r="Q429"/>
    </row>
    <row r="430" spans="1:17" x14ac:dyDescent="0.4">
      <c r="A430"/>
      <c r="B430"/>
      <c r="C430"/>
      <c r="D430"/>
      <c r="E430"/>
      <c r="F430"/>
      <c r="G430"/>
      <c r="H430"/>
      <c r="I430"/>
      <c r="J430"/>
      <c r="K430"/>
      <c r="L430"/>
      <c r="M430"/>
      <c r="N430"/>
      <c r="O430"/>
      <c r="P430"/>
      <c r="Q430"/>
    </row>
    <row r="431" spans="1:17" x14ac:dyDescent="0.4">
      <c r="A431"/>
      <c r="B431"/>
      <c r="C431"/>
      <c r="D431"/>
      <c r="E431"/>
      <c r="F431"/>
      <c r="G431"/>
      <c r="H431"/>
      <c r="I431"/>
      <c r="J431"/>
      <c r="K431"/>
      <c r="L431"/>
      <c r="M431"/>
      <c r="N431"/>
      <c r="O431"/>
      <c r="P431"/>
      <c r="Q431"/>
    </row>
    <row r="432" spans="1:17" x14ac:dyDescent="0.4">
      <c r="A432"/>
      <c r="B432"/>
      <c r="C432"/>
      <c r="D432"/>
      <c r="E432"/>
      <c r="F432"/>
      <c r="G432"/>
      <c r="H432"/>
      <c r="I432"/>
      <c r="J432"/>
      <c r="K432"/>
      <c r="L432"/>
      <c r="M432"/>
      <c r="N432"/>
      <c r="O432"/>
      <c r="P432"/>
      <c r="Q432"/>
    </row>
    <row r="433" spans="1:17" x14ac:dyDescent="0.4">
      <c r="A433"/>
      <c r="B433"/>
      <c r="C433"/>
      <c r="D433"/>
      <c r="E433"/>
      <c r="F433"/>
      <c r="G433"/>
      <c r="H433"/>
      <c r="I433"/>
      <c r="J433"/>
      <c r="K433"/>
      <c r="L433"/>
      <c r="M433"/>
      <c r="N433"/>
      <c r="O433"/>
      <c r="P433"/>
      <c r="Q433"/>
    </row>
    <row r="434" spans="1:17" x14ac:dyDescent="0.4">
      <c r="A434"/>
      <c r="B434"/>
      <c r="C434"/>
      <c r="D434"/>
      <c r="E434"/>
      <c r="F434"/>
      <c r="G434"/>
      <c r="H434"/>
      <c r="I434"/>
      <c r="J434"/>
      <c r="K434"/>
      <c r="L434"/>
      <c r="M434"/>
      <c r="N434"/>
      <c r="O434"/>
      <c r="P434"/>
      <c r="Q434"/>
    </row>
    <row r="435" spans="1:17" x14ac:dyDescent="0.4">
      <c r="A435"/>
      <c r="B435"/>
      <c r="C435"/>
      <c r="D435"/>
      <c r="E435"/>
      <c r="F435"/>
      <c r="G435"/>
      <c r="H435"/>
      <c r="I435"/>
      <c r="J435"/>
      <c r="K435"/>
      <c r="L435"/>
      <c r="M435"/>
      <c r="N435"/>
      <c r="O435"/>
      <c r="P435"/>
      <c r="Q435"/>
    </row>
    <row r="436" spans="1:17" x14ac:dyDescent="0.4">
      <c r="A436"/>
      <c r="B436"/>
      <c r="C436"/>
      <c r="D436"/>
      <c r="E436"/>
      <c r="F436"/>
      <c r="G436"/>
      <c r="H436"/>
      <c r="I436"/>
      <c r="J436"/>
      <c r="K436"/>
      <c r="L436"/>
      <c r="M436"/>
      <c r="N436"/>
      <c r="O436"/>
      <c r="P436"/>
      <c r="Q436"/>
    </row>
    <row r="437" spans="1:17" x14ac:dyDescent="0.4">
      <c r="A437"/>
      <c r="B437"/>
      <c r="C437"/>
      <c r="D437"/>
      <c r="E437"/>
      <c r="F437"/>
      <c r="G437"/>
      <c r="H437"/>
      <c r="I437"/>
      <c r="J437"/>
      <c r="K437"/>
      <c r="L437"/>
      <c r="M437"/>
      <c r="N437"/>
      <c r="O437"/>
      <c r="P437"/>
      <c r="Q437"/>
    </row>
    <row r="438" spans="1:17" x14ac:dyDescent="0.4">
      <c r="A438"/>
      <c r="B438"/>
      <c r="C438"/>
      <c r="D438"/>
      <c r="E438"/>
      <c r="F438"/>
      <c r="G438"/>
      <c r="H438"/>
      <c r="I438"/>
      <c r="J438"/>
      <c r="K438"/>
      <c r="L438"/>
      <c r="M438"/>
      <c r="N438"/>
      <c r="O438"/>
      <c r="P438"/>
      <c r="Q438"/>
    </row>
    <row r="439" spans="1:17" x14ac:dyDescent="0.4">
      <c r="A439"/>
      <c r="B439"/>
      <c r="C439"/>
      <c r="D439"/>
      <c r="E439"/>
      <c r="F439"/>
      <c r="G439"/>
      <c r="H439"/>
      <c r="I439"/>
      <c r="J439"/>
      <c r="K439"/>
      <c r="L439"/>
      <c r="M439"/>
      <c r="N439"/>
      <c r="O439"/>
      <c r="P439"/>
      <c r="Q439"/>
    </row>
    <row r="440" spans="1:17" x14ac:dyDescent="0.4">
      <c r="A440"/>
      <c r="B440"/>
      <c r="C440"/>
      <c r="D440"/>
      <c r="E440"/>
      <c r="F440"/>
      <c r="G440"/>
      <c r="H440"/>
      <c r="I440"/>
      <c r="J440"/>
      <c r="K440"/>
      <c r="L440"/>
      <c r="M440"/>
      <c r="N440"/>
      <c r="O440"/>
      <c r="P440"/>
      <c r="Q440"/>
    </row>
    <row r="441" spans="1:17" x14ac:dyDescent="0.4">
      <c r="A441"/>
      <c r="B441"/>
      <c r="C441"/>
      <c r="D441"/>
      <c r="E441"/>
      <c r="F441"/>
      <c r="G441"/>
      <c r="H441"/>
      <c r="I441"/>
      <c r="J441"/>
      <c r="K441"/>
      <c r="L441"/>
      <c r="M441"/>
      <c r="N441"/>
      <c r="O441"/>
      <c r="P441"/>
      <c r="Q441"/>
    </row>
    <row r="442" spans="1:17" x14ac:dyDescent="0.4">
      <c r="A442"/>
      <c r="B442"/>
      <c r="C442"/>
      <c r="D442"/>
      <c r="E442"/>
      <c r="F442"/>
      <c r="G442"/>
      <c r="H442"/>
      <c r="I442"/>
      <c r="J442"/>
      <c r="K442"/>
      <c r="L442"/>
      <c r="M442"/>
      <c r="N442"/>
      <c r="O442"/>
      <c r="P442"/>
      <c r="Q442"/>
    </row>
    <row r="443" spans="1:17" x14ac:dyDescent="0.4">
      <c r="A443"/>
      <c r="B443"/>
      <c r="C443"/>
      <c r="D443"/>
      <c r="E443"/>
      <c r="F443"/>
      <c r="G443"/>
      <c r="H443"/>
      <c r="I443"/>
      <c r="J443"/>
      <c r="K443"/>
      <c r="L443"/>
      <c r="M443"/>
      <c r="N443"/>
      <c r="O443"/>
      <c r="P443"/>
      <c r="Q443"/>
    </row>
    <row r="444" spans="1:17" x14ac:dyDescent="0.4">
      <c r="A444"/>
      <c r="B444"/>
      <c r="C444"/>
      <c r="D444"/>
      <c r="E444"/>
      <c r="F444"/>
      <c r="G444"/>
      <c r="H444"/>
      <c r="I444"/>
      <c r="J444"/>
      <c r="K444"/>
      <c r="L444"/>
      <c r="M444"/>
      <c r="N444"/>
      <c r="O444"/>
      <c r="P444"/>
      <c r="Q444"/>
    </row>
    <row r="445" spans="1:17" x14ac:dyDescent="0.4">
      <c r="A445"/>
      <c r="B445"/>
      <c r="C445"/>
      <c r="D445"/>
      <c r="E445"/>
      <c r="F445"/>
      <c r="G445"/>
      <c r="H445"/>
      <c r="I445"/>
      <c r="J445"/>
      <c r="K445"/>
      <c r="L445"/>
      <c r="M445"/>
      <c r="N445"/>
      <c r="O445"/>
      <c r="P445"/>
      <c r="Q445"/>
    </row>
    <row r="446" spans="1:17" x14ac:dyDescent="0.4">
      <c r="A446"/>
      <c r="B446"/>
      <c r="C446"/>
      <c r="D446"/>
      <c r="E446"/>
      <c r="F446"/>
      <c r="G446"/>
      <c r="H446"/>
      <c r="I446"/>
      <c r="J446"/>
      <c r="K446"/>
      <c r="L446"/>
      <c r="M446"/>
      <c r="N446"/>
      <c r="O446"/>
      <c r="P446"/>
      <c r="Q446"/>
    </row>
    <row r="447" spans="1:17" x14ac:dyDescent="0.4">
      <c r="A447"/>
      <c r="B447"/>
      <c r="C447"/>
      <c r="D447"/>
      <c r="E447"/>
      <c r="F447"/>
      <c r="G447"/>
      <c r="H447"/>
      <c r="I447"/>
      <c r="J447"/>
      <c r="K447"/>
      <c r="L447"/>
      <c r="M447"/>
      <c r="N447"/>
      <c r="O447"/>
      <c r="P447"/>
      <c r="Q447"/>
    </row>
    <row r="448" spans="1:17" x14ac:dyDescent="0.4">
      <c r="A448"/>
      <c r="B448"/>
      <c r="C448"/>
      <c r="D448"/>
      <c r="E448"/>
      <c r="F448"/>
      <c r="G448"/>
      <c r="H448"/>
      <c r="I448"/>
      <c r="J448"/>
      <c r="K448"/>
      <c r="L448"/>
      <c r="M448"/>
      <c r="N448"/>
      <c r="O448"/>
      <c r="P448"/>
      <c r="Q448"/>
    </row>
    <row r="449" spans="1:17" x14ac:dyDescent="0.4">
      <c r="A449"/>
      <c r="B449"/>
      <c r="C449"/>
      <c r="D449"/>
      <c r="E449"/>
      <c r="F449"/>
      <c r="G449"/>
      <c r="H449"/>
      <c r="I449"/>
      <c r="J449"/>
      <c r="K449"/>
      <c r="L449"/>
      <c r="M449"/>
      <c r="N449"/>
      <c r="O449"/>
      <c r="P449"/>
      <c r="Q449"/>
    </row>
    <row r="450" spans="1:17" x14ac:dyDescent="0.4">
      <c r="A450"/>
      <c r="B450"/>
      <c r="C450"/>
      <c r="D450"/>
      <c r="E450"/>
      <c r="F450"/>
      <c r="G450"/>
      <c r="H450"/>
      <c r="I450"/>
      <c r="J450"/>
      <c r="K450"/>
      <c r="L450"/>
      <c r="M450"/>
      <c r="N450"/>
      <c r="O450"/>
      <c r="P450"/>
      <c r="Q450"/>
    </row>
    <row r="451" spans="1:17" x14ac:dyDescent="0.4">
      <c r="A451"/>
      <c r="B451"/>
      <c r="C451"/>
      <c r="D451"/>
      <c r="E451"/>
      <c r="F451"/>
      <c r="G451"/>
      <c r="H451"/>
      <c r="I451"/>
      <c r="J451"/>
      <c r="K451"/>
      <c r="L451"/>
      <c r="M451"/>
      <c r="N451"/>
      <c r="O451"/>
      <c r="P451"/>
      <c r="Q451"/>
    </row>
    <row r="452" spans="1:17" x14ac:dyDescent="0.4">
      <c r="A452"/>
      <c r="B452"/>
      <c r="C452"/>
      <c r="D452"/>
      <c r="E452"/>
      <c r="F452"/>
      <c r="G452"/>
      <c r="H452"/>
      <c r="I452"/>
      <c r="J452"/>
      <c r="K452"/>
      <c r="L452"/>
      <c r="M452"/>
      <c r="N452"/>
      <c r="O452"/>
      <c r="P452"/>
      <c r="Q452"/>
    </row>
    <row r="453" spans="1:17" x14ac:dyDescent="0.4">
      <c r="A453"/>
      <c r="B453"/>
      <c r="C453"/>
      <c r="D453"/>
      <c r="E453"/>
      <c r="F453"/>
      <c r="G453"/>
      <c r="H453"/>
      <c r="I453"/>
      <c r="J453"/>
      <c r="K453"/>
      <c r="L453"/>
      <c r="M453"/>
      <c r="N453"/>
      <c r="O453"/>
      <c r="P453"/>
      <c r="Q453"/>
    </row>
    <row r="454" spans="1:17" x14ac:dyDescent="0.4">
      <c r="A454"/>
      <c r="B454"/>
      <c r="C454"/>
      <c r="D454"/>
      <c r="E454"/>
      <c r="F454"/>
      <c r="G454"/>
      <c r="H454"/>
      <c r="I454"/>
      <c r="J454"/>
      <c r="K454"/>
      <c r="L454"/>
      <c r="M454"/>
      <c r="N454"/>
      <c r="O454"/>
      <c r="P454"/>
      <c r="Q454"/>
    </row>
    <row r="455" spans="1:17" x14ac:dyDescent="0.4">
      <c r="A455"/>
      <c r="B455"/>
      <c r="C455"/>
      <c r="D455"/>
      <c r="E455"/>
      <c r="F455"/>
      <c r="G455"/>
      <c r="H455"/>
      <c r="I455"/>
      <c r="J455"/>
      <c r="K455"/>
      <c r="L455"/>
      <c r="M455"/>
      <c r="N455"/>
      <c r="O455"/>
      <c r="P455"/>
      <c r="Q455"/>
    </row>
    <row r="456" spans="1:17" x14ac:dyDescent="0.4">
      <c r="A456"/>
      <c r="B456"/>
      <c r="C456"/>
      <c r="D456"/>
      <c r="E456"/>
      <c r="F456"/>
      <c r="G456"/>
      <c r="H456"/>
      <c r="I456"/>
      <c r="J456"/>
      <c r="K456"/>
      <c r="L456"/>
      <c r="M456"/>
      <c r="N456"/>
      <c r="O456"/>
      <c r="P456"/>
      <c r="Q456"/>
    </row>
    <row r="457" spans="1:17" x14ac:dyDescent="0.4">
      <c r="A457"/>
      <c r="B457"/>
      <c r="C457"/>
      <c r="D457"/>
      <c r="E457"/>
      <c r="F457"/>
      <c r="G457"/>
      <c r="H457"/>
      <c r="I457"/>
      <c r="J457"/>
      <c r="K457"/>
      <c r="L457"/>
      <c r="M457"/>
      <c r="N457"/>
      <c r="O457"/>
      <c r="P457"/>
      <c r="Q457"/>
    </row>
    <row r="458" spans="1:17" x14ac:dyDescent="0.4">
      <c r="A458"/>
      <c r="B458"/>
      <c r="C458"/>
      <c r="D458"/>
      <c r="E458"/>
      <c r="F458"/>
      <c r="G458"/>
      <c r="H458"/>
      <c r="I458"/>
      <c r="J458"/>
      <c r="K458"/>
      <c r="L458"/>
      <c r="M458"/>
      <c r="N458"/>
      <c r="O458"/>
      <c r="P458"/>
      <c r="Q458"/>
    </row>
    <row r="459" spans="1:17" x14ac:dyDescent="0.4">
      <c r="A459"/>
      <c r="B459"/>
      <c r="C459"/>
      <c r="D459"/>
      <c r="E459"/>
      <c r="F459"/>
      <c r="G459"/>
      <c r="H459"/>
      <c r="I459"/>
      <c r="J459"/>
      <c r="K459"/>
      <c r="L459"/>
      <c r="M459"/>
      <c r="N459"/>
      <c r="O459"/>
      <c r="P459"/>
      <c r="Q459"/>
    </row>
    <row r="460" spans="1:17" x14ac:dyDescent="0.4">
      <c r="A460"/>
      <c r="B460"/>
      <c r="C460"/>
      <c r="D460"/>
      <c r="E460"/>
      <c r="F460"/>
      <c r="G460"/>
      <c r="H460"/>
      <c r="I460"/>
      <c r="J460"/>
      <c r="K460"/>
      <c r="L460"/>
      <c r="M460"/>
      <c r="N460"/>
      <c r="O460"/>
      <c r="P460"/>
      <c r="Q460"/>
    </row>
    <row r="461" spans="1:17" x14ac:dyDescent="0.4">
      <c r="A461"/>
      <c r="B461"/>
      <c r="C461"/>
      <c r="D461"/>
      <c r="E461"/>
      <c r="F461"/>
      <c r="G461"/>
      <c r="H461"/>
      <c r="I461"/>
      <c r="J461"/>
      <c r="K461"/>
      <c r="L461"/>
      <c r="M461"/>
      <c r="N461"/>
      <c r="O461"/>
      <c r="P461"/>
      <c r="Q461"/>
    </row>
    <row r="462" spans="1:17" x14ac:dyDescent="0.4">
      <c r="A462"/>
      <c r="B462"/>
      <c r="C462"/>
      <c r="D462"/>
      <c r="E462"/>
      <c r="F462"/>
      <c r="G462"/>
      <c r="H462"/>
      <c r="I462"/>
      <c r="J462"/>
      <c r="K462"/>
      <c r="L462"/>
      <c r="M462"/>
      <c r="N462"/>
      <c r="O462"/>
      <c r="P462"/>
      <c r="Q462"/>
    </row>
    <row r="463" spans="1:17" x14ac:dyDescent="0.4">
      <c r="A463"/>
      <c r="B463"/>
      <c r="C463"/>
      <c r="D463"/>
      <c r="E463"/>
      <c r="F463"/>
      <c r="G463"/>
      <c r="H463"/>
      <c r="I463"/>
      <c r="J463"/>
      <c r="K463"/>
      <c r="L463"/>
      <c r="M463"/>
      <c r="N463"/>
      <c r="O463"/>
      <c r="P463"/>
      <c r="Q463"/>
    </row>
    <row r="464" spans="1:17" x14ac:dyDescent="0.4">
      <c r="A464"/>
      <c r="B464"/>
      <c r="C464"/>
      <c r="D464"/>
      <c r="E464"/>
      <c r="F464"/>
      <c r="G464"/>
      <c r="H464"/>
      <c r="I464"/>
      <c r="J464"/>
      <c r="K464"/>
      <c r="L464"/>
      <c r="M464"/>
      <c r="N464"/>
      <c r="O464"/>
      <c r="P464"/>
      <c r="Q464"/>
    </row>
    <row r="465" spans="1:17" x14ac:dyDescent="0.4">
      <c r="A465"/>
      <c r="B465"/>
      <c r="C465"/>
      <c r="D465"/>
      <c r="E465"/>
      <c r="F465"/>
      <c r="G465"/>
      <c r="H465"/>
      <c r="I465"/>
      <c r="J465"/>
      <c r="K465"/>
      <c r="L465"/>
      <c r="M465"/>
      <c r="N465"/>
      <c r="O465"/>
      <c r="P465"/>
      <c r="Q465"/>
    </row>
    <row r="466" spans="1:17" x14ac:dyDescent="0.4">
      <c r="A466"/>
      <c r="B466"/>
      <c r="C466"/>
      <c r="D466"/>
      <c r="E466"/>
      <c r="F466"/>
      <c r="G466"/>
      <c r="H466"/>
      <c r="I466"/>
      <c r="J466"/>
      <c r="K466"/>
      <c r="L466"/>
      <c r="M466"/>
      <c r="N466"/>
      <c r="O466"/>
      <c r="P466"/>
      <c r="Q466"/>
    </row>
    <row r="467" spans="1:17" x14ac:dyDescent="0.4">
      <c r="A467"/>
      <c r="B467"/>
      <c r="C467"/>
      <c r="D467"/>
      <c r="E467"/>
      <c r="F467"/>
      <c r="G467"/>
      <c r="H467"/>
      <c r="I467"/>
      <c r="J467"/>
      <c r="K467"/>
      <c r="L467"/>
      <c r="M467"/>
      <c r="N467"/>
      <c r="O467"/>
      <c r="P467"/>
      <c r="Q467"/>
    </row>
    <row r="468" spans="1:17" x14ac:dyDescent="0.4">
      <c r="A468"/>
      <c r="B468"/>
      <c r="C468"/>
      <c r="D468"/>
      <c r="E468"/>
      <c r="F468"/>
      <c r="G468"/>
      <c r="H468"/>
      <c r="I468"/>
      <c r="J468"/>
      <c r="K468"/>
      <c r="L468"/>
      <c r="M468"/>
      <c r="N468"/>
      <c r="O468"/>
      <c r="P468"/>
      <c r="Q468"/>
    </row>
    <row r="469" spans="1:17" x14ac:dyDescent="0.4">
      <c r="A469"/>
      <c r="B469"/>
      <c r="C469"/>
      <c r="D469"/>
      <c r="E469"/>
      <c r="F469"/>
      <c r="G469"/>
      <c r="H469"/>
      <c r="I469"/>
      <c r="J469"/>
      <c r="K469"/>
      <c r="L469"/>
      <c r="M469"/>
      <c r="N469"/>
      <c r="O469"/>
      <c r="P469"/>
      <c r="Q469"/>
    </row>
    <row r="470" spans="1:17" x14ac:dyDescent="0.4">
      <c r="A470"/>
      <c r="B470"/>
      <c r="C470"/>
      <c r="D470"/>
      <c r="E470"/>
      <c r="F470"/>
      <c r="G470"/>
      <c r="H470"/>
      <c r="I470"/>
      <c r="J470"/>
      <c r="K470"/>
      <c r="L470"/>
      <c r="M470"/>
      <c r="N470"/>
      <c r="O470"/>
      <c r="P470"/>
      <c r="Q470"/>
    </row>
    <row r="471" spans="1:17" x14ac:dyDescent="0.4">
      <c r="A471"/>
      <c r="B471"/>
      <c r="C471"/>
      <c r="D471"/>
      <c r="E471"/>
      <c r="F471"/>
      <c r="G471"/>
      <c r="H471"/>
      <c r="I471"/>
      <c r="J471"/>
      <c r="K471"/>
      <c r="L471"/>
      <c r="M471"/>
      <c r="N471"/>
      <c r="O471"/>
      <c r="P471"/>
      <c r="Q471"/>
    </row>
    <row r="472" spans="1:17" x14ac:dyDescent="0.4">
      <c r="A472"/>
      <c r="B472"/>
      <c r="C472"/>
      <c r="D472"/>
      <c r="E472"/>
      <c r="F472"/>
      <c r="G472"/>
      <c r="H472"/>
      <c r="I472"/>
      <c r="J472"/>
      <c r="K472"/>
      <c r="L472"/>
      <c r="M472"/>
      <c r="N472"/>
      <c r="O472"/>
      <c r="P472"/>
      <c r="Q472"/>
    </row>
    <row r="473" spans="1:17" x14ac:dyDescent="0.4">
      <c r="A473"/>
      <c r="B473"/>
      <c r="C473"/>
      <c r="D473"/>
      <c r="E473"/>
      <c r="F473"/>
      <c r="G473"/>
      <c r="H473"/>
      <c r="I473"/>
      <c r="J473"/>
      <c r="K473"/>
      <c r="L473"/>
      <c r="M473"/>
      <c r="N473"/>
      <c r="O473"/>
      <c r="P473"/>
      <c r="Q473"/>
    </row>
    <row r="474" spans="1:17" x14ac:dyDescent="0.4">
      <c r="A474"/>
      <c r="B474"/>
      <c r="C474"/>
      <c r="D474"/>
      <c r="E474"/>
      <c r="F474"/>
      <c r="G474"/>
      <c r="H474"/>
      <c r="I474"/>
      <c r="J474"/>
      <c r="K474"/>
      <c r="L474"/>
      <c r="M474"/>
      <c r="N474"/>
      <c r="O474"/>
      <c r="P474"/>
      <c r="Q474"/>
    </row>
    <row r="475" spans="1:17" x14ac:dyDescent="0.4">
      <c r="A475"/>
      <c r="B475"/>
      <c r="C475"/>
      <c r="D475"/>
      <c r="E475"/>
      <c r="F475"/>
      <c r="G475"/>
      <c r="H475"/>
      <c r="I475"/>
      <c r="J475"/>
      <c r="K475"/>
      <c r="L475"/>
      <c r="M475"/>
      <c r="N475"/>
      <c r="O475"/>
      <c r="P475"/>
      <c r="Q475"/>
    </row>
    <row r="476" spans="1:17" x14ac:dyDescent="0.4">
      <c r="A476"/>
      <c r="B476"/>
      <c r="C476"/>
      <c r="D476"/>
      <c r="E476"/>
      <c r="F476"/>
      <c r="G476"/>
      <c r="H476"/>
      <c r="I476"/>
      <c r="J476"/>
      <c r="K476"/>
      <c r="L476"/>
      <c r="M476"/>
      <c r="N476"/>
      <c r="O476"/>
      <c r="P476"/>
      <c r="Q476"/>
    </row>
    <row r="477" spans="1:17" x14ac:dyDescent="0.4">
      <c r="A477"/>
      <c r="B477"/>
      <c r="C477"/>
      <c r="D477"/>
      <c r="E477"/>
      <c r="F477"/>
      <c r="G477"/>
      <c r="H477"/>
      <c r="I477"/>
      <c r="J477"/>
      <c r="K477"/>
      <c r="L477"/>
      <c r="M477"/>
      <c r="N477"/>
      <c r="O477"/>
      <c r="P477"/>
      <c r="Q477"/>
    </row>
    <row r="478" spans="1:17" x14ac:dyDescent="0.4">
      <c r="A478"/>
      <c r="B478"/>
      <c r="C478"/>
      <c r="D478"/>
      <c r="E478"/>
      <c r="F478"/>
      <c r="G478"/>
      <c r="H478"/>
      <c r="I478"/>
      <c r="J478"/>
      <c r="K478"/>
      <c r="L478"/>
      <c r="M478"/>
      <c r="N478"/>
      <c r="O478"/>
      <c r="P478"/>
      <c r="Q478"/>
    </row>
    <row r="479" spans="1:17" x14ac:dyDescent="0.4">
      <c r="A479"/>
      <c r="B479"/>
      <c r="C479"/>
      <c r="D479"/>
      <c r="E479"/>
      <c r="F479"/>
      <c r="G479"/>
      <c r="H479"/>
      <c r="I479"/>
      <c r="J479"/>
      <c r="K479"/>
      <c r="L479"/>
      <c r="M479"/>
      <c r="N479"/>
      <c r="O479"/>
      <c r="P479"/>
      <c r="Q479"/>
    </row>
    <row r="480" spans="1:17" x14ac:dyDescent="0.4">
      <c r="A480"/>
      <c r="B480"/>
      <c r="C480"/>
      <c r="D480"/>
      <c r="E480"/>
      <c r="F480"/>
      <c r="G480"/>
      <c r="H480"/>
      <c r="I480"/>
      <c r="J480"/>
      <c r="K480"/>
      <c r="L480"/>
      <c r="M480"/>
      <c r="N480"/>
      <c r="O480"/>
      <c r="P480"/>
      <c r="Q480"/>
    </row>
    <row r="481" spans="1:17" x14ac:dyDescent="0.4">
      <c r="A481"/>
      <c r="B481"/>
      <c r="C481"/>
      <c r="D481"/>
      <c r="E481"/>
      <c r="F481"/>
      <c r="G481"/>
      <c r="H481"/>
      <c r="I481"/>
      <c r="J481"/>
      <c r="K481"/>
      <c r="L481"/>
      <c r="M481"/>
      <c r="N481"/>
      <c r="O481"/>
      <c r="P481"/>
      <c r="Q481"/>
    </row>
    <row r="482" spans="1:17" x14ac:dyDescent="0.4">
      <c r="A482"/>
      <c r="B482"/>
      <c r="C482"/>
      <c r="D482"/>
      <c r="E482"/>
      <c r="F482"/>
      <c r="G482"/>
      <c r="H482"/>
      <c r="I482"/>
      <c r="J482"/>
      <c r="K482"/>
      <c r="L482"/>
      <c r="M482"/>
      <c r="N482"/>
      <c r="O482"/>
      <c r="P482"/>
      <c r="Q482"/>
    </row>
    <row r="483" spans="1:17" x14ac:dyDescent="0.4">
      <c r="A483"/>
      <c r="B483"/>
      <c r="C483"/>
      <c r="D483"/>
      <c r="E483"/>
      <c r="F483"/>
      <c r="G483"/>
      <c r="H483"/>
      <c r="I483"/>
      <c r="J483"/>
      <c r="K483"/>
      <c r="L483"/>
      <c r="M483"/>
      <c r="N483"/>
      <c r="O483"/>
      <c r="P483"/>
      <c r="Q483"/>
    </row>
    <row r="484" spans="1:17" x14ac:dyDescent="0.4">
      <c r="A484"/>
      <c r="B484"/>
      <c r="C484"/>
      <c r="D484"/>
      <c r="E484"/>
      <c r="F484"/>
      <c r="G484"/>
      <c r="H484"/>
      <c r="I484"/>
      <c r="J484"/>
      <c r="K484"/>
      <c r="L484"/>
      <c r="M484"/>
      <c r="N484"/>
      <c r="O484"/>
      <c r="P484"/>
      <c r="Q484"/>
    </row>
    <row r="485" spans="1:17" x14ac:dyDescent="0.4">
      <c r="A485"/>
      <c r="B485"/>
      <c r="C485"/>
      <c r="D485"/>
      <c r="E485"/>
      <c r="F485"/>
      <c r="G485"/>
      <c r="H485"/>
      <c r="I485"/>
      <c r="J485"/>
      <c r="K485"/>
      <c r="L485"/>
      <c r="M485"/>
      <c r="N485"/>
      <c r="O485"/>
      <c r="P485"/>
      <c r="Q485"/>
    </row>
    <row r="486" spans="1:17" x14ac:dyDescent="0.4">
      <c r="A486"/>
      <c r="B486"/>
      <c r="C486"/>
      <c r="D486"/>
      <c r="E486"/>
      <c r="F486"/>
      <c r="G486"/>
      <c r="H486"/>
      <c r="I486"/>
      <c r="J486"/>
      <c r="K486"/>
      <c r="L486"/>
      <c r="M486"/>
      <c r="N486"/>
      <c r="O486"/>
      <c r="P486"/>
      <c r="Q486"/>
    </row>
    <row r="487" spans="1:17" x14ac:dyDescent="0.4">
      <c r="A487"/>
      <c r="B487"/>
      <c r="C487"/>
      <c r="D487"/>
      <c r="E487"/>
      <c r="F487"/>
      <c r="G487"/>
      <c r="H487"/>
      <c r="I487"/>
      <c r="J487"/>
      <c r="K487"/>
      <c r="L487"/>
      <c r="M487"/>
      <c r="N487"/>
      <c r="O487"/>
      <c r="P487"/>
      <c r="Q487"/>
    </row>
    <row r="488" spans="1:17" x14ac:dyDescent="0.4">
      <c r="A488"/>
      <c r="B488"/>
      <c r="C488"/>
      <c r="D488"/>
      <c r="E488"/>
      <c r="F488"/>
      <c r="G488"/>
      <c r="H488"/>
      <c r="I488"/>
      <c r="J488"/>
      <c r="K488"/>
      <c r="L488"/>
      <c r="M488"/>
      <c r="N488"/>
      <c r="O488"/>
      <c r="P488"/>
      <c r="Q488"/>
    </row>
    <row r="489" spans="1:17" x14ac:dyDescent="0.4">
      <c r="A489"/>
      <c r="B489"/>
      <c r="C489"/>
      <c r="D489"/>
      <c r="E489"/>
      <c r="F489"/>
      <c r="G489"/>
      <c r="H489"/>
      <c r="I489"/>
      <c r="J489"/>
      <c r="K489"/>
      <c r="L489"/>
      <c r="M489"/>
      <c r="N489"/>
      <c r="O489"/>
      <c r="P489"/>
      <c r="Q489"/>
    </row>
    <row r="490" spans="1:17" x14ac:dyDescent="0.4">
      <c r="A490"/>
      <c r="B490"/>
      <c r="C490"/>
      <c r="D490"/>
      <c r="E490"/>
      <c r="F490"/>
      <c r="G490"/>
      <c r="H490"/>
      <c r="I490"/>
      <c r="J490"/>
      <c r="K490"/>
      <c r="L490"/>
      <c r="M490"/>
      <c r="N490"/>
      <c r="O490"/>
      <c r="P490"/>
      <c r="Q490"/>
    </row>
    <row r="491" spans="1:17" x14ac:dyDescent="0.4">
      <c r="A491"/>
      <c r="B491"/>
      <c r="C491"/>
      <c r="D491"/>
      <c r="E491"/>
      <c r="F491"/>
      <c r="G491"/>
      <c r="H491"/>
      <c r="I491"/>
      <c r="J491"/>
      <c r="K491"/>
      <c r="L491"/>
      <c r="M491"/>
      <c r="N491"/>
      <c r="O491"/>
      <c r="P491"/>
      <c r="Q491"/>
    </row>
    <row r="492" spans="1:17" x14ac:dyDescent="0.4">
      <c r="A492"/>
      <c r="B492"/>
      <c r="C492"/>
      <c r="D492"/>
      <c r="E492"/>
      <c r="F492"/>
      <c r="G492"/>
      <c r="H492"/>
      <c r="I492"/>
      <c r="J492"/>
      <c r="K492"/>
      <c r="L492"/>
      <c r="M492"/>
      <c r="N492"/>
      <c r="O492"/>
      <c r="P492"/>
      <c r="Q492"/>
    </row>
    <row r="493" spans="1:17" x14ac:dyDescent="0.4">
      <c r="A493"/>
      <c r="B493"/>
      <c r="C493"/>
      <c r="D493"/>
      <c r="E493"/>
      <c r="F493"/>
      <c r="G493"/>
      <c r="H493"/>
      <c r="I493"/>
      <c r="J493"/>
      <c r="K493"/>
      <c r="L493"/>
      <c r="M493"/>
      <c r="N493"/>
      <c r="O493"/>
      <c r="P493"/>
      <c r="Q493"/>
    </row>
    <row r="494" spans="1:17" x14ac:dyDescent="0.4">
      <c r="A494"/>
      <c r="B494"/>
      <c r="C494"/>
      <c r="D494"/>
      <c r="E494"/>
      <c r="F494"/>
      <c r="G494"/>
      <c r="H494"/>
      <c r="I494"/>
      <c r="J494"/>
      <c r="K494"/>
      <c r="L494"/>
      <c r="M494"/>
      <c r="N494"/>
      <c r="O494"/>
      <c r="P494"/>
      <c r="Q494"/>
    </row>
    <row r="495" spans="1:17" x14ac:dyDescent="0.4">
      <c r="A495"/>
      <c r="B495"/>
      <c r="C495"/>
      <c r="D495"/>
      <c r="E495"/>
      <c r="F495"/>
      <c r="G495"/>
      <c r="H495"/>
      <c r="I495"/>
      <c r="J495"/>
      <c r="K495"/>
      <c r="L495"/>
      <c r="M495"/>
      <c r="N495"/>
      <c r="O495"/>
      <c r="P495"/>
      <c r="Q495"/>
    </row>
    <row r="496" spans="1:17" x14ac:dyDescent="0.4">
      <c r="A496"/>
      <c r="B496"/>
      <c r="C496"/>
      <c r="D496"/>
      <c r="E496"/>
      <c r="F496"/>
      <c r="G496"/>
      <c r="H496"/>
      <c r="I496"/>
      <c r="J496"/>
      <c r="K496"/>
      <c r="L496"/>
      <c r="M496"/>
      <c r="N496"/>
      <c r="O496"/>
      <c r="P496"/>
      <c r="Q496"/>
    </row>
    <row r="497" spans="1:17" x14ac:dyDescent="0.4">
      <c r="A497"/>
      <c r="B497"/>
      <c r="C497"/>
      <c r="D497"/>
      <c r="E497"/>
      <c r="F497"/>
      <c r="G497"/>
      <c r="H497"/>
      <c r="I497"/>
      <c r="J497"/>
      <c r="K497"/>
      <c r="L497"/>
      <c r="M497"/>
      <c r="N497"/>
      <c r="O497"/>
      <c r="P497"/>
      <c r="Q497"/>
    </row>
    <row r="498" spans="1:17" x14ac:dyDescent="0.4">
      <c r="A498"/>
      <c r="B498"/>
      <c r="C498"/>
      <c r="D498"/>
      <c r="E498"/>
      <c r="F498"/>
      <c r="G498"/>
      <c r="H498"/>
      <c r="I498"/>
      <c r="J498"/>
      <c r="K498"/>
      <c r="L498"/>
      <c r="M498"/>
      <c r="N498"/>
      <c r="O498"/>
      <c r="P498"/>
      <c r="Q498"/>
    </row>
    <row r="499" spans="1:17" x14ac:dyDescent="0.4">
      <c r="A499"/>
      <c r="B499"/>
      <c r="C499"/>
      <c r="D499"/>
      <c r="E499"/>
      <c r="F499"/>
      <c r="G499"/>
      <c r="H499"/>
      <c r="I499"/>
      <c r="J499"/>
      <c r="K499"/>
      <c r="L499"/>
      <c r="M499"/>
      <c r="N499"/>
      <c r="O499"/>
      <c r="P499"/>
      <c r="Q499"/>
    </row>
    <row r="500" spans="1:17" x14ac:dyDescent="0.4">
      <c r="A500"/>
      <c r="B500"/>
      <c r="C500"/>
      <c r="D500"/>
      <c r="E500"/>
      <c r="F500"/>
      <c r="G500"/>
      <c r="H500"/>
      <c r="I500"/>
      <c r="J500"/>
      <c r="K500"/>
      <c r="L500"/>
      <c r="M500"/>
      <c r="N500"/>
      <c r="O500"/>
      <c r="P500"/>
      <c r="Q500"/>
    </row>
    <row r="501" spans="1:17" x14ac:dyDescent="0.4">
      <c r="A501"/>
      <c r="B501"/>
      <c r="C501"/>
      <c r="D501"/>
      <c r="E501"/>
      <c r="F501"/>
      <c r="G501"/>
      <c r="H501"/>
      <c r="I501"/>
      <c r="J501"/>
      <c r="K501"/>
      <c r="L501"/>
      <c r="M501"/>
      <c r="N501"/>
      <c r="O501"/>
      <c r="P501"/>
      <c r="Q501"/>
    </row>
    <row r="502" spans="1:17" x14ac:dyDescent="0.4">
      <c r="A502"/>
      <c r="B502"/>
      <c r="C502"/>
      <c r="D502"/>
      <c r="E502"/>
      <c r="F502"/>
      <c r="G502"/>
      <c r="H502"/>
      <c r="I502"/>
      <c r="J502"/>
      <c r="K502"/>
      <c r="L502"/>
      <c r="M502"/>
      <c r="N502"/>
      <c r="O502"/>
      <c r="P502"/>
      <c r="Q502"/>
    </row>
    <row r="503" spans="1:17" x14ac:dyDescent="0.4">
      <c r="A503"/>
      <c r="B503"/>
      <c r="C503"/>
      <c r="D503"/>
      <c r="E503"/>
      <c r="F503"/>
      <c r="G503"/>
      <c r="H503"/>
      <c r="I503"/>
      <c r="J503"/>
      <c r="K503"/>
      <c r="L503"/>
      <c r="M503"/>
      <c r="N503"/>
      <c r="O503"/>
      <c r="P503"/>
      <c r="Q503"/>
    </row>
    <row r="504" spans="1:17" x14ac:dyDescent="0.4">
      <c r="A504"/>
      <c r="B504"/>
      <c r="C504"/>
      <c r="D504"/>
      <c r="E504"/>
      <c r="F504"/>
      <c r="G504"/>
      <c r="H504"/>
      <c r="I504"/>
      <c r="J504"/>
      <c r="K504"/>
      <c r="L504"/>
      <c r="M504"/>
      <c r="N504"/>
      <c r="O504"/>
      <c r="P504"/>
      <c r="Q504"/>
    </row>
    <row r="505" spans="1:17" x14ac:dyDescent="0.4">
      <c r="A505"/>
      <c r="B505"/>
      <c r="C505"/>
      <c r="D505"/>
      <c r="E505"/>
      <c r="F505"/>
      <c r="G505"/>
      <c r="H505"/>
      <c r="I505"/>
      <c r="J505"/>
      <c r="K505"/>
      <c r="L505"/>
      <c r="M505"/>
      <c r="N505"/>
      <c r="O505"/>
      <c r="P505"/>
      <c r="Q505"/>
    </row>
    <row r="506" spans="1:17" x14ac:dyDescent="0.4">
      <c r="A506"/>
      <c r="B506"/>
      <c r="C506"/>
      <c r="D506"/>
      <c r="E506"/>
      <c r="F506"/>
      <c r="G506"/>
      <c r="H506"/>
      <c r="I506"/>
      <c r="J506"/>
      <c r="K506"/>
      <c r="L506"/>
      <c r="M506"/>
      <c r="N506"/>
      <c r="O506"/>
      <c r="P506"/>
      <c r="Q506"/>
    </row>
    <row r="507" spans="1:17" x14ac:dyDescent="0.4">
      <c r="A507"/>
      <c r="B507"/>
      <c r="C507"/>
      <c r="D507"/>
      <c r="E507"/>
      <c r="F507"/>
      <c r="G507"/>
      <c r="H507"/>
      <c r="I507"/>
      <c r="J507"/>
      <c r="K507"/>
      <c r="L507"/>
      <c r="M507"/>
      <c r="N507"/>
      <c r="O507"/>
      <c r="P507"/>
      <c r="Q507"/>
    </row>
    <row r="508" spans="1:17" x14ac:dyDescent="0.4">
      <c r="A508"/>
      <c r="B508"/>
      <c r="C508"/>
      <c r="D508"/>
      <c r="E508"/>
      <c r="F508"/>
      <c r="G508"/>
      <c r="H508"/>
      <c r="I508"/>
      <c r="J508"/>
      <c r="K508"/>
      <c r="L508"/>
      <c r="M508"/>
      <c r="N508"/>
      <c r="O508"/>
      <c r="P508"/>
      <c r="Q508"/>
    </row>
    <row r="509" spans="1:17" x14ac:dyDescent="0.4">
      <c r="A509"/>
      <c r="B509"/>
      <c r="C509"/>
      <c r="D509"/>
      <c r="E509"/>
      <c r="F509"/>
      <c r="G509"/>
      <c r="H509"/>
      <c r="I509"/>
      <c r="J509"/>
      <c r="K509"/>
      <c r="L509"/>
      <c r="M509"/>
      <c r="N509"/>
      <c r="O509"/>
      <c r="P509"/>
      <c r="Q509"/>
    </row>
    <row r="510" spans="1:17" x14ac:dyDescent="0.4">
      <c r="A510"/>
      <c r="B510"/>
      <c r="C510"/>
      <c r="D510"/>
      <c r="E510"/>
      <c r="F510"/>
      <c r="G510"/>
      <c r="H510"/>
      <c r="I510"/>
      <c r="J510"/>
      <c r="K510"/>
      <c r="L510"/>
      <c r="M510"/>
      <c r="N510"/>
      <c r="O510"/>
      <c r="P510"/>
      <c r="Q510"/>
    </row>
    <row r="511" spans="1:17" x14ac:dyDescent="0.4">
      <c r="A511"/>
      <c r="B511"/>
      <c r="C511"/>
      <c r="D511"/>
      <c r="E511"/>
      <c r="F511"/>
      <c r="G511"/>
      <c r="H511"/>
      <c r="I511"/>
      <c r="J511"/>
      <c r="K511"/>
      <c r="L511"/>
      <c r="M511"/>
      <c r="N511"/>
      <c r="O511"/>
      <c r="P511"/>
      <c r="Q511"/>
    </row>
    <row r="512" spans="1:17" x14ac:dyDescent="0.4">
      <c r="A512"/>
      <c r="B512"/>
      <c r="C512"/>
      <c r="D512"/>
      <c r="E512"/>
      <c r="F512"/>
      <c r="G512"/>
      <c r="H512"/>
      <c r="I512"/>
      <c r="J512"/>
      <c r="K512"/>
      <c r="L512"/>
      <c r="M512"/>
      <c r="N512"/>
      <c r="O512"/>
      <c r="P512"/>
      <c r="Q512"/>
    </row>
    <row r="513" spans="1:17" x14ac:dyDescent="0.4">
      <c r="A513"/>
      <c r="B513"/>
      <c r="C513"/>
      <c r="D513"/>
      <c r="E513"/>
      <c r="F513"/>
      <c r="G513"/>
      <c r="H513"/>
      <c r="I513"/>
      <c r="J513"/>
      <c r="K513"/>
      <c r="L513"/>
      <c r="M513"/>
      <c r="N513"/>
      <c r="O513"/>
      <c r="P513"/>
      <c r="Q513"/>
    </row>
    <row r="514" spans="1:17" x14ac:dyDescent="0.4">
      <c r="A514"/>
      <c r="B514"/>
      <c r="C514"/>
      <c r="D514"/>
      <c r="E514"/>
      <c r="F514"/>
      <c r="G514"/>
      <c r="H514"/>
      <c r="I514"/>
      <c r="J514"/>
      <c r="K514"/>
      <c r="L514"/>
      <c r="M514"/>
      <c r="N514"/>
      <c r="O514"/>
      <c r="P514"/>
      <c r="Q514"/>
    </row>
    <row r="515" spans="1:17" x14ac:dyDescent="0.4">
      <c r="A515"/>
      <c r="B515"/>
      <c r="C515"/>
      <c r="D515"/>
      <c r="E515"/>
      <c r="F515"/>
      <c r="G515"/>
      <c r="H515"/>
      <c r="I515"/>
      <c r="J515"/>
      <c r="K515"/>
      <c r="L515"/>
      <c r="M515"/>
      <c r="N515"/>
      <c r="O515"/>
      <c r="P515"/>
      <c r="Q515"/>
    </row>
    <row r="516" spans="1:17" x14ac:dyDescent="0.4">
      <c r="A516"/>
      <c r="B516"/>
      <c r="C516"/>
      <c r="D516"/>
      <c r="E516"/>
      <c r="F516"/>
      <c r="G516"/>
      <c r="H516"/>
      <c r="I516"/>
      <c r="J516"/>
      <c r="K516"/>
      <c r="L516"/>
      <c r="M516"/>
      <c r="N516"/>
      <c r="O516"/>
      <c r="P516"/>
      <c r="Q516"/>
    </row>
    <row r="517" spans="1:17" x14ac:dyDescent="0.4">
      <c r="A517"/>
      <c r="B517"/>
      <c r="C517"/>
      <c r="D517"/>
      <c r="E517"/>
      <c r="F517"/>
      <c r="G517"/>
      <c r="H517"/>
      <c r="I517"/>
      <c r="J517"/>
      <c r="K517"/>
      <c r="L517"/>
      <c r="M517"/>
      <c r="N517"/>
      <c r="O517"/>
      <c r="P517"/>
      <c r="Q517"/>
    </row>
    <row r="518" spans="1:17" x14ac:dyDescent="0.4">
      <c r="A518"/>
      <c r="B518"/>
      <c r="C518"/>
      <c r="D518"/>
      <c r="E518"/>
      <c r="F518"/>
      <c r="G518"/>
      <c r="H518"/>
      <c r="I518"/>
      <c r="J518"/>
      <c r="K518"/>
      <c r="L518"/>
      <c r="M518"/>
      <c r="N518"/>
      <c r="O518"/>
      <c r="P518"/>
      <c r="Q518"/>
    </row>
    <row r="519" spans="1:17" x14ac:dyDescent="0.4">
      <c r="A519"/>
      <c r="B519"/>
      <c r="C519"/>
      <c r="D519"/>
      <c r="E519"/>
      <c r="F519"/>
      <c r="G519"/>
      <c r="H519"/>
      <c r="I519"/>
      <c r="J519"/>
      <c r="K519"/>
      <c r="L519"/>
      <c r="M519"/>
      <c r="N519"/>
      <c r="O519"/>
      <c r="P519"/>
      <c r="Q519"/>
    </row>
    <row r="520" spans="1:17" x14ac:dyDescent="0.4">
      <c r="A520"/>
      <c r="B520"/>
      <c r="C520"/>
      <c r="D520"/>
      <c r="E520"/>
      <c r="F520"/>
      <c r="G520"/>
      <c r="H520"/>
      <c r="I520"/>
      <c r="J520"/>
      <c r="K520"/>
      <c r="L520"/>
      <c r="M520"/>
      <c r="N520"/>
      <c r="O520"/>
      <c r="P520"/>
      <c r="Q520"/>
    </row>
    <row r="521" spans="1:17" x14ac:dyDescent="0.4">
      <c r="A521"/>
      <c r="B521"/>
      <c r="C521"/>
      <c r="D521"/>
      <c r="E521"/>
      <c r="F521"/>
      <c r="G521"/>
      <c r="H521"/>
      <c r="I521"/>
      <c r="J521"/>
      <c r="K521"/>
      <c r="L521"/>
      <c r="M521"/>
      <c r="N521"/>
      <c r="O521"/>
      <c r="P521"/>
      <c r="Q521"/>
    </row>
    <row r="522" spans="1:17" x14ac:dyDescent="0.4">
      <c r="A522"/>
      <c r="B522"/>
      <c r="C522"/>
      <c r="D522"/>
      <c r="E522"/>
      <c r="F522"/>
      <c r="G522"/>
      <c r="H522"/>
      <c r="I522"/>
      <c r="J522"/>
      <c r="K522"/>
      <c r="L522"/>
      <c r="M522"/>
      <c r="N522"/>
      <c r="O522"/>
      <c r="P522"/>
      <c r="Q522"/>
    </row>
    <row r="523" spans="1:17" x14ac:dyDescent="0.4">
      <c r="A523"/>
      <c r="B523"/>
      <c r="C523"/>
      <c r="D523"/>
      <c r="E523"/>
      <c r="F523"/>
      <c r="G523"/>
      <c r="H523"/>
      <c r="I523"/>
      <c r="J523"/>
      <c r="K523"/>
      <c r="L523"/>
      <c r="M523"/>
      <c r="N523"/>
      <c r="O523"/>
      <c r="P523"/>
      <c r="Q523"/>
    </row>
    <row r="524" spans="1:17" x14ac:dyDescent="0.4">
      <c r="A524"/>
      <c r="B524"/>
      <c r="C524"/>
      <c r="D524"/>
      <c r="E524"/>
      <c r="F524"/>
      <c r="G524"/>
      <c r="H524"/>
      <c r="I524"/>
      <c r="J524"/>
      <c r="K524"/>
      <c r="L524"/>
      <c r="M524"/>
      <c r="N524"/>
      <c r="O524"/>
      <c r="P524"/>
      <c r="Q524"/>
    </row>
    <row r="525" spans="1:17" x14ac:dyDescent="0.4">
      <c r="A525"/>
      <c r="B525"/>
      <c r="C525"/>
      <c r="D525"/>
      <c r="E525"/>
      <c r="F525"/>
      <c r="G525"/>
      <c r="H525"/>
      <c r="I525"/>
      <c r="J525"/>
      <c r="K525"/>
      <c r="L525"/>
      <c r="M525"/>
      <c r="N525"/>
      <c r="O525"/>
      <c r="P525"/>
      <c r="Q525"/>
    </row>
    <row r="526" spans="1:17" x14ac:dyDescent="0.4">
      <c r="A526"/>
      <c r="B526"/>
      <c r="C526"/>
      <c r="D526"/>
      <c r="E526"/>
      <c r="F526"/>
      <c r="G526"/>
      <c r="H526"/>
      <c r="I526"/>
      <c r="J526"/>
      <c r="K526"/>
      <c r="L526"/>
      <c r="M526"/>
      <c r="N526"/>
      <c r="O526"/>
      <c r="P526"/>
      <c r="Q526"/>
    </row>
    <row r="527" spans="1:17" x14ac:dyDescent="0.4">
      <c r="A527"/>
      <c r="B527"/>
      <c r="C527"/>
      <c r="D527"/>
      <c r="E527"/>
      <c r="F527"/>
      <c r="G527"/>
      <c r="H527"/>
      <c r="I527"/>
      <c r="J527"/>
      <c r="K527"/>
      <c r="L527"/>
      <c r="M527"/>
      <c r="N527"/>
      <c r="O527"/>
      <c r="P527"/>
      <c r="Q527"/>
    </row>
    <row r="528" spans="1:17" x14ac:dyDescent="0.4">
      <c r="A528"/>
      <c r="B528"/>
      <c r="C528"/>
      <c r="D528"/>
      <c r="E528"/>
      <c r="F528"/>
      <c r="G528"/>
      <c r="H528"/>
      <c r="I528"/>
      <c r="J528"/>
      <c r="K528"/>
      <c r="L528"/>
      <c r="M528"/>
      <c r="N528"/>
      <c r="O528"/>
      <c r="P528"/>
      <c r="Q528"/>
    </row>
    <row r="529" spans="1:17" x14ac:dyDescent="0.4">
      <c r="A529"/>
      <c r="B529"/>
      <c r="C529"/>
      <c r="D529"/>
      <c r="E529"/>
      <c r="F529"/>
      <c r="G529"/>
      <c r="H529"/>
      <c r="I529"/>
      <c r="J529"/>
      <c r="K529"/>
      <c r="L529"/>
      <c r="M529"/>
      <c r="N529"/>
      <c r="O529"/>
      <c r="P529"/>
      <c r="Q529"/>
    </row>
    <row r="530" spans="1:17" x14ac:dyDescent="0.4">
      <c r="A530"/>
      <c r="B530"/>
      <c r="C530"/>
      <c r="D530"/>
      <c r="E530"/>
      <c r="F530"/>
      <c r="G530"/>
      <c r="H530"/>
      <c r="I530"/>
      <c r="J530"/>
      <c r="K530"/>
      <c r="L530"/>
      <c r="M530"/>
      <c r="N530"/>
      <c r="O530"/>
      <c r="P530"/>
      <c r="Q530"/>
    </row>
    <row r="531" spans="1:17" x14ac:dyDescent="0.4">
      <c r="A531"/>
      <c r="B531"/>
      <c r="C531"/>
      <c r="D531"/>
      <c r="E531"/>
      <c r="F531"/>
      <c r="G531"/>
      <c r="H531"/>
      <c r="I531"/>
      <c r="J531"/>
      <c r="K531"/>
      <c r="L531"/>
      <c r="M531"/>
      <c r="N531"/>
      <c r="O531"/>
      <c r="P531"/>
      <c r="Q531"/>
    </row>
    <row r="532" spans="1:17" x14ac:dyDescent="0.4">
      <c r="A532"/>
      <c r="B532"/>
      <c r="C532"/>
      <c r="D532"/>
      <c r="E532"/>
      <c r="F532"/>
      <c r="G532"/>
      <c r="H532"/>
      <c r="I532"/>
      <c r="J532"/>
      <c r="K532"/>
      <c r="L532"/>
      <c r="M532"/>
      <c r="N532"/>
      <c r="O532"/>
      <c r="P532"/>
      <c r="Q532"/>
    </row>
    <row r="533" spans="1:17" x14ac:dyDescent="0.4">
      <c r="A533"/>
      <c r="B533"/>
      <c r="C533"/>
      <c r="D533"/>
      <c r="E533"/>
      <c r="F533"/>
      <c r="G533"/>
      <c r="H533"/>
      <c r="I533"/>
      <c r="J533"/>
      <c r="K533"/>
      <c r="L533"/>
      <c r="M533"/>
      <c r="N533"/>
      <c r="O533"/>
      <c r="P533"/>
      <c r="Q533"/>
    </row>
    <row r="534" spans="1:17" x14ac:dyDescent="0.4">
      <c r="A534"/>
      <c r="B534"/>
      <c r="C534"/>
      <c r="D534"/>
      <c r="E534"/>
      <c r="F534"/>
      <c r="G534"/>
      <c r="H534"/>
      <c r="I534"/>
      <c r="J534"/>
      <c r="K534"/>
      <c r="L534"/>
      <c r="M534"/>
      <c r="N534"/>
      <c r="O534"/>
      <c r="P534"/>
      <c r="Q534"/>
    </row>
    <row r="535" spans="1:17" x14ac:dyDescent="0.4">
      <c r="A535"/>
      <c r="B535"/>
      <c r="C535"/>
      <c r="D535"/>
      <c r="E535"/>
      <c r="F535"/>
      <c r="G535"/>
      <c r="H535"/>
      <c r="I535"/>
      <c r="J535"/>
      <c r="K535"/>
      <c r="L535"/>
      <c r="M535"/>
      <c r="N535"/>
      <c r="O535"/>
      <c r="P535"/>
      <c r="Q535"/>
    </row>
    <row r="536" spans="1:17" x14ac:dyDescent="0.4">
      <c r="A536"/>
      <c r="B536"/>
      <c r="C536"/>
      <c r="D536"/>
      <c r="E536"/>
      <c r="F536"/>
      <c r="G536"/>
      <c r="H536"/>
      <c r="I536"/>
      <c r="J536"/>
      <c r="K536"/>
      <c r="L536"/>
      <c r="M536"/>
      <c r="N536"/>
      <c r="O536"/>
      <c r="P536"/>
      <c r="Q536"/>
    </row>
    <row r="537" spans="1:17" x14ac:dyDescent="0.4">
      <c r="A537"/>
      <c r="B537"/>
      <c r="C537"/>
      <c r="D537"/>
      <c r="E537"/>
      <c r="F537"/>
      <c r="G537"/>
      <c r="H537"/>
      <c r="I537"/>
      <c r="J537"/>
      <c r="K537"/>
      <c r="L537"/>
      <c r="M537"/>
      <c r="N537"/>
      <c r="O537"/>
      <c r="P537"/>
      <c r="Q537"/>
    </row>
    <row r="538" spans="1:17" x14ac:dyDescent="0.4">
      <c r="A538"/>
      <c r="B538"/>
      <c r="C538"/>
      <c r="D538"/>
      <c r="E538"/>
      <c r="F538"/>
      <c r="G538"/>
      <c r="H538"/>
      <c r="I538"/>
      <c r="J538"/>
      <c r="K538"/>
      <c r="L538"/>
      <c r="M538"/>
      <c r="N538"/>
      <c r="O538"/>
      <c r="P538"/>
      <c r="Q538"/>
    </row>
    <row r="539" spans="1:17" x14ac:dyDescent="0.4">
      <c r="A539"/>
      <c r="B539"/>
      <c r="C539"/>
      <c r="D539"/>
      <c r="E539"/>
      <c r="F539"/>
      <c r="G539"/>
      <c r="H539"/>
      <c r="I539"/>
      <c r="J539"/>
      <c r="K539"/>
      <c r="L539"/>
      <c r="M539"/>
      <c r="N539"/>
      <c r="O539"/>
      <c r="P539"/>
      <c r="Q539"/>
    </row>
    <row r="540" spans="1:17" x14ac:dyDescent="0.4">
      <c r="A540"/>
      <c r="B540"/>
      <c r="C540"/>
      <c r="D540"/>
      <c r="E540"/>
      <c r="F540"/>
      <c r="G540"/>
      <c r="H540"/>
      <c r="I540"/>
      <c r="J540"/>
      <c r="K540"/>
      <c r="L540"/>
      <c r="M540"/>
      <c r="N540"/>
      <c r="O540"/>
      <c r="P540"/>
      <c r="Q540"/>
    </row>
    <row r="541" spans="1:17" x14ac:dyDescent="0.4">
      <c r="A541"/>
      <c r="B541"/>
      <c r="C541"/>
      <c r="D541"/>
      <c r="E541"/>
      <c r="F541"/>
      <c r="G541"/>
      <c r="H541"/>
      <c r="I541"/>
      <c r="J541"/>
      <c r="K541"/>
      <c r="L541"/>
      <c r="M541"/>
      <c r="N541"/>
      <c r="O541"/>
      <c r="P541"/>
      <c r="Q541"/>
    </row>
    <row r="542" spans="1:17" x14ac:dyDescent="0.4">
      <c r="A542"/>
      <c r="B542"/>
      <c r="C542"/>
      <c r="D542"/>
      <c r="E542"/>
      <c r="F542"/>
      <c r="G542"/>
      <c r="H542"/>
      <c r="I542"/>
      <c r="J542"/>
      <c r="K542"/>
      <c r="L542"/>
      <c r="M542"/>
      <c r="N542"/>
      <c r="O542"/>
      <c r="P542"/>
      <c r="Q542"/>
    </row>
    <row r="543" spans="1:17" x14ac:dyDescent="0.4">
      <c r="A543"/>
      <c r="B543"/>
      <c r="C543"/>
      <c r="D543"/>
      <c r="E543"/>
      <c r="F543"/>
      <c r="G543"/>
      <c r="H543"/>
      <c r="I543"/>
      <c r="J543"/>
      <c r="K543"/>
      <c r="L543"/>
      <c r="M543"/>
      <c r="N543"/>
      <c r="O543"/>
      <c r="P543"/>
      <c r="Q543"/>
    </row>
    <row r="544" spans="1:17" x14ac:dyDescent="0.4">
      <c r="A544"/>
      <c r="B544"/>
      <c r="C544"/>
      <c r="D544"/>
      <c r="E544"/>
      <c r="F544"/>
      <c r="G544"/>
      <c r="H544"/>
      <c r="I544"/>
      <c r="J544"/>
      <c r="K544"/>
      <c r="L544"/>
      <c r="M544"/>
      <c r="N544"/>
      <c r="O544"/>
      <c r="P544"/>
      <c r="Q544"/>
    </row>
    <row r="545" spans="1:17" x14ac:dyDescent="0.4">
      <c r="A545"/>
      <c r="B545"/>
      <c r="C545"/>
      <c r="D545"/>
      <c r="E545"/>
      <c r="F545"/>
      <c r="G545"/>
      <c r="H545"/>
      <c r="I545"/>
      <c r="J545"/>
      <c r="K545"/>
      <c r="L545"/>
      <c r="M545"/>
      <c r="N545"/>
      <c r="O545"/>
      <c r="P545"/>
      <c r="Q545"/>
    </row>
    <row r="546" spans="1:17" x14ac:dyDescent="0.4">
      <c r="A546"/>
      <c r="B546"/>
      <c r="C546"/>
      <c r="D546"/>
      <c r="E546"/>
      <c r="F546"/>
      <c r="G546"/>
      <c r="H546"/>
      <c r="I546"/>
      <c r="J546"/>
      <c r="K546"/>
      <c r="L546"/>
      <c r="M546"/>
      <c r="N546"/>
      <c r="O546"/>
      <c r="P546"/>
      <c r="Q546"/>
    </row>
    <row r="547" spans="1:17" x14ac:dyDescent="0.4">
      <c r="A547"/>
      <c r="B547"/>
      <c r="C547"/>
      <c r="D547"/>
      <c r="E547"/>
      <c r="F547"/>
      <c r="G547"/>
      <c r="H547"/>
      <c r="I547"/>
      <c r="J547"/>
      <c r="K547"/>
      <c r="L547"/>
      <c r="M547"/>
      <c r="N547"/>
      <c r="O547"/>
      <c r="P547"/>
      <c r="Q547"/>
    </row>
    <row r="548" spans="1:17" x14ac:dyDescent="0.4">
      <c r="A548"/>
      <c r="B548"/>
      <c r="C548"/>
      <c r="D548"/>
      <c r="E548"/>
      <c r="F548"/>
      <c r="G548"/>
      <c r="H548"/>
      <c r="I548"/>
      <c r="J548"/>
      <c r="K548"/>
      <c r="L548"/>
      <c r="M548"/>
      <c r="N548"/>
      <c r="O548"/>
      <c r="P548"/>
      <c r="Q548"/>
    </row>
    <row r="549" spans="1:17" x14ac:dyDescent="0.4">
      <c r="A549"/>
      <c r="B549"/>
      <c r="C549"/>
      <c r="D549"/>
      <c r="E549"/>
      <c r="F549"/>
      <c r="G549"/>
      <c r="H549"/>
      <c r="I549"/>
      <c r="J549"/>
      <c r="K549"/>
      <c r="L549"/>
      <c r="M549"/>
      <c r="N549"/>
      <c r="O549"/>
      <c r="P549"/>
      <c r="Q549"/>
    </row>
    <row r="550" spans="1:17" x14ac:dyDescent="0.4">
      <c r="A550"/>
      <c r="B550"/>
      <c r="C550"/>
      <c r="D550"/>
      <c r="E550"/>
      <c r="F550"/>
      <c r="G550"/>
      <c r="H550"/>
      <c r="I550"/>
      <c r="J550"/>
      <c r="K550"/>
      <c r="L550"/>
      <c r="M550"/>
      <c r="N550"/>
      <c r="O550"/>
      <c r="P550"/>
      <c r="Q550"/>
    </row>
    <row r="551" spans="1:17" x14ac:dyDescent="0.4">
      <c r="A551"/>
      <c r="B551"/>
      <c r="C551"/>
      <c r="D551"/>
      <c r="E551"/>
      <c r="F551"/>
      <c r="G551"/>
      <c r="H551"/>
      <c r="I551"/>
      <c r="J551"/>
      <c r="K551"/>
      <c r="L551"/>
      <c r="M551"/>
      <c r="N551"/>
      <c r="O551"/>
      <c r="P551"/>
      <c r="Q551"/>
    </row>
    <row r="552" spans="1:17" x14ac:dyDescent="0.4">
      <c r="A552"/>
      <c r="B552"/>
      <c r="C552"/>
      <c r="D552"/>
      <c r="E552"/>
      <c r="F552"/>
      <c r="G552"/>
      <c r="H552"/>
      <c r="I552"/>
      <c r="J552"/>
      <c r="K552"/>
      <c r="L552"/>
      <c r="M552"/>
      <c r="N552"/>
      <c r="O552"/>
      <c r="P552"/>
      <c r="Q552"/>
    </row>
    <row r="553" spans="1:17" x14ac:dyDescent="0.4">
      <c r="A553"/>
      <c r="B553"/>
      <c r="C553"/>
      <c r="D553"/>
      <c r="E553"/>
      <c r="F553"/>
      <c r="G553"/>
      <c r="H553"/>
      <c r="I553"/>
      <c r="J553"/>
      <c r="K553"/>
      <c r="L553"/>
      <c r="M553"/>
      <c r="N553"/>
      <c r="O553"/>
      <c r="P553"/>
      <c r="Q553"/>
    </row>
    <row r="554" spans="1:17" x14ac:dyDescent="0.4">
      <c r="A554"/>
      <c r="B554"/>
      <c r="C554"/>
      <c r="D554"/>
      <c r="E554"/>
      <c r="F554"/>
      <c r="G554"/>
      <c r="H554"/>
      <c r="I554"/>
      <c r="J554"/>
      <c r="K554"/>
      <c r="L554"/>
      <c r="M554"/>
      <c r="N554"/>
      <c r="O554"/>
      <c r="P554"/>
      <c r="Q554"/>
    </row>
    <row r="555" spans="1:17" x14ac:dyDescent="0.4">
      <c r="A555"/>
      <c r="B555"/>
      <c r="C555"/>
      <c r="D555"/>
      <c r="E555"/>
      <c r="F555"/>
      <c r="G555"/>
      <c r="H555"/>
      <c r="I555"/>
      <c r="J555"/>
      <c r="K555"/>
      <c r="L555"/>
      <c r="M555"/>
      <c r="N555"/>
      <c r="O555"/>
      <c r="P555"/>
      <c r="Q555"/>
    </row>
    <row r="556" spans="1:17" x14ac:dyDescent="0.4">
      <c r="A556"/>
      <c r="B556"/>
      <c r="C556"/>
      <c r="D556"/>
      <c r="E556"/>
      <c r="F556"/>
      <c r="G556"/>
      <c r="H556"/>
      <c r="I556"/>
      <c r="J556"/>
      <c r="K556"/>
      <c r="L556"/>
      <c r="M556"/>
      <c r="N556"/>
      <c r="O556"/>
      <c r="P556"/>
      <c r="Q556"/>
    </row>
    <row r="557" spans="1:17" x14ac:dyDescent="0.4">
      <c r="A557"/>
      <c r="B557"/>
      <c r="C557"/>
      <c r="D557"/>
      <c r="E557"/>
      <c r="F557"/>
      <c r="G557"/>
      <c r="H557"/>
      <c r="I557"/>
      <c r="J557"/>
      <c r="K557"/>
      <c r="L557"/>
      <c r="M557"/>
      <c r="N557"/>
      <c r="O557"/>
      <c r="P557"/>
      <c r="Q557"/>
    </row>
    <row r="558" spans="1:17" x14ac:dyDescent="0.4">
      <c r="A558"/>
      <c r="B558"/>
      <c r="C558"/>
      <c r="D558"/>
      <c r="E558"/>
      <c r="F558"/>
      <c r="G558"/>
      <c r="H558"/>
      <c r="I558"/>
      <c r="J558"/>
      <c r="K558"/>
      <c r="L558"/>
      <c r="M558"/>
      <c r="N558"/>
      <c r="O558"/>
      <c r="P558"/>
      <c r="Q558"/>
    </row>
    <row r="559" spans="1:17" x14ac:dyDescent="0.4">
      <c r="A559"/>
      <c r="B559"/>
      <c r="C559"/>
      <c r="D559"/>
      <c r="E559"/>
      <c r="F559"/>
      <c r="G559"/>
      <c r="H559"/>
      <c r="I559"/>
      <c r="J559"/>
      <c r="K559"/>
      <c r="L559"/>
      <c r="M559"/>
      <c r="N559"/>
      <c r="O559"/>
      <c r="P559"/>
      <c r="Q559"/>
    </row>
    <row r="560" spans="1:17" x14ac:dyDescent="0.4">
      <c r="A560"/>
      <c r="B560"/>
      <c r="C560"/>
      <c r="D560"/>
      <c r="E560"/>
      <c r="F560"/>
      <c r="G560"/>
      <c r="H560"/>
      <c r="I560"/>
      <c r="J560"/>
      <c r="K560"/>
      <c r="L560"/>
      <c r="M560"/>
      <c r="N560"/>
      <c r="O560"/>
      <c r="P560"/>
      <c r="Q560"/>
    </row>
    <row r="561" spans="1:17" x14ac:dyDescent="0.4">
      <c r="A561"/>
      <c r="B561"/>
      <c r="C561"/>
      <c r="D561"/>
      <c r="E561"/>
      <c r="F561"/>
      <c r="G561"/>
      <c r="H561"/>
      <c r="I561"/>
      <c r="J561"/>
      <c r="K561"/>
      <c r="L561"/>
      <c r="M561"/>
      <c r="N561"/>
      <c r="O561"/>
      <c r="P561"/>
      <c r="Q561"/>
    </row>
    <row r="562" spans="1:17" x14ac:dyDescent="0.4">
      <c r="A562"/>
      <c r="B562"/>
      <c r="C562"/>
      <c r="D562"/>
      <c r="E562"/>
      <c r="F562"/>
      <c r="G562"/>
      <c r="H562"/>
      <c r="I562"/>
      <c r="J562"/>
      <c r="K562"/>
      <c r="L562"/>
      <c r="M562"/>
      <c r="N562"/>
      <c r="O562"/>
      <c r="P562"/>
      <c r="Q562"/>
    </row>
    <row r="563" spans="1:17" x14ac:dyDescent="0.4">
      <c r="A563"/>
      <c r="B563"/>
      <c r="C563"/>
      <c r="D563"/>
      <c r="E563"/>
      <c r="F563"/>
      <c r="G563"/>
      <c r="H563"/>
      <c r="I563"/>
      <c r="J563"/>
      <c r="K563"/>
      <c r="L563"/>
      <c r="M563"/>
      <c r="N563"/>
      <c r="O563"/>
      <c r="P563"/>
      <c r="Q563"/>
    </row>
    <row r="564" spans="1:17" x14ac:dyDescent="0.4">
      <c r="A564"/>
      <c r="B564"/>
      <c r="C564"/>
      <c r="D564"/>
      <c r="E564"/>
      <c r="F564"/>
      <c r="G564"/>
      <c r="H564"/>
      <c r="I564"/>
      <c r="J564"/>
      <c r="K564"/>
      <c r="L564"/>
      <c r="M564"/>
      <c r="N564"/>
      <c r="O564"/>
      <c r="P564"/>
      <c r="Q564"/>
    </row>
    <row r="565" spans="1:17" x14ac:dyDescent="0.4">
      <c r="A565"/>
      <c r="B565"/>
      <c r="C565"/>
      <c r="D565"/>
      <c r="E565"/>
      <c r="F565"/>
      <c r="G565"/>
      <c r="H565"/>
      <c r="I565"/>
      <c r="J565"/>
      <c r="K565"/>
      <c r="L565"/>
      <c r="M565"/>
      <c r="N565"/>
      <c r="O565"/>
      <c r="P565"/>
      <c r="Q565"/>
    </row>
    <row r="566" spans="1:17" x14ac:dyDescent="0.4">
      <c r="A566"/>
      <c r="B566"/>
      <c r="C566"/>
      <c r="D566"/>
      <c r="E566"/>
      <c r="F566"/>
      <c r="G566"/>
      <c r="H566"/>
      <c r="I566"/>
      <c r="J566"/>
      <c r="K566"/>
      <c r="L566"/>
      <c r="M566"/>
      <c r="N566"/>
      <c r="O566"/>
      <c r="P566"/>
      <c r="Q566"/>
    </row>
    <row r="567" spans="1:17" x14ac:dyDescent="0.4">
      <c r="A567"/>
      <c r="B567"/>
      <c r="C567"/>
      <c r="D567"/>
      <c r="E567"/>
      <c r="F567"/>
      <c r="G567"/>
      <c r="H567"/>
      <c r="I567"/>
      <c r="J567"/>
      <c r="K567"/>
      <c r="L567"/>
      <c r="M567"/>
      <c r="N567"/>
      <c r="O567"/>
      <c r="P567"/>
      <c r="Q567"/>
    </row>
    <row r="568" spans="1:17" x14ac:dyDescent="0.4">
      <c r="A568"/>
      <c r="B568"/>
      <c r="C568"/>
      <c r="D568"/>
      <c r="E568"/>
      <c r="F568"/>
      <c r="G568"/>
      <c r="H568"/>
      <c r="I568"/>
      <c r="J568"/>
      <c r="K568"/>
      <c r="L568"/>
      <c r="M568"/>
      <c r="N568"/>
      <c r="O568"/>
      <c r="P568"/>
      <c r="Q568"/>
    </row>
    <row r="569" spans="1:17" x14ac:dyDescent="0.4">
      <c r="A569"/>
      <c r="B569"/>
      <c r="C569"/>
      <c r="D569"/>
      <c r="E569"/>
      <c r="F569"/>
      <c r="G569"/>
      <c r="H569"/>
      <c r="I569"/>
      <c r="J569"/>
      <c r="K569"/>
      <c r="L569"/>
      <c r="M569"/>
      <c r="N569"/>
      <c r="O569"/>
      <c r="P569"/>
      <c r="Q569"/>
    </row>
    <row r="570" spans="1:17" x14ac:dyDescent="0.4">
      <c r="A570"/>
      <c r="B570"/>
      <c r="C570"/>
      <c r="D570"/>
      <c r="E570"/>
      <c r="F570"/>
      <c r="G570"/>
      <c r="H570"/>
      <c r="I570"/>
      <c r="J570"/>
      <c r="K570"/>
      <c r="L570"/>
      <c r="M570"/>
      <c r="N570"/>
      <c r="O570"/>
      <c r="P570"/>
      <c r="Q570"/>
    </row>
    <row r="571" spans="1:17" x14ac:dyDescent="0.4">
      <c r="A571"/>
      <c r="B571"/>
      <c r="C571"/>
      <c r="D571"/>
      <c r="E571"/>
      <c r="F571"/>
      <c r="G571"/>
      <c r="H571"/>
      <c r="I571"/>
      <c r="J571"/>
      <c r="K571"/>
      <c r="L571"/>
      <c r="M571"/>
      <c r="N571"/>
      <c r="O571"/>
      <c r="P571"/>
      <c r="Q571"/>
    </row>
    <row r="572" spans="1:17" x14ac:dyDescent="0.4">
      <c r="A572"/>
      <c r="B572"/>
      <c r="C572"/>
      <c r="D572"/>
      <c r="E572"/>
      <c r="F572"/>
      <c r="G572"/>
      <c r="H572"/>
      <c r="I572"/>
      <c r="J572"/>
      <c r="K572"/>
      <c r="L572"/>
      <c r="M572"/>
      <c r="N572"/>
      <c r="O572"/>
      <c r="P572"/>
      <c r="Q572"/>
    </row>
    <row r="573" spans="1:17" x14ac:dyDescent="0.4">
      <c r="A573"/>
      <c r="B573"/>
      <c r="C573"/>
      <c r="D573"/>
      <c r="E573"/>
      <c r="F573"/>
      <c r="G573"/>
      <c r="H573"/>
      <c r="I573"/>
      <c r="J573"/>
      <c r="K573"/>
      <c r="L573"/>
      <c r="M573"/>
      <c r="N573"/>
      <c r="O573"/>
      <c r="P573"/>
      <c r="Q573"/>
    </row>
    <row r="574" spans="1:17" x14ac:dyDescent="0.4">
      <c r="A574"/>
      <c r="B574"/>
      <c r="C574"/>
      <c r="D574"/>
      <c r="E574"/>
      <c r="F574"/>
      <c r="G574"/>
      <c r="H574"/>
      <c r="I574"/>
      <c r="J574"/>
      <c r="K574"/>
      <c r="L574"/>
      <c r="M574"/>
      <c r="N574"/>
      <c r="O574"/>
      <c r="P574"/>
      <c r="Q574"/>
    </row>
    <row r="575" spans="1:17" x14ac:dyDescent="0.4">
      <c r="A575"/>
      <c r="B575"/>
      <c r="C575"/>
      <c r="D575"/>
      <c r="E575"/>
      <c r="F575"/>
      <c r="G575"/>
      <c r="H575"/>
      <c r="I575"/>
      <c r="J575"/>
      <c r="K575"/>
      <c r="L575"/>
      <c r="M575"/>
      <c r="N575"/>
      <c r="O575"/>
      <c r="P575"/>
      <c r="Q575"/>
    </row>
    <row r="576" spans="1:17" x14ac:dyDescent="0.4">
      <c r="A576"/>
      <c r="B576"/>
      <c r="C576"/>
      <c r="D576"/>
      <c r="E576"/>
      <c r="F576"/>
      <c r="G576"/>
      <c r="H576"/>
      <c r="I576"/>
      <c r="J576"/>
      <c r="K576"/>
      <c r="L576"/>
      <c r="M576"/>
      <c r="N576"/>
      <c r="O576"/>
      <c r="P576"/>
      <c r="Q576"/>
    </row>
    <row r="577" spans="1:17" x14ac:dyDescent="0.4">
      <c r="A577"/>
      <c r="B577"/>
      <c r="C577"/>
      <c r="D577"/>
      <c r="E577"/>
      <c r="F577"/>
      <c r="G577"/>
      <c r="H577"/>
      <c r="I577"/>
      <c r="J577"/>
      <c r="K577"/>
      <c r="L577"/>
      <c r="M577"/>
      <c r="N577"/>
      <c r="O577"/>
      <c r="P577"/>
      <c r="Q577"/>
    </row>
    <row r="578" spans="1:17" x14ac:dyDescent="0.4">
      <c r="A578"/>
      <c r="B578"/>
      <c r="C578"/>
      <c r="D578"/>
      <c r="E578"/>
      <c r="F578"/>
      <c r="G578"/>
      <c r="H578"/>
      <c r="I578"/>
      <c r="J578"/>
      <c r="K578"/>
      <c r="L578"/>
      <c r="M578"/>
      <c r="N578"/>
      <c r="O578"/>
      <c r="P578"/>
      <c r="Q578"/>
    </row>
    <row r="579" spans="1:17" x14ac:dyDescent="0.4">
      <c r="A579"/>
      <c r="B579"/>
      <c r="C579"/>
      <c r="D579"/>
      <c r="E579"/>
      <c r="F579"/>
      <c r="G579"/>
      <c r="H579"/>
      <c r="I579"/>
      <c r="J579"/>
      <c r="K579"/>
      <c r="L579"/>
      <c r="M579"/>
      <c r="N579"/>
      <c r="O579"/>
      <c r="P579"/>
      <c r="Q579"/>
    </row>
    <row r="580" spans="1:17" x14ac:dyDescent="0.4">
      <c r="A580"/>
      <c r="B580"/>
      <c r="C580"/>
      <c r="D580"/>
      <c r="E580"/>
      <c r="F580"/>
      <c r="G580"/>
      <c r="H580"/>
      <c r="I580"/>
      <c r="J580"/>
      <c r="K580"/>
      <c r="L580"/>
      <c r="M580"/>
      <c r="N580"/>
      <c r="O580"/>
      <c r="P580"/>
      <c r="Q580"/>
    </row>
    <row r="581" spans="1:17" x14ac:dyDescent="0.4">
      <c r="A581"/>
      <c r="B581"/>
      <c r="C581"/>
      <c r="D581"/>
      <c r="E581"/>
      <c r="F581"/>
      <c r="G581"/>
      <c r="H581"/>
      <c r="I581"/>
      <c r="J581"/>
      <c r="K581"/>
      <c r="L581"/>
      <c r="M581"/>
      <c r="N581"/>
      <c r="O581"/>
      <c r="P581"/>
      <c r="Q581"/>
    </row>
    <row r="582" spans="1:17" x14ac:dyDescent="0.4">
      <c r="A582"/>
      <c r="B582"/>
      <c r="C582"/>
      <c r="D582"/>
      <c r="E582"/>
      <c r="F582"/>
      <c r="G582"/>
      <c r="H582"/>
      <c r="I582"/>
      <c r="J582"/>
      <c r="K582"/>
      <c r="L582"/>
      <c r="M582"/>
      <c r="N582"/>
      <c r="O582"/>
      <c r="P582"/>
      <c r="Q582"/>
    </row>
    <row r="583" spans="1:17" x14ac:dyDescent="0.4">
      <c r="A583"/>
      <c r="B583"/>
      <c r="C583"/>
      <c r="D583"/>
      <c r="E583"/>
      <c r="F583"/>
      <c r="G583"/>
      <c r="H583"/>
      <c r="I583"/>
      <c r="J583"/>
      <c r="K583"/>
      <c r="L583"/>
      <c r="M583"/>
      <c r="N583"/>
      <c r="O583"/>
      <c r="P583"/>
      <c r="Q583"/>
    </row>
    <row r="584" spans="1:17" x14ac:dyDescent="0.4">
      <c r="A584"/>
      <c r="B584"/>
      <c r="C584"/>
      <c r="D584"/>
      <c r="E584"/>
      <c r="F584"/>
      <c r="G584"/>
      <c r="H584"/>
      <c r="I584"/>
      <c r="J584"/>
      <c r="K584"/>
      <c r="L584"/>
      <c r="M584"/>
      <c r="N584"/>
      <c r="O584"/>
      <c r="P584"/>
      <c r="Q584"/>
    </row>
    <row r="585" spans="1:17" x14ac:dyDescent="0.4">
      <c r="A585"/>
      <c r="B585"/>
      <c r="C585"/>
      <c r="D585"/>
      <c r="E585"/>
      <c r="F585"/>
      <c r="G585"/>
      <c r="H585"/>
      <c r="I585"/>
      <c r="J585"/>
      <c r="K585"/>
      <c r="L585"/>
      <c r="M585"/>
      <c r="N585"/>
      <c r="O585"/>
      <c r="P585"/>
      <c r="Q585"/>
    </row>
    <row r="586" spans="1:17" x14ac:dyDescent="0.4">
      <c r="A586"/>
      <c r="B586"/>
      <c r="C586"/>
      <c r="D586"/>
      <c r="E586"/>
      <c r="F586"/>
      <c r="G586"/>
      <c r="H586"/>
      <c r="I586"/>
      <c r="J586"/>
      <c r="K586"/>
      <c r="L586"/>
      <c r="M586"/>
      <c r="N586"/>
      <c r="O586"/>
      <c r="P586"/>
      <c r="Q586"/>
    </row>
    <row r="587" spans="1:17" x14ac:dyDescent="0.4">
      <c r="A587"/>
      <c r="B587"/>
      <c r="C587"/>
      <c r="D587"/>
      <c r="E587"/>
      <c r="F587"/>
      <c r="G587"/>
      <c r="H587"/>
      <c r="I587"/>
      <c r="J587"/>
      <c r="K587"/>
      <c r="L587"/>
      <c r="M587"/>
      <c r="N587"/>
      <c r="O587"/>
      <c r="P587"/>
      <c r="Q587"/>
    </row>
    <row r="588" spans="1:17" x14ac:dyDescent="0.4">
      <c r="A588"/>
      <c r="B588"/>
      <c r="C588"/>
      <c r="D588"/>
      <c r="E588"/>
      <c r="F588"/>
      <c r="G588"/>
      <c r="H588"/>
      <c r="I588"/>
      <c r="J588"/>
      <c r="K588"/>
      <c r="L588"/>
      <c r="M588"/>
      <c r="N588"/>
      <c r="O588"/>
      <c r="P588"/>
      <c r="Q588"/>
    </row>
    <row r="589" spans="1:17" x14ac:dyDescent="0.4">
      <c r="A589"/>
      <c r="B589"/>
      <c r="C589"/>
      <c r="D589"/>
      <c r="E589"/>
      <c r="F589"/>
      <c r="G589"/>
      <c r="H589"/>
      <c r="I589"/>
      <c r="J589"/>
      <c r="K589"/>
      <c r="L589"/>
      <c r="M589"/>
      <c r="N589"/>
      <c r="O589"/>
      <c r="P589"/>
      <c r="Q589"/>
    </row>
    <row r="590" spans="1:17" x14ac:dyDescent="0.4">
      <c r="A590"/>
      <c r="B590"/>
      <c r="C590"/>
      <c r="D590"/>
      <c r="E590"/>
      <c r="F590"/>
      <c r="G590"/>
      <c r="H590"/>
      <c r="I590"/>
      <c r="J590"/>
      <c r="K590"/>
      <c r="L590"/>
      <c r="M590"/>
      <c r="N590"/>
      <c r="O590"/>
      <c r="P590"/>
      <c r="Q590"/>
    </row>
    <row r="591" spans="1:17" x14ac:dyDescent="0.4">
      <c r="A591"/>
      <c r="B591"/>
      <c r="C591"/>
      <c r="D591"/>
      <c r="E591"/>
      <c r="F591"/>
      <c r="G591"/>
      <c r="H591"/>
      <c r="I591"/>
      <c r="J591"/>
      <c r="K591"/>
      <c r="L591"/>
      <c r="M591"/>
      <c r="N591"/>
      <c r="O591"/>
      <c r="P591"/>
      <c r="Q591"/>
    </row>
    <row r="592" spans="1:17" x14ac:dyDescent="0.4">
      <c r="A592"/>
      <c r="B592"/>
      <c r="C592"/>
      <c r="D592"/>
      <c r="E592"/>
      <c r="F592"/>
      <c r="G592"/>
      <c r="H592"/>
      <c r="I592"/>
      <c r="J592"/>
      <c r="K592"/>
      <c r="L592"/>
      <c r="M592"/>
      <c r="N592"/>
      <c r="O592"/>
      <c r="P592"/>
      <c r="Q592"/>
    </row>
    <row r="593" spans="1:17" x14ac:dyDescent="0.4">
      <c r="A593"/>
      <c r="B593"/>
      <c r="C593"/>
      <c r="D593"/>
      <c r="E593"/>
      <c r="F593"/>
      <c r="G593"/>
      <c r="H593"/>
      <c r="I593"/>
      <c r="J593"/>
      <c r="K593"/>
      <c r="L593"/>
      <c r="M593"/>
      <c r="N593"/>
      <c r="O593"/>
      <c r="P593"/>
      <c r="Q593"/>
    </row>
    <row r="594" spans="1:17" x14ac:dyDescent="0.4">
      <c r="A594"/>
      <c r="B594"/>
      <c r="C594"/>
      <c r="D594"/>
      <c r="E594"/>
      <c r="F594"/>
      <c r="G594"/>
      <c r="H594"/>
      <c r="I594"/>
      <c r="J594"/>
      <c r="K594"/>
      <c r="L594"/>
      <c r="M594"/>
      <c r="N594"/>
      <c r="O594"/>
      <c r="P594"/>
      <c r="Q594"/>
    </row>
    <row r="595" spans="1:17" x14ac:dyDescent="0.4">
      <c r="A595"/>
      <c r="B595"/>
      <c r="C595"/>
      <c r="D595"/>
      <c r="E595"/>
      <c r="F595"/>
      <c r="G595"/>
      <c r="H595"/>
      <c r="I595"/>
      <c r="J595"/>
      <c r="K595"/>
      <c r="L595"/>
      <c r="M595"/>
      <c r="N595"/>
      <c r="O595"/>
      <c r="P595"/>
      <c r="Q595"/>
    </row>
    <row r="596" spans="1:17" x14ac:dyDescent="0.4">
      <c r="A596"/>
      <c r="B596"/>
      <c r="C596"/>
      <c r="D596"/>
      <c r="E596"/>
      <c r="F596"/>
      <c r="G596"/>
      <c r="H596"/>
      <c r="I596"/>
      <c r="J596"/>
      <c r="K596"/>
      <c r="L596"/>
      <c r="M596"/>
      <c r="N596"/>
      <c r="O596"/>
      <c r="P596"/>
      <c r="Q596"/>
    </row>
    <row r="597" spans="1:17" x14ac:dyDescent="0.4">
      <c r="A597"/>
      <c r="B597"/>
      <c r="C597"/>
      <c r="D597"/>
      <c r="E597"/>
      <c r="F597"/>
      <c r="G597"/>
      <c r="H597"/>
      <c r="I597"/>
      <c r="J597"/>
      <c r="K597"/>
      <c r="L597"/>
      <c r="M597"/>
      <c r="N597"/>
      <c r="O597"/>
      <c r="P597"/>
      <c r="Q597"/>
    </row>
    <row r="598" spans="1:17" x14ac:dyDescent="0.4">
      <c r="A598"/>
      <c r="B598"/>
      <c r="C598"/>
      <c r="D598"/>
      <c r="E598"/>
      <c r="F598"/>
      <c r="G598"/>
      <c r="H598"/>
      <c r="I598"/>
      <c r="J598"/>
      <c r="K598"/>
      <c r="L598"/>
      <c r="M598"/>
      <c r="N598"/>
      <c r="O598"/>
      <c r="P598"/>
      <c r="Q598"/>
    </row>
    <row r="599" spans="1:17" x14ac:dyDescent="0.4">
      <c r="A599"/>
      <c r="B599"/>
      <c r="C599"/>
      <c r="D599"/>
      <c r="E599"/>
      <c r="F599"/>
      <c r="G599"/>
      <c r="H599"/>
      <c r="I599"/>
      <c r="J599"/>
      <c r="K599"/>
      <c r="L599"/>
      <c r="M599"/>
      <c r="N599"/>
      <c r="O599"/>
      <c r="P599"/>
      <c r="Q599"/>
    </row>
    <row r="600" spans="1:17" x14ac:dyDescent="0.4">
      <c r="A600"/>
      <c r="B600"/>
      <c r="C600"/>
      <c r="D600"/>
      <c r="E600"/>
      <c r="F600"/>
      <c r="G600"/>
      <c r="H600"/>
      <c r="I600"/>
      <c r="J600"/>
      <c r="K600"/>
      <c r="L600"/>
      <c r="M600"/>
      <c r="N600"/>
      <c r="O600"/>
      <c r="P600"/>
      <c r="Q600"/>
    </row>
    <row r="601" spans="1:17" x14ac:dyDescent="0.4">
      <c r="A601"/>
      <c r="B601"/>
      <c r="C601"/>
      <c r="D601"/>
      <c r="E601"/>
      <c r="F601"/>
      <c r="G601"/>
      <c r="H601"/>
      <c r="I601"/>
      <c r="J601"/>
      <c r="K601"/>
      <c r="L601"/>
      <c r="M601"/>
      <c r="N601"/>
      <c r="O601"/>
      <c r="P601"/>
      <c r="Q601"/>
    </row>
    <row r="602" spans="1:17" x14ac:dyDescent="0.4">
      <c r="A602"/>
      <c r="B602"/>
      <c r="C602"/>
      <c r="D602"/>
      <c r="E602"/>
      <c r="F602"/>
      <c r="G602"/>
      <c r="H602"/>
      <c r="I602"/>
      <c r="J602"/>
      <c r="K602"/>
      <c r="L602"/>
      <c r="M602"/>
      <c r="N602"/>
      <c r="O602"/>
      <c r="P602"/>
      <c r="Q602"/>
    </row>
    <row r="603" spans="1:17" x14ac:dyDescent="0.4">
      <c r="A603"/>
      <c r="B603"/>
      <c r="C603"/>
      <c r="D603"/>
      <c r="E603"/>
      <c r="F603"/>
      <c r="G603"/>
      <c r="H603"/>
      <c r="I603"/>
      <c r="J603"/>
      <c r="K603"/>
      <c r="L603"/>
      <c r="M603"/>
      <c r="N603"/>
      <c r="O603"/>
      <c r="P603"/>
      <c r="Q603"/>
    </row>
    <row r="604" spans="1:17" x14ac:dyDescent="0.4">
      <c r="A604"/>
      <c r="B604"/>
      <c r="C604"/>
      <c r="D604"/>
      <c r="E604"/>
      <c r="F604"/>
      <c r="G604"/>
      <c r="H604"/>
      <c r="I604"/>
      <c r="J604"/>
      <c r="K604"/>
      <c r="L604"/>
      <c r="M604"/>
      <c r="N604"/>
      <c r="O604"/>
      <c r="P604"/>
      <c r="Q604"/>
    </row>
    <row r="605" spans="1:17" x14ac:dyDescent="0.4">
      <c r="A605"/>
      <c r="B605"/>
      <c r="C605"/>
      <c r="D605"/>
      <c r="E605"/>
      <c r="F605"/>
      <c r="G605"/>
      <c r="H605"/>
      <c r="I605"/>
      <c r="J605"/>
      <c r="K605"/>
      <c r="L605"/>
      <c r="M605"/>
      <c r="N605"/>
      <c r="O605"/>
      <c r="P605"/>
      <c r="Q605"/>
    </row>
    <row r="606" spans="1:17" x14ac:dyDescent="0.4">
      <c r="A606"/>
      <c r="B606"/>
      <c r="C606"/>
      <c r="D606"/>
      <c r="E606"/>
      <c r="F606"/>
      <c r="G606"/>
      <c r="H606"/>
      <c r="I606"/>
      <c r="J606"/>
      <c r="K606"/>
      <c r="L606"/>
      <c r="M606"/>
      <c r="N606"/>
      <c r="O606"/>
      <c r="P606"/>
      <c r="Q606"/>
    </row>
    <row r="607" spans="1:17" x14ac:dyDescent="0.4">
      <c r="A607"/>
      <c r="B607"/>
      <c r="C607"/>
      <c r="D607"/>
      <c r="E607"/>
      <c r="F607"/>
      <c r="G607"/>
      <c r="H607"/>
      <c r="I607"/>
      <c r="J607"/>
      <c r="K607"/>
      <c r="L607"/>
      <c r="M607"/>
      <c r="N607"/>
      <c r="O607"/>
      <c r="P607"/>
      <c r="Q607"/>
    </row>
    <row r="608" spans="1:17" x14ac:dyDescent="0.4">
      <c r="A608"/>
      <c r="B608"/>
      <c r="C608"/>
      <c r="D608"/>
      <c r="E608"/>
      <c r="F608"/>
      <c r="G608"/>
      <c r="H608"/>
      <c r="I608"/>
      <c r="J608"/>
      <c r="K608"/>
      <c r="L608"/>
      <c r="M608"/>
      <c r="N608"/>
      <c r="O608"/>
      <c r="P608"/>
      <c r="Q608"/>
    </row>
    <row r="609" spans="1:17" x14ac:dyDescent="0.4">
      <c r="A609"/>
      <c r="B609"/>
      <c r="C609"/>
      <c r="D609"/>
      <c r="E609"/>
      <c r="F609"/>
      <c r="G609"/>
      <c r="H609"/>
      <c r="I609"/>
      <c r="J609"/>
      <c r="K609"/>
      <c r="L609"/>
      <c r="M609"/>
      <c r="N609"/>
      <c r="O609"/>
      <c r="P609"/>
      <c r="Q609"/>
    </row>
    <row r="610" spans="1:17" x14ac:dyDescent="0.4">
      <c r="A610"/>
      <c r="B610"/>
      <c r="C610"/>
      <c r="D610"/>
      <c r="E610"/>
      <c r="F610"/>
      <c r="G610"/>
      <c r="H610"/>
      <c r="I610"/>
      <c r="J610"/>
      <c r="K610"/>
      <c r="L610"/>
      <c r="M610"/>
      <c r="N610"/>
      <c r="O610"/>
      <c r="P610"/>
      <c r="Q610"/>
    </row>
    <row r="611" spans="1:17" x14ac:dyDescent="0.4">
      <c r="A611"/>
      <c r="B611"/>
      <c r="C611"/>
      <c r="D611"/>
      <c r="E611"/>
      <c r="F611"/>
      <c r="G611"/>
      <c r="H611"/>
      <c r="I611"/>
      <c r="J611"/>
      <c r="K611"/>
      <c r="L611"/>
      <c r="M611"/>
      <c r="N611"/>
      <c r="O611"/>
      <c r="P611"/>
      <c r="Q611"/>
    </row>
    <row r="612" spans="1:17" x14ac:dyDescent="0.4">
      <c r="A612"/>
      <c r="B612"/>
      <c r="C612"/>
      <c r="D612"/>
      <c r="E612"/>
      <c r="F612"/>
      <c r="G612"/>
      <c r="H612"/>
      <c r="I612"/>
      <c r="J612"/>
      <c r="K612"/>
      <c r="L612"/>
      <c r="M612"/>
      <c r="N612"/>
      <c r="O612"/>
      <c r="P612"/>
      <c r="Q612"/>
    </row>
    <row r="613" spans="1:17" x14ac:dyDescent="0.4">
      <c r="A613"/>
      <c r="B613"/>
      <c r="C613"/>
      <c r="D613"/>
      <c r="E613"/>
      <c r="F613"/>
      <c r="G613"/>
      <c r="H613"/>
      <c r="I613"/>
      <c r="J613"/>
      <c r="K613"/>
      <c r="L613"/>
      <c r="M613"/>
      <c r="N613"/>
      <c r="O613"/>
      <c r="P613"/>
      <c r="Q613"/>
    </row>
    <row r="614" spans="1:17" x14ac:dyDescent="0.4">
      <c r="A614"/>
      <c r="B614"/>
      <c r="C614"/>
      <c r="D614"/>
      <c r="E614"/>
      <c r="F614"/>
      <c r="G614"/>
      <c r="H614"/>
      <c r="I614"/>
      <c r="J614"/>
      <c r="K614"/>
      <c r="L614"/>
      <c r="M614"/>
      <c r="N614"/>
      <c r="O614"/>
      <c r="P614"/>
      <c r="Q614"/>
    </row>
    <row r="615" spans="1:17" x14ac:dyDescent="0.4">
      <c r="A615"/>
      <c r="B615"/>
      <c r="C615"/>
      <c r="D615"/>
      <c r="E615"/>
      <c r="F615"/>
      <c r="G615"/>
      <c r="H615"/>
      <c r="I615"/>
      <c r="J615"/>
      <c r="K615"/>
      <c r="L615"/>
      <c r="M615"/>
      <c r="N615"/>
      <c r="O615"/>
      <c r="P615"/>
      <c r="Q615"/>
    </row>
    <row r="616" spans="1:17" x14ac:dyDescent="0.4">
      <c r="A616"/>
      <c r="B616"/>
      <c r="C616"/>
      <c r="D616"/>
      <c r="E616"/>
      <c r="F616"/>
      <c r="G616"/>
      <c r="H616"/>
      <c r="I616"/>
      <c r="J616"/>
      <c r="K616"/>
      <c r="L616"/>
      <c r="M616"/>
      <c r="N616"/>
      <c r="O616"/>
      <c r="P616"/>
      <c r="Q616"/>
    </row>
    <row r="617" spans="1:17" x14ac:dyDescent="0.4">
      <c r="A617"/>
      <c r="B617"/>
      <c r="C617"/>
      <c r="D617"/>
      <c r="E617"/>
      <c r="F617"/>
      <c r="G617"/>
      <c r="H617"/>
      <c r="I617"/>
      <c r="J617"/>
      <c r="K617"/>
      <c r="L617"/>
      <c r="M617"/>
      <c r="N617"/>
      <c r="O617"/>
      <c r="P617"/>
      <c r="Q617"/>
    </row>
    <row r="618" spans="1:17" x14ac:dyDescent="0.4">
      <c r="A618"/>
      <c r="B618"/>
      <c r="C618"/>
      <c r="D618"/>
      <c r="E618"/>
      <c r="F618"/>
      <c r="G618"/>
      <c r="H618"/>
      <c r="I618"/>
      <c r="J618"/>
      <c r="K618"/>
      <c r="L618"/>
      <c r="M618"/>
      <c r="N618"/>
      <c r="O618"/>
      <c r="P618"/>
      <c r="Q618"/>
    </row>
    <row r="619" spans="1:17" x14ac:dyDescent="0.4">
      <c r="A619"/>
      <c r="B619"/>
      <c r="C619"/>
      <c r="D619"/>
      <c r="E619"/>
      <c r="F619"/>
      <c r="G619"/>
      <c r="H619"/>
      <c r="I619"/>
      <c r="J619"/>
      <c r="K619"/>
      <c r="L619"/>
      <c r="M619"/>
      <c r="N619"/>
      <c r="O619"/>
      <c r="P619"/>
      <c r="Q619"/>
    </row>
    <row r="620" spans="1:17" x14ac:dyDescent="0.4">
      <c r="A620"/>
      <c r="B620"/>
      <c r="C620"/>
      <c r="D620"/>
      <c r="E620"/>
      <c r="F620"/>
      <c r="G620"/>
      <c r="H620"/>
      <c r="I620"/>
      <c r="J620"/>
      <c r="K620"/>
      <c r="L620"/>
      <c r="M620"/>
      <c r="N620"/>
      <c r="O620"/>
      <c r="P620"/>
      <c r="Q620"/>
    </row>
    <row r="621" spans="1:17" x14ac:dyDescent="0.4">
      <c r="A621"/>
      <c r="B621"/>
      <c r="C621"/>
      <c r="D621"/>
      <c r="E621"/>
      <c r="F621"/>
      <c r="G621"/>
      <c r="H621"/>
      <c r="I621"/>
      <c r="J621"/>
      <c r="K621"/>
      <c r="L621"/>
      <c r="M621"/>
      <c r="N621"/>
      <c r="O621"/>
      <c r="P621"/>
      <c r="Q621"/>
    </row>
    <row r="622" spans="1:17" x14ac:dyDescent="0.4">
      <c r="A622"/>
      <c r="B622"/>
      <c r="C622"/>
      <c r="D622"/>
      <c r="E622"/>
      <c r="F622"/>
      <c r="G622"/>
      <c r="H622"/>
      <c r="I622"/>
      <c r="J622"/>
      <c r="K622"/>
      <c r="L622"/>
      <c r="M622"/>
      <c r="N622"/>
      <c r="O622"/>
      <c r="P622"/>
      <c r="Q622"/>
    </row>
    <row r="623" spans="1:17" x14ac:dyDescent="0.4">
      <c r="A623"/>
      <c r="B623"/>
      <c r="C623"/>
      <c r="D623"/>
      <c r="E623"/>
      <c r="F623"/>
      <c r="G623"/>
      <c r="H623"/>
      <c r="I623"/>
      <c r="J623"/>
      <c r="K623"/>
      <c r="L623"/>
      <c r="M623"/>
      <c r="N623"/>
      <c r="O623"/>
      <c r="P623"/>
      <c r="Q623"/>
    </row>
    <row r="624" spans="1:17" x14ac:dyDescent="0.4">
      <c r="A624"/>
      <c r="B624"/>
      <c r="C624"/>
      <c r="D624"/>
      <c r="E624"/>
      <c r="F624"/>
      <c r="G624"/>
      <c r="H624"/>
      <c r="I624"/>
      <c r="J624"/>
      <c r="K624"/>
      <c r="L624"/>
      <c r="M624"/>
      <c r="N624"/>
      <c r="O624"/>
      <c r="P624"/>
      <c r="Q624"/>
    </row>
    <row r="625" spans="1:17" x14ac:dyDescent="0.4">
      <c r="A625"/>
      <c r="B625"/>
      <c r="C625"/>
      <c r="D625"/>
      <c r="E625"/>
      <c r="F625"/>
      <c r="G625"/>
      <c r="H625"/>
      <c r="I625"/>
      <c r="J625"/>
      <c r="K625"/>
      <c r="L625"/>
      <c r="M625"/>
      <c r="N625"/>
      <c r="O625"/>
      <c r="P625"/>
      <c r="Q625"/>
    </row>
    <row r="626" spans="1:17" x14ac:dyDescent="0.4">
      <c r="A626"/>
      <c r="B626"/>
      <c r="C626"/>
      <c r="D626"/>
      <c r="E626"/>
      <c r="F626"/>
      <c r="G626"/>
      <c r="H626"/>
      <c r="I626"/>
      <c r="J626"/>
      <c r="K626"/>
      <c r="L626"/>
      <c r="M626"/>
      <c r="N626"/>
      <c r="O626"/>
      <c r="P626"/>
      <c r="Q626"/>
    </row>
    <row r="627" spans="1:17" x14ac:dyDescent="0.4">
      <c r="A627"/>
      <c r="B627"/>
      <c r="C627"/>
      <c r="D627"/>
      <c r="E627"/>
      <c r="F627"/>
      <c r="G627"/>
      <c r="H627"/>
      <c r="I627"/>
      <c r="J627"/>
      <c r="K627"/>
      <c r="L627"/>
      <c r="M627"/>
      <c r="N627"/>
      <c r="O627"/>
      <c r="P627"/>
      <c r="Q627"/>
    </row>
    <row r="628" spans="1:17" x14ac:dyDescent="0.4">
      <c r="A628"/>
      <c r="B628"/>
      <c r="C628"/>
      <c r="D628"/>
      <c r="E628"/>
      <c r="F628"/>
      <c r="G628"/>
      <c r="H628"/>
      <c r="I628"/>
      <c r="J628"/>
      <c r="K628"/>
      <c r="L628"/>
      <c r="M628"/>
      <c r="N628"/>
      <c r="O628"/>
      <c r="P628"/>
      <c r="Q628"/>
    </row>
    <row r="629" spans="1:17" x14ac:dyDescent="0.4">
      <c r="A629"/>
      <c r="B629"/>
      <c r="C629"/>
      <c r="D629"/>
      <c r="E629"/>
      <c r="F629"/>
      <c r="G629"/>
      <c r="H629"/>
      <c r="I629"/>
      <c r="J629"/>
      <c r="K629"/>
      <c r="L629"/>
      <c r="M629"/>
      <c r="N629"/>
      <c r="O629"/>
      <c r="P629"/>
      <c r="Q629"/>
    </row>
    <row r="630" spans="1:17" x14ac:dyDescent="0.4">
      <c r="A630"/>
      <c r="B630"/>
      <c r="C630"/>
      <c r="D630"/>
      <c r="E630"/>
      <c r="F630"/>
      <c r="G630"/>
      <c r="H630"/>
      <c r="I630"/>
      <c r="J630"/>
      <c r="K630"/>
      <c r="L630"/>
      <c r="M630"/>
      <c r="N630"/>
      <c r="O630"/>
      <c r="P630"/>
      <c r="Q630"/>
    </row>
    <row r="631" spans="1:17" x14ac:dyDescent="0.4">
      <c r="A631"/>
      <c r="B631"/>
      <c r="C631"/>
      <c r="D631"/>
      <c r="E631"/>
      <c r="F631"/>
      <c r="G631"/>
      <c r="H631"/>
      <c r="I631"/>
      <c r="J631"/>
      <c r="K631"/>
      <c r="L631"/>
      <c r="M631"/>
      <c r="N631"/>
      <c r="O631"/>
      <c r="P631"/>
      <c r="Q631"/>
    </row>
    <row r="632" spans="1:17" x14ac:dyDescent="0.4">
      <c r="A632"/>
      <c r="B632"/>
      <c r="C632"/>
      <c r="D632"/>
      <c r="E632"/>
      <c r="F632"/>
      <c r="G632"/>
      <c r="H632"/>
      <c r="I632"/>
      <c r="J632"/>
      <c r="K632"/>
      <c r="L632"/>
      <c r="M632"/>
      <c r="N632"/>
      <c r="O632"/>
      <c r="P632"/>
      <c r="Q632"/>
    </row>
    <row r="633" spans="1:17" x14ac:dyDescent="0.4">
      <c r="A633"/>
      <c r="B633"/>
      <c r="C633"/>
      <c r="D633"/>
      <c r="E633"/>
      <c r="F633"/>
      <c r="G633"/>
      <c r="H633"/>
      <c r="I633"/>
      <c r="J633"/>
      <c r="K633"/>
      <c r="L633"/>
      <c r="M633"/>
      <c r="N633"/>
      <c r="O633"/>
      <c r="P633"/>
      <c r="Q633"/>
    </row>
    <row r="634" spans="1:17" x14ac:dyDescent="0.4">
      <c r="A634"/>
      <c r="B634"/>
      <c r="C634"/>
      <c r="D634"/>
      <c r="E634"/>
      <c r="F634"/>
      <c r="G634"/>
      <c r="H634"/>
      <c r="I634"/>
      <c r="J634"/>
      <c r="K634"/>
      <c r="L634"/>
      <c r="M634"/>
      <c r="N634"/>
      <c r="O634"/>
      <c r="P634"/>
      <c r="Q634"/>
    </row>
    <row r="635" spans="1:17" x14ac:dyDescent="0.4">
      <c r="A635"/>
      <c r="B635"/>
      <c r="C635"/>
      <c r="D635"/>
      <c r="E635"/>
      <c r="F635"/>
      <c r="G635"/>
      <c r="H635"/>
      <c r="I635"/>
      <c r="J635"/>
      <c r="K635"/>
      <c r="L635"/>
      <c r="M635"/>
      <c r="N635"/>
      <c r="O635"/>
      <c r="P635"/>
      <c r="Q635"/>
    </row>
    <row r="636" spans="1:17" x14ac:dyDescent="0.4">
      <c r="A636"/>
      <c r="B636"/>
      <c r="C636"/>
      <c r="D636"/>
      <c r="E636"/>
      <c r="F636"/>
      <c r="G636"/>
      <c r="H636"/>
      <c r="I636"/>
      <c r="J636"/>
      <c r="K636"/>
      <c r="L636"/>
      <c r="M636"/>
      <c r="N636"/>
      <c r="O636"/>
      <c r="P636"/>
      <c r="Q636"/>
    </row>
    <row r="637" spans="1:17" x14ac:dyDescent="0.4">
      <c r="A637"/>
      <c r="B637"/>
      <c r="C637"/>
      <c r="D637"/>
      <c r="E637"/>
      <c r="F637"/>
      <c r="G637"/>
      <c r="H637"/>
      <c r="I637"/>
      <c r="J637"/>
      <c r="K637"/>
      <c r="L637"/>
      <c r="M637"/>
      <c r="N637"/>
      <c r="O637"/>
      <c r="P637"/>
      <c r="Q637"/>
    </row>
    <row r="638" spans="1:17" x14ac:dyDescent="0.4">
      <c r="A638"/>
      <c r="B638"/>
      <c r="C638"/>
      <c r="D638"/>
      <c r="E638"/>
      <c r="F638"/>
      <c r="G638"/>
      <c r="H638"/>
      <c r="I638"/>
      <c r="J638"/>
      <c r="K638"/>
      <c r="L638"/>
      <c r="M638"/>
      <c r="N638"/>
      <c r="O638"/>
      <c r="P638"/>
      <c r="Q638"/>
    </row>
    <row r="639" spans="1:17" x14ac:dyDescent="0.4">
      <c r="A639"/>
      <c r="B639"/>
      <c r="C639"/>
      <c r="D639"/>
      <c r="E639"/>
      <c r="F639"/>
      <c r="G639"/>
      <c r="H639"/>
      <c r="I639"/>
      <c r="J639"/>
      <c r="K639"/>
      <c r="L639"/>
      <c r="M639"/>
      <c r="N639"/>
      <c r="O639"/>
      <c r="P639"/>
      <c r="Q639"/>
    </row>
    <row r="640" spans="1:17" x14ac:dyDescent="0.4">
      <c r="A640"/>
      <c r="B640"/>
      <c r="C640"/>
      <c r="D640"/>
      <c r="E640"/>
      <c r="F640"/>
      <c r="G640"/>
      <c r="H640"/>
      <c r="I640"/>
      <c r="J640"/>
      <c r="K640"/>
      <c r="L640"/>
      <c r="M640"/>
      <c r="N640"/>
      <c r="O640"/>
      <c r="P640"/>
      <c r="Q640"/>
    </row>
    <row r="641" spans="1:17" x14ac:dyDescent="0.4">
      <c r="A641"/>
      <c r="B641"/>
      <c r="C641"/>
      <c r="D641"/>
      <c r="E641"/>
      <c r="F641"/>
      <c r="G641"/>
      <c r="H641"/>
      <c r="I641"/>
      <c r="J641"/>
      <c r="K641"/>
      <c r="L641"/>
      <c r="M641"/>
      <c r="N641"/>
      <c r="O641"/>
      <c r="P641"/>
      <c r="Q641"/>
    </row>
    <row r="642" spans="1:17" x14ac:dyDescent="0.4">
      <c r="A642"/>
      <c r="B642"/>
      <c r="C642"/>
      <c r="D642"/>
      <c r="E642"/>
      <c r="F642"/>
      <c r="G642"/>
      <c r="H642"/>
      <c r="I642"/>
      <c r="J642"/>
      <c r="K642"/>
      <c r="L642"/>
      <c r="M642"/>
      <c r="N642"/>
      <c r="O642"/>
      <c r="P642"/>
      <c r="Q642"/>
    </row>
    <row r="643" spans="1:17" x14ac:dyDescent="0.4">
      <c r="A643"/>
      <c r="B643"/>
      <c r="C643"/>
      <c r="D643"/>
      <c r="E643"/>
      <c r="F643"/>
      <c r="G643"/>
      <c r="H643"/>
      <c r="I643"/>
      <c r="J643"/>
      <c r="K643"/>
      <c r="L643"/>
      <c r="M643"/>
      <c r="N643"/>
      <c r="O643"/>
      <c r="P643"/>
      <c r="Q643"/>
    </row>
    <row r="644" spans="1:17" x14ac:dyDescent="0.4">
      <c r="A644"/>
      <c r="B644"/>
      <c r="C644"/>
      <c r="D644"/>
      <c r="E644"/>
      <c r="F644"/>
      <c r="G644"/>
      <c r="H644"/>
      <c r="I644"/>
      <c r="J644"/>
      <c r="K644"/>
      <c r="L644"/>
      <c r="M644"/>
      <c r="N644"/>
      <c r="O644"/>
      <c r="P644"/>
      <c r="Q644"/>
    </row>
    <row r="645" spans="1:17" x14ac:dyDescent="0.4">
      <c r="A645"/>
      <c r="B645"/>
      <c r="C645"/>
      <c r="D645"/>
      <c r="E645"/>
      <c r="F645"/>
      <c r="G645"/>
      <c r="H645"/>
      <c r="I645"/>
      <c r="J645"/>
      <c r="K645"/>
      <c r="L645"/>
      <c r="M645"/>
      <c r="N645"/>
      <c r="O645"/>
      <c r="P645"/>
      <c r="Q645"/>
    </row>
    <row r="646" spans="1:17" x14ac:dyDescent="0.4">
      <c r="A646"/>
      <c r="B646"/>
      <c r="C646"/>
      <c r="D646"/>
      <c r="E646"/>
      <c r="F646"/>
      <c r="G646"/>
      <c r="H646"/>
      <c r="I646"/>
      <c r="J646"/>
      <c r="K646"/>
      <c r="L646"/>
      <c r="M646"/>
      <c r="N646"/>
      <c r="O646"/>
      <c r="P646"/>
      <c r="Q646"/>
    </row>
    <row r="647" spans="1:17" x14ac:dyDescent="0.4">
      <c r="A647"/>
      <c r="B647"/>
      <c r="C647"/>
      <c r="D647"/>
      <c r="E647"/>
      <c r="F647"/>
      <c r="G647"/>
      <c r="H647"/>
      <c r="I647"/>
      <c r="J647"/>
      <c r="K647"/>
      <c r="L647"/>
      <c r="M647"/>
      <c r="N647"/>
      <c r="O647"/>
      <c r="P647"/>
      <c r="Q647"/>
    </row>
    <row r="648" spans="1:17" x14ac:dyDescent="0.4">
      <c r="A648"/>
      <c r="B648"/>
      <c r="C648"/>
      <c r="D648"/>
      <c r="E648"/>
      <c r="F648"/>
      <c r="G648"/>
      <c r="H648"/>
      <c r="I648"/>
      <c r="J648"/>
      <c r="K648"/>
      <c r="L648"/>
      <c r="M648"/>
      <c r="N648"/>
      <c r="O648"/>
      <c r="P648"/>
      <c r="Q648"/>
    </row>
    <row r="649" spans="1:17" x14ac:dyDescent="0.4">
      <c r="A649"/>
      <c r="B649"/>
      <c r="C649"/>
      <c r="D649"/>
      <c r="E649"/>
      <c r="F649"/>
      <c r="G649"/>
      <c r="H649"/>
      <c r="I649"/>
      <c r="J649"/>
      <c r="K649"/>
      <c r="L649"/>
      <c r="M649"/>
      <c r="N649"/>
      <c r="O649"/>
      <c r="P649"/>
      <c r="Q649"/>
    </row>
    <row r="650" spans="1:17" x14ac:dyDescent="0.4">
      <c r="A650"/>
      <c r="B650"/>
      <c r="C650"/>
      <c r="D650"/>
      <c r="E650"/>
      <c r="F650"/>
      <c r="G650"/>
      <c r="H650"/>
      <c r="I650"/>
      <c r="J650"/>
      <c r="K650"/>
      <c r="L650"/>
      <c r="M650"/>
      <c r="N650"/>
      <c r="O650"/>
      <c r="P650"/>
      <c r="Q650"/>
    </row>
    <row r="651" spans="1:17" x14ac:dyDescent="0.4">
      <c r="A651"/>
      <c r="B651"/>
      <c r="C651"/>
      <c r="D651"/>
      <c r="E651"/>
      <c r="F651"/>
      <c r="G651"/>
      <c r="H651"/>
      <c r="I651"/>
      <c r="J651"/>
      <c r="K651"/>
      <c r="L651"/>
      <c r="M651"/>
      <c r="N651"/>
      <c r="O651"/>
      <c r="P651"/>
      <c r="Q651"/>
    </row>
    <row r="652" spans="1:17" x14ac:dyDescent="0.4">
      <c r="A652"/>
      <c r="B652"/>
      <c r="C652"/>
      <c r="D652"/>
      <c r="E652"/>
      <c r="F652"/>
      <c r="G652"/>
      <c r="H652"/>
      <c r="I652"/>
      <c r="J652"/>
      <c r="K652"/>
      <c r="L652"/>
      <c r="M652"/>
      <c r="N652"/>
      <c r="O652"/>
      <c r="P652"/>
      <c r="Q652"/>
    </row>
    <row r="653" spans="1:17" x14ac:dyDescent="0.4">
      <c r="A653"/>
      <c r="B653"/>
      <c r="C653"/>
      <c r="D653"/>
      <c r="E653"/>
      <c r="F653"/>
      <c r="G653"/>
      <c r="H653"/>
      <c r="I653"/>
      <c r="J653"/>
      <c r="K653"/>
      <c r="L653"/>
      <c r="M653"/>
      <c r="N653"/>
      <c r="O653"/>
      <c r="P653"/>
      <c r="Q653"/>
    </row>
    <row r="654" spans="1:17" x14ac:dyDescent="0.4">
      <c r="A654"/>
      <c r="B654"/>
      <c r="C654"/>
      <c r="D654"/>
      <c r="E654"/>
      <c r="F654"/>
      <c r="G654"/>
      <c r="H654"/>
      <c r="I654"/>
      <c r="J654"/>
      <c r="K654"/>
      <c r="L654"/>
      <c r="M654"/>
      <c r="N654"/>
      <c r="O654"/>
      <c r="P654"/>
      <c r="Q654"/>
    </row>
    <row r="655" spans="1:17" x14ac:dyDescent="0.4">
      <c r="A655"/>
      <c r="B655"/>
      <c r="C655"/>
      <c r="D655"/>
      <c r="E655"/>
      <c r="F655"/>
      <c r="G655"/>
      <c r="H655"/>
      <c r="I655"/>
      <c r="J655"/>
      <c r="K655"/>
      <c r="L655"/>
      <c r="M655"/>
      <c r="N655"/>
      <c r="O655"/>
      <c r="P655"/>
      <c r="Q655"/>
    </row>
    <row r="656" spans="1:17" x14ac:dyDescent="0.4">
      <c r="A656"/>
      <c r="B656"/>
      <c r="C656"/>
      <c r="D656"/>
      <c r="E656"/>
      <c r="F656"/>
      <c r="G656"/>
      <c r="H656"/>
      <c r="I656"/>
      <c r="J656"/>
      <c r="K656"/>
      <c r="L656"/>
      <c r="M656"/>
      <c r="N656"/>
      <c r="O656"/>
      <c r="P656"/>
      <c r="Q656"/>
    </row>
    <row r="657" spans="1:17" x14ac:dyDescent="0.4">
      <c r="A657"/>
      <c r="B657"/>
      <c r="C657"/>
      <c r="D657"/>
      <c r="E657"/>
      <c r="F657"/>
      <c r="G657"/>
      <c r="H657"/>
      <c r="I657"/>
      <c r="J657"/>
      <c r="K657"/>
      <c r="L657"/>
      <c r="M657"/>
      <c r="N657"/>
      <c r="O657"/>
      <c r="P657"/>
      <c r="Q657"/>
    </row>
    <row r="658" spans="1:17" x14ac:dyDescent="0.4">
      <c r="A658"/>
      <c r="B658"/>
      <c r="C658"/>
      <c r="D658"/>
      <c r="E658"/>
      <c r="F658"/>
      <c r="G658"/>
      <c r="H658"/>
      <c r="I658"/>
      <c r="J658"/>
      <c r="K658"/>
      <c r="L658"/>
      <c r="M658"/>
      <c r="N658"/>
      <c r="O658"/>
      <c r="P658"/>
      <c r="Q658"/>
    </row>
    <row r="659" spans="1:17" x14ac:dyDescent="0.4">
      <c r="A659"/>
      <c r="B659"/>
      <c r="C659"/>
      <c r="D659"/>
      <c r="E659"/>
      <c r="F659"/>
      <c r="G659"/>
      <c r="H659"/>
      <c r="I659"/>
      <c r="J659"/>
      <c r="K659"/>
      <c r="L659"/>
      <c r="M659"/>
      <c r="N659"/>
      <c r="O659"/>
      <c r="P659"/>
      <c r="Q659"/>
    </row>
    <row r="660" spans="1:17" x14ac:dyDescent="0.4">
      <c r="A660"/>
      <c r="B660"/>
      <c r="C660"/>
      <c r="D660"/>
      <c r="E660"/>
      <c r="F660"/>
      <c r="G660"/>
      <c r="H660"/>
      <c r="I660"/>
      <c r="J660"/>
      <c r="K660"/>
      <c r="L660"/>
      <c r="M660"/>
      <c r="N660"/>
      <c r="O660"/>
      <c r="P660"/>
      <c r="Q660"/>
    </row>
    <row r="661" spans="1:17" x14ac:dyDescent="0.4">
      <c r="A661"/>
      <c r="B661"/>
      <c r="C661"/>
      <c r="D661"/>
      <c r="E661"/>
      <c r="F661"/>
      <c r="G661"/>
      <c r="H661"/>
      <c r="I661"/>
      <c r="J661"/>
      <c r="K661"/>
      <c r="L661"/>
      <c r="M661"/>
      <c r="N661"/>
      <c r="O661"/>
      <c r="P661"/>
      <c r="Q661"/>
    </row>
    <row r="662" spans="1:17" x14ac:dyDescent="0.4">
      <c r="A662"/>
      <c r="B662"/>
      <c r="C662"/>
      <c r="D662"/>
      <c r="E662"/>
      <c r="F662"/>
      <c r="G662"/>
      <c r="H662"/>
      <c r="I662"/>
      <c r="J662"/>
      <c r="K662"/>
      <c r="L662"/>
      <c r="M662"/>
      <c r="N662"/>
      <c r="O662"/>
      <c r="P662"/>
      <c r="Q662"/>
    </row>
    <row r="663" spans="1:17" x14ac:dyDescent="0.4">
      <c r="A663"/>
      <c r="B663"/>
      <c r="C663"/>
      <c r="D663"/>
      <c r="E663"/>
      <c r="F663"/>
      <c r="G663"/>
      <c r="H663"/>
      <c r="I663"/>
      <c r="J663"/>
      <c r="K663"/>
      <c r="L663"/>
      <c r="M663"/>
      <c r="N663"/>
      <c r="O663"/>
      <c r="P663"/>
      <c r="Q663"/>
    </row>
    <row r="664" spans="1:17" x14ac:dyDescent="0.4">
      <c r="A664"/>
      <c r="B664"/>
      <c r="C664"/>
      <c r="D664"/>
      <c r="E664"/>
      <c r="F664"/>
      <c r="G664"/>
      <c r="H664"/>
      <c r="I664"/>
      <c r="J664"/>
      <c r="K664"/>
      <c r="L664"/>
      <c r="M664"/>
      <c r="N664"/>
      <c r="O664"/>
      <c r="P664"/>
      <c r="Q664"/>
    </row>
    <row r="665" spans="1:17" x14ac:dyDescent="0.4">
      <c r="A665"/>
      <c r="B665"/>
      <c r="C665"/>
      <c r="D665"/>
      <c r="E665"/>
      <c r="F665"/>
      <c r="G665"/>
      <c r="H665"/>
      <c r="I665"/>
      <c r="J665"/>
      <c r="K665"/>
      <c r="L665"/>
      <c r="M665"/>
      <c r="N665"/>
      <c r="O665"/>
      <c r="P665"/>
      <c r="Q665"/>
    </row>
    <row r="666" spans="1:17" x14ac:dyDescent="0.4">
      <c r="A666"/>
      <c r="B666"/>
      <c r="C666"/>
      <c r="D666"/>
      <c r="E666"/>
      <c r="F666"/>
      <c r="G666"/>
      <c r="H666"/>
      <c r="I666"/>
      <c r="J666"/>
      <c r="K666"/>
      <c r="L666"/>
      <c r="M666"/>
      <c r="N666"/>
      <c r="O666"/>
      <c r="P666"/>
      <c r="Q666"/>
    </row>
    <row r="667" spans="1:17" x14ac:dyDescent="0.4">
      <c r="A667"/>
      <c r="B667"/>
      <c r="C667"/>
      <c r="D667"/>
      <c r="E667"/>
      <c r="F667"/>
      <c r="G667"/>
      <c r="H667"/>
      <c r="I667"/>
      <c r="J667"/>
      <c r="K667"/>
      <c r="L667"/>
      <c r="M667"/>
      <c r="N667"/>
      <c r="O667"/>
      <c r="P667"/>
      <c r="Q667"/>
    </row>
    <row r="668" spans="1:17" x14ac:dyDescent="0.4">
      <c r="A668"/>
      <c r="B668"/>
      <c r="C668"/>
      <c r="D668"/>
      <c r="E668"/>
      <c r="F668"/>
      <c r="G668"/>
      <c r="H668"/>
      <c r="I668"/>
      <c r="J668"/>
      <c r="K668"/>
      <c r="L668"/>
      <c r="M668"/>
      <c r="N668"/>
      <c r="O668"/>
      <c r="P668"/>
      <c r="Q668"/>
    </row>
    <row r="669" spans="1:17" x14ac:dyDescent="0.4">
      <c r="A669"/>
      <c r="B669"/>
      <c r="C669"/>
      <c r="D669"/>
      <c r="E669"/>
      <c r="F669"/>
      <c r="G669"/>
      <c r="H669"/>
      <c r="I669"/>
      <c r="J669"/>
      <c r="K669"/>
      <c r="L669"/>
      <c r="M669"/>
      <c r="N669"/>
      <c r="O669"/>
      <c r="P669"/>
      <c r="Q669"/>
    </row>
    <row r="670" spans="1:17" x14ac:dyDescent="0.4">
      <c r="A670"/>
      <c r="B670"/>
      <c r="C670"/>
      <c r="D670"/>
      <c r="E670"/>
      <c r="F670"/>
      <c r="G670"/>
      <c r="H670"/>
      <c r="I670"/>
      <c r="J670"/>
      <c r="K670"/>
      <c r="L670"/>
      <c r="M670"/>
      <c r="N670"/>
      <c r="O670"/>
      <c r="P670"/>
      <c r="Q670"/>
    </row>
    <row r="671" spans="1:17" x14ac:dyDescent="0.4">
      <c r="A671"/>
      <c r="B671"/>
      <c r="C671"/>
      <c r="D671"/>
      <c r="E671"/>
      <c r="F671"/>
      <c r="G671"/>
      <c r="H671"/>
      <c r="I671"/>
      <c r="J671"/>
      <c r="K671"/>
      <c r="L671"/>
      <c r="M671"/>
      <c r="N671"/>
      <c r="O671"/>
      <c r="P671"/>
      <c r="Q671"/>
    </row>
    <row r="672" spans="1:17" x14ac:dyDescent="0.4">
      <c r="A672"/>
      <c r="B672"/>
      <c r="C672"/>
      <c r="D672"/>
      <c r="E672"/>
      <c r="F672"/>
      <c r="G672"/>
      <c r="H672"/>
      <c r="I672"/>
      <c r="J672"/>
      <c r="K672"/>
      <c r="L672"/>
      <c r="M672"/>
      <c r="N672"/>
      <c r="O672"/>
      <c r="P672"/>
      <c r="Q672"/>
    </row>
    <row r="673" spans="1:17" x14ac:dyDescent="0.4">
      <c r="A673"/>
      <c r="B673"/>
      <c r="C673"/>
      <c r="D673"/>
      <c r="E673"/>
      <c r="F673"/>
      <c r="G673"/>
      <c r="H673"/>
      <c r="I673"/>
      <c r="J673"/>
      <c r="K673"/>
      <c r="L673"/>
      <c r="M673"/>
      <c r="N673"/>
      <c r="O673"/>
      <c r="P673"/>
      <c r="Q673"/>
    </row>
    <row r="674" spans="1:17" x14ac:dyDescent="0.4">
      <c r="A674"/>
      <c r="B674"/>
      <c r="C674"/>
      <c r="D674"/>
      <c r="E674"/>
      <c r="F674"/>
      <c r="G674"/>
      <c r="H674"/>
      <c r="I674"/>
      <c r="J674"/>
      <c r="K674"/>
      <c r="L674"/>
      <c r="M674"/>
      <c r="N674"/>
      <c r="O674"/>
      <c r="P674"/>
      <c r="Q674"/>
    </row>
    <row r="675" spans="1:17" x14ac:dyDescent="0.4">
      <c r="A675"/>
      <c r="B675"/>
      <c r="C675"/>
      <c r="D675"/>
      <c r="E675"/>
      <c r="F675"/>
      <c r="G675"/>
      <c r="H675"/>
      <c r="I675"/>
      <c r="J675"/>
      <c r="K675"/>
      <c r="L675"/>
      <c r="M675"/>
      <c r="N675"/>
      <c r="O675"/>
      <c r="P675"/>
      <c r="Q675"/>
    </row>
    <row r="676" spans="1:17" x14ac:dyDescent="0.4">
      <c r="A676"/>
      <c r="B676"/>
      <c r="C676"/>
      <c r="D676"/>
      <c r="E676"/>
      <c r="F676"/>
      <c r="G676"/>
      <c r="H676"/>
      <c r="I676"/>
      <c r="J676"/>
      <c r="K676"/>
      <c r="L676"/>
      <c r="M676"/>
      <c r="N676"/>
      <c r="O676"/>
      <c r="P676"/>
      <c r="Q676"/>
    </row>
    <row r="677" spans="1:17" x14ac:dyDescent="0.4">
      <c r="A677"/>
      <c r="B677"/>
      <c r="C677"/>
      <c r="D677"/>
      <c r="E677"/>
      <c r="F677"/>
      <c r="G677"/>
      <c r="H677"/>
      <c r="I677"/>
      <c r="J677"/>
      <c r="K677"/>
      <c r="L677"/>
      <c r="M677"/>
      <c r="N677"/>
      <c r="O677"/>
      <c r="P677"/>
      <c r="Q677"/>
    </row>
    <row r="678" spans="1:17" x14ac:dyDescent="0.4">
      <c r="A678"/>
      <c r="B678"/>
      <c r="C678"/>
      <c r="D678"/>
      <c r="E678"/>
      <c r="F678"/>
      <c r="G678"/>
      <c r="H678"/>
      <c r="I678"/>
      <c r="J678"/>
      <c r="K678"/>
      <c r="L678"/>
      <c r="M678"/>
      <c r="N678"/>
      <c r="O678"/>
      <c r="P678"/>
      <c r="Q678"/>
    </row>
    <row r="679" spans="1:17" x14ac:dyDescent="0.4">
      <c r="A679"/>
      <c r="B679"/>
      <c r="C679"/>
      <c r="D679"/>
      <c r="E679"/>
      <c r="F679"/>
      <c r="G679"/>
      <c r="H679"/>
      <c r="I679"/>
      <c r="J679"/>
      <c r="K679"/>
      <c r="L679"/>
      <c r="M679"/>
      <c r="N679"/>
      <c r="O679"/>
      <c r="P679"/>
      <c r="Q679"/>
    </row>
    <row r="680" spans="1:17" x14ac:dyDescent="0.4">
      <c r="A680"/>
      <c r="B680"/>
      <c r="C680"/>
      <c r="D680"/>
      <c r="E680"/>
      <c r="F680"/>
      <c r="G680"/>
      <c r="H680"/>
      <c r="I680"/>
      <c r="J680"/>
      <c r="K680"/>
      <c r="L680"/>
      <c r="M680"/>
      <c r="N680"/>
      <c r="O680"/>
      <c r="P680"/>
      <c r="Q680"/>
    </row>
    <row r="681" spans="1:17" x14ac:dyDescent="0.4">
      <c r="A681"/>
      <c r="B681"/>
      <c r="C681"/>
      <c r="D681"/>
      <c r="E681"/>
      <c r="F681"/>
      <c r="G681"/>
      <c r="H681"/>
      <c r="I681"/>
      <c r="J681"/>
      <c r="K681"/>
      <c r="L681"/>
      <c r="M681"/>
      <c r="N681"/>
      <c r="O681"/>
      <c r="P681"/>
      <c r="Q681"/>
    </row>
    <row r="682" spans="1:17" x14ac:dyDescent="0.4">
      <c r="A682"/>
      <c r="B682"/>
      <c r="C682"/>
      <c r="D682"/>
      <c r="E682"/>
      <c r="F682"/>
      <c r="G682"/>
      <c r="H682"/>
      <c r="I682"/>
      <c r="J682"/>
      <c r="K682"/>
      <c r="L682"/>
      <c r="M682"/>
      <c r="N682"/>
      <c r="O682"/>
      <c r="P682"/>
      <c r="Q682"/>
    </row>
    <row r="683" spans="1:17" x14ac:dyDescent="0.4">
      <c r="A683"/>
      <c r="B683"/>
      <c r="C683"/>
      <c r="D683"/>
      <c r="E683"/>
      <c r="F683"/>
      <c r="G683"/>
      <c r="H683"/>
      <c r="I683"/>
      <c r="J683"/>
      <c r="K683"/>
      <c r="L683"/>
      <c r="M683"/>
      <c r="N683"/>
      <c r="O683"/>
      <c r="P683"/>
      <c r="Q683"/>
    </row>
    <row r="684" spans="1:17" x14ac:dyDescent="0.4">
      <c r="A684"/>
      <c r="B684"/>
      <c r="C684"/>
      <c r="D684"/>
      <c r="E684"/>
      <c r="F684"/>
      <c r="G684"/>
      <c r="H684"/>
      <c r="I684"/>
      <c r="J684"/>
      <c r="K684"/>
      <c r="L684"/>
      <c r="M684"/>
      <c r="N684"/>
      <c r="O684"/>
      <c r="P684"/>
      <c r="Q684"/>
    </row>
    <row r="685" spans="1:17" x14ac:dyDescent="0.4">
      <c r="A685"/>
      <c r="B685"/>
      <c r="C685"/>
      <c r="D685"/>
      <c r="E685"/>
      <c r="F685"/>
      <c r="G685"/>
      <c r="H685"/>
      <c r="I685"/>
      <c r="J685"/>
      <c r="K685"/>
      <c r="L685"/>
      <c r="M685"/>
      <c r="N685"/>
      <c r="O685"/>
      <c r="P685"/>
      <c r="Q685"/>
    </row>
    <row r="686" spans="1:17" x14ac:dyDescent="0.4">
      <c r="A686"/>
      <c r="B686"/>
      <c r="C686"/>
      <c r="D686"/>
      <c r="E686"/>
      <c r="F686"/>
      <c r="G686"/>
      <c r="H686"/>
      <c r="I686"/>
      <c r="J686"/>
      <c r="K686"/>
      <c r="L686"/>
      <c r="M686"/>
      <c r="N686"/>
      <c r="O686"/>
      <c r="P686"/>
      <c r="Q686"/>
    </row>
    <row r="687" spans="1:17" x14ac:dyDescent="0.4">
      <c r="A687"/>
      <c r="B687"/>
      <c r="C687"/>
      <c r="D687"/>
      <c r="E687"/>
      <c r="F687"/>
      <c r="G687"/>
      <c r="H687"/>
      <c r="I687"/>
      <c r="J687"/>
      <c r="K687"/>
      <c r="L687"/>
      <c r="M687"/>
      <c r="N687"/>
      <c r="O687"/>
      <c r="P687"/>
      <c r="Q687"/>
    </row>
    <row r="688" spans="1:17" x14ac:dyDescent="0.4">
      <c r="A688"/>
      <c r="B688"/>
      <c r="C688"/>
      <c r="D688"/>
      <c r="E688"/>
      <c r="F688"/>
      <c r="G688"/>
      <c r="H688"/>
      <c r="I688"/>
      <c r="J688"/>
      <c r="K688"/>
      <c r="L688"/>
      <c r="M688"/>
      <c r="N688"/>
      <c r="O688"/>
      <c r="P688"/>
      <c r="Q688"/>
    </row>
    <row r="689" spans="1:17" x14ac:dyDescent="0.4">
      <c r="A689"/>
      <c r="B689"/>
      <c r="C689"/>
      <c r="D689"/>
      <c r="E689"/>
      <c r="F689"/>
      <c r="G689"/>
      <c r="H689"/>
      <c r="I689"/>
      <c r="J689"/>
      <c r="K689"/>
      <c r="L689"/>
      <c r="M689"/>
      <c r="N689"/>
      <c r="O689"/>
      <c r="P689"/>
      <c r="Q689"/>
    </row>
    <row r="690" spans="1:17" x14ac:dyDescent="0.4">
      <c r="A690"/>
      <c r="B690"/>
      <c r="C690"/>
      <c r="D690"/>
      <c r="E690"/>
      <c r="F690"/>
      <c r="G690"/>
      <c r="H690"/>
      <c r="I690"/>
      <c r="J690"/>
      <c r="K690"/>
      <c r="L690"/>
      <c r="M690"/>
      <c r="N690"/>
      <c r="O690"/>
      <c r="P690"/>
      <c r="Q690"/>
    </row>
    <row r="691" spans="1:17" x14ac:dyDescent="0.4">
      <c r="A691"/>
      <c r="B691"/>
      <c r="C691"/>
      <c r="D691"/>
      <c r="E691"/>
      <c r="F691"/>
      <c r="G691"/>
      <c r="H691"/>
      <c r="I691"/>
      <c r="J691"/>
      <c r="K691"/>
      <c r="L691"/>
      <c r="M691"/>
      <c r="N691"/>
      <c r="O691"/>
      <c r="P691"/>
      <c r="Q691"/>
    </row>
    <row r="692" spans="1:17" x14ac:dyDescent="0.4">
      <c r="A692"/>
      <c r="B692"/>
      <c r="C692"/>
      <c r="D692"/>
      <c r="E692"/>
      <c r="F692"/>
      <c r="G692"/>
      <c r="H692"/>
      <c r="I692"/>
      <c r="J692"/>
      <c r="K692"/>
      <c r="L692"/>
      <c r="M692"/>
      <c r="N692"/>
      <c r="O692"/>
      <c r="P692"/>
      <c r="Q692"/>
    </row>
    <row r="693" spans="1:17" x14ac:dyDescent="0.4">
      <c r="A693"/>
      <c r="B693"/>
      <c r="C693"/>
      <c r="D693"/>
      <c r="E693"/>
      <c r="F693"/>
      <c r="G693"/>
      <c r="H693"/>
      <c r="I693"/>
      <c r="J693"/>
      <c r="K693"/>
      <c r="L693"/>
      <c r="M693"/>
      <c r="N693"/>
      <c r="O693"/>
      <c r="P693"/>
      <c r="Q693"/>
    </row>
    <row r="694" spans="1:17" x14ac:dyDescent="0.4">
      <c r="A694"/>
      <c r="B694"/>
      <c r="C694"/>
      <c r="D694"/>
      <c r="E694"/>
      <c r="F694"/>
      <c r="G694"/>
      <c r="H694"/>
      <c r="I694"/>
      <c r="J694"/>
      <c r="K694"/>
      <c r="L694"/>
      <c r="M694"/>
      <c r="N694"/>
      <c r="O694"/>
      <c r="P694"/>
      <c r="Q694"/>
    </row>
    <row r="695" spans="1:17" x14ac:dyDescent="0.4">
      <c r="A695"/>
      <c r="B695"/>
      <c r="C695"/>
      <c r="D695"/>
      <c r="E695"/>
      <c r="F695"/>
      <c r="G695"/>
      <c r="H695"/>
      <c r="I695"/>
      <c r="J695"/>
      <c r="K695"/>
      <c r="L695"/>
      <c r="M695"/>
      <c r="N695"/>
      <c r="O695"/>
      <c r="P695"/>
      <c r="Q695"/>
    </row>
    <row r="696" spans="1:17" x14ac:dyDescent="0.4">
      <c r="A696"/>
      <c r="B696"/>
      <c r="C696"/>
      <c r="D696"/>
      <c r="E696"/>
      <c r="F696"/>
      <c r="G696"/>
      <c r="H696"/>
      <c r="I696"/>
      <c r="J696"/>
      <c r="K696"/>
      <c r="L696"/>
      <c r="M696"/>
      <c r="N696"/>
      <c r="O696"/>
      <c r="P696"/>
      <c r="Q696"/>
    </row>
    <row r="697" spans="1:17" x14ac:dyDescent="0.4">
      <c r="A697"/>
      <c r="B697"/>
      <c r="C697"/>
      <c r="D697"/>
      <c r="E697"/>
      <c r="F697"/>
      <c r="G697"/>
      <c r="H697"/>
      <c r="I697"/>
      <c r="J697"/>
      <c r="K697"/>
      <c r="L697"/>
      <c r="M697"/>
      <c r="N697"/>
      <c r="O697"/>
      <c r="P697"/>
      <c r="Q697"/>
    </row>
    <row r="698" spans="1:17" x14ac:dyDescent="0.4">
      <c r="A698"/>
      <c r="B698"/>
      <c r="C698"/>
      <c r="D698"/>
      <c r="E698"/>
      <c r="F698"/>
      <c r="G698"/>
      <c r="H698"/>
      <c r="I698"/>
      <c r="J698"/>
      <c r="K698"/>
      <c r="L698"/>
      <c r="M698"/>
      <c r="N698"/>
      <c r="O698"/>
      <c r="P698"/>
      <c r="Q698"/>
    </row>
    <row r="699" spans="1:17" x14ac:dyDescent="0.4">
      <c r="A699"/>
      <c r="B699"/>
      <c r="C699"/>
      <c r="D699"/>
      <c r="E699"/>
      <c r="F699"/>
      <c r="G699"/>
      <c r="H699"/>
      <c r="I699"/>
      <c r="J699"/>
      <c r="K699"/>
      <c r="L699"/>
      <c r="M699"/>
      <c r="N699"/>
      <c r="O699"/>
      <c r="P699"/>
      <c r="Q699"/>
    </row>
    <row r="700" spans="1:17" x14ac:dyDescent="0.4">
      <c r="A700"/>
      <c r="B700"/>
      <c r="C700"/>
      <c r="D700"/>
      <c r="E700"/>
      <c r="F700"/>
      <c r="G700"/>
      <c r="H700"/>
      <c r="I700"/>
      <c r="J700"/>
      <c r="K700"/>
      <c r="L700"/>
      <c r="M700"/>
      <c r="N700"/>
      <c r="O700"/>
      <c r="P700"/>
      <c r="Q700"/>
    </row>
    <row r="701" spans="1:17" x14ac:dyDescent="0.4">
      <c r="A701"/>
      <c r="B701"/>
      <c r="C701"/>
      <c r="D701"/>
      <c r="E701"/>
      <c r="F701"/>
      <c r="G701"/>
      <c r="H701"/>
      <c r="I701"/>
      <c r="J701"/>
      <c r="K701"/>
      <c r="L701"/>
      <c r="M701"/>
      <c r="N701"/>
      <c r="O701"/>
      <c r="P701"/>
      <c r="Q701"/>
    </row>
    <row r="702" spans="1:17" x14ac:dyDescent="0.4">
      <c r="A702"/>
      <c r="B702"/>
      <c r="C702"/>
      <c r="D702"/>
      <c r="E702"/>
      <c r="F702"/>
      <c r="G702"/>
      <c r="H702"/>
      <c r="I702"/>
      <c r="J702"/>
      <c r="K702"/>
      <c r="L702"/>
      <c r="M702"/>
      <c r="N702"/>
      <c r="O702"/>
      <c r="P702"/>
      <c r="Q702"/>
    </row>
    <row r="703" spans="1:17" x14ac:dyDescent="0.4">
      <c r="A703"/>
      <c r="B703"/>
      <c r="C703"/>
      <c r="D703"/>
      <c r="E703"/>
      <c r="F703"/>
      <c r="G703"/>
      <c r="H703"/>
      <c r="I703"/>
      <c r="J703"/>
      <c r="K703"/>
      <c r="L703"/>
      <c r="M703"/>
      <c r="N703"/>
      <c r="O703"/>
      <c r="P703"/>
      <c r="Q703"/>
    </row>
    <row r="704" spans="1:17" x14ac:dyDescent="0.4">
      <c r="A704"/>
      <c r="B704"/>
      <c r="C704"/>
      <c r="D704"/>
      <c r="E704"/>
      <c r="F704"/>
      <c r="G704"/>
      <c r="H704"/>
      <c r="I704"/>
      <c r="J704"/>
      <c r="K704"/>
      <c r="L704"/>
      <c r="M704"/>
      <c r="N704"/>
      <c r="O704"/>
      <c r="P704"/>
      <c r="Q704"/>
    </row>
    <row r="705" spans="1:17" x14ac:dyDescent="0.4">
      <c r="A705"/>
      <c r="B705"/>
      <c r="C705"/>
      <c r="D705"/>
      <c r="E705"/>
      <c r="F705"/>
      <c r="G705"/>
      <c r="H705"/>
      <c r="I705"/>
      <c r="J705"/>
      <c r="K705"/>
      <c r="L705"/>
      <c r="M705"/>
      <c r="N705"/>
      <c r="O705"/>
      <c r="P705"/>
      <c r="Q705"/>
    </row>
    <row r="706" spans="1:17" x14ac:dyDescent="0.4">
      <c r="A706"/>
      <c r="B706"/>
      <c r="C706"/>
      <c r="D706"/>
      <c r="E706"/>
      <c r="F706"/>
      <c r="G706"/>
      <c r="H706"/>
      <c r="I706"/>
      <c r="J706"/>
      <c r="K706"/>
      <c r="L706"/>
      <c r="M706"/>
      <c r="N706"/>
      <c r="O706"/>
      <c r="P706"/>
      <c r="Q706"/>
    </row>
    <row r="707" spans="1:17" x14ac:dyDescent="0.4">
      <c r="A707"/>
      <c r="B707"/>
      <c r="C707"/>
      <c r="D707"/>
      <c r="E707"/>
      <c r="F707"/>
      <c r="G707"/>
      <c r="H707"/>
      <c r="I707"/>
      <c r="J707"/>
      <c r="K707"/>
      <c r="L707"/>
      <c r="M707"/>
      <c r="N707"/>
      <c r="O707"/>
      <c r="P707"/>
      <c r="Q707"/>
    </row>
    <row r="708" spans="1:17" x14ac:dyDescent="0.4">
      <c r="A708"/>
      <c r="B708"/>
      <c r="C708"/>
      <c r="D708"/>
      <c r="E708"/>
      <c r="F708"/>
      <c r="G708"/>
      <c r="H708"/>
      <c r="I708"/>
      <c r="J708"/>
      <c r="K708"/>
      <c r="L708"/>
      <c r="M708"/>
      <c r="N708"/>
      <c r="O708"/>
      <c r="P708"/>
      <c r="Q708"/>
    </row>
    <row r="709" spans="1:17" x14ac:dyDescent="0.4">
      <c r="A709"/>
      <c r="B709"/>
      <c r="C709"/>
      <c r="D709"/>
      <c r="E709"/>
      <c r="F709"/>
      <c r="G709"/>
      <c r="H709"/>
      <c r="I709"/>
      <c r="J709"/>
      <c r="K709"/>
      <c r="L709"/>
      <c r="M709"/>
      <c r="N709"/>
      <c r="O709"/>
      <c r="P709"/>
      <c r="Q709"/>
    </row>
    <row r="710" spans="1:17" x14ac:dyDescent="0.4">
      <c r="A710"/>
      <c r="B710"/>
      <c r="C710"/>
      <c r="D710"/>
      <c r="E710"/>
      <c r="F710"/>
      <c r="G710"/>
      <c r="H710"/>
      <c r="I710"/>
      <c r="J710"/>
      <c r="K710"/>
      <c r="L710"/>
      <c r="M710"/>
      <c r="N710"/>
      <c r="O710"/>
      <c r="P710"/>
      <c r="Q710"/>
    </row>
    <row r="711" spans="1:17" x14ac:dyDescent="0.4">
      <c r="A711"/>
      <c r="B711"/>
      <c r="C711"/>
      <c r="D711"/>
      <c r="E711"/>
      <c r="F711"/>
      <c r="G711"/>
      <c r="H711"/>
      <c r="I711"/>
      <c r="J711"/>
      <c r="K711"/>
      <c r="L711"/>
      <c r="M711"/>
      <c r="N711"/>
      <c r="O711"/>
      <c r="P711"/>
      <c r="Q711"/>
    </row>
    <row r="712" spans="1:17" x14ac:dyDescent="0.4">
      <c r="A712"/>
      <c r="B712"/>
      <c r="C712"/>
      <c r="D712"/>
      <c r="E712"/>
      <c r="F712"/>
      <c r="G712"/>
      <c r="H712"/>
      <c r="I712"/>
      <c r="J712"/>
      <c r="K712"/>
      <c r="L712"/>
      <c r="M712"/>
      <c r="N712"/>
      <c r="O712"/>
      <c r="P712"/>
      <c r="Q712"/>
    </row>
    <row r="713" spans="1:17" x14ac:dyDescent="0.4">
      <c r="A713"/>
      <c r="B713"/>
      <c r="C713"/>
      <c r="D713"/>
      <c r="E713"/>
      <c r="F713"/>
      <c r="G713"/>
      <c r="H713"/>
      <c r="I713"/>
      <c r="J713"/>
      <c r="K713"/>
      <c r="L713"/>
      <c r="M713"/>
      <c r="N713"/>
      <c r="O713"/>
      <c r="P713"/>
      <c r="Q713"/>
    </row>
    <row r="714" spans="1:17" x14ac:dyDescent="0.4">
      <c r="A714"/>
      <c r="B714"/>
      <c r="C714"/>
      <c r="D714"/>
      <c r="E714"/>
      <c r="F714"/>
      <c r="G714"/>
      <c r="H714"/>
      <c r="I714"/>
      <c r="J714"/>
      <c r="K714"/>
      <c r="L714"/>
      <c r="M714"/>
      <c r="N714"/>
      <c r="O714"/>
      <c r="P714"/>
      <c r="Q714"/>
    </row>
    <row r="715" spans="1:17" x14ac:dyDescent="0.4">
      <c r="A715"/>
      <c r="B715"/>
      <c r="C715"/>
      <c r="D715"/>
      <c r="E715"/>
      <c r="F715"/>
      <c r="G715"/>
      <c r="H715"/>
      <c r="I715"/>
      <c r="J715"/>
      <c r="K715"/>
      <c r="L715"/>
      <c r="M715"/>
      <c r="N715"/>
      <c r="O715"/>
      <c r="P715"/>
      <c r="Q715"/>
    </row>
    <row r="716" spans="1:17" x14ac:dyDescent="0.4">
      <c r="A716"/>
      <c r="B716"/>
      <c r="C716"/>
      <c r="D716"/>
      <c r="E716"/>
      <c r="F716"/>
      <c r="G716"/>
      <c r="H716"/>
      <c r="I716"/>
      <c r="J716"/>
      <c r="K716"/>
      <c r="L716"/>
      <c r="M716"/>
      <c r="N716"/>
      <c r="O716"/>
      <c r="P716"/>
      <c r="Q716"/>
    </row>
    <row r="717" spans="1:17" x14ac:dyDescent="0.4">
      <c r="A717"/>
      <c r="B717"/>
      <c r="C717"/>
      <c r="D717"/>
      <c r="E717"/>
      <c r="F717"/>
      <c r="G717"/>
      <c r="H717"/>
      <c r="I717"/>
      <c r="J717"/>
      <c r="K717"/>
      <c r="L717"/>
      <c r="M717"/>
      <c r="N717"/>
      <c r="O717"/>
      <c r="P717"/>
      <c r="Q717"/>
    </row>
    <row r="718" spans="1:17" x14ac:dyDescent="0.4">
      <c r="A718"/>
      <c r="B718"/>
      <c r="C718"/>
      <c r="D718"/>
      <c r="E718"/>
      <c r="F718"/>
      <c r="G718"/>
      <c r="H718"/>
      <c r="I718"/>
      <c r="J718"/>
      <c r="K718"/>
      <c r="L718"/>
      <c r="M718"/>
      <c r="N718"/>
      <c r="O718"/>
      <c r="P718"/>
      <c r="Q718"/>
    </row>
    <row r="719" spans="1:17" x14ac:dyDescent="0.4">
      <c r="A719"/>
      <c r="B719"/>
      <c r="C719"/>
      <c r="D719"/>
      <c r="E719"/>
      <c r="F719"/>
      <c r="G719"/>
      <c r="H719"/>
      <c r="I719"/>
      <c r="J719"/>
      <c r="K719"/>
      <c r="L719"/>
      <c r="M719"/>
      <c r="N719"/>
      <c r="O719"/>
      <c r="P719"/>
      <c r="Q719"/>
    </row>
    <row r="720" spans="1:17" x14ac:dyDescent="0.4">
      <c r="A720"/>
      <c r="B720"/>
      <c r="C720"/>
      <c r="D720"/>
      <c r="E720"/>
      <c r="F720"/>
      <c r="G720"/>
      <c r="H720"/>
      <c r="I720"/>
      <c r="J720"/>
      <c r="K720"/>
      <c r="L720"/>
      <c r="M720"/>
      <c r="N720"/>
      <c r="O720"/>
      <c r="P720"/>
      <c r="Q720"/>
    </row>
    <row r="721" spans="1:17" x14ac:dyDescent="0.4">
      <c r="A721"/>
      <c r="B721"/>
      <c r="C721"/>
      <c r="D721"/>
      <c r="E721"/>
      <c r="F721"/>
      <c r="G721"/>
      <c r="H721"/>
      <c r="I721"/>
      <c r="J721"/>
      <c r="K721"/>
      <c r="L721"/>
      <c r="M721"/>
      <c r="N721"/>
      <c r="O721"/>
      <c r="P721"/>
      <c r="Q721"/>
    </row>
    <row r="722" spans="1:17" x14ac:dyDescent="0.4">
      <c r="A722"/>
      <c r="B722"/>
      <c r="C722"/>
      <c r="D722"/>
      <c r="E722"/>
      <c r="F722"/>
      <c r="G722"/>
      <c r="H722"/>
      <c r="I722"/>
      <c r="J722"/>
      <c r="K722"/>
      <c r="L722"/>
      <c r="M722"/>
      <c r="N722"/>
      <c r="O722"/>
      <c r="P722"/>
      <c r="Q722"/>
    </row>
    <row r="723" spans="1:17" x14ac:dyDescent="0.4">
      <c r="A723"/>
      <c r="B723"/>
      <c r="C723"/>
      <c r="D723"/>
      <c r="E723"/>
      <c r="F723"/>
      <c r="G723"/>
      <c r="H723"/>
      <c r="I723"/>
      <c r="J723"/>
      <c r="K723"/>
      <c r="L723"/>
      <c r="M723"/>
      <c r="N723"/>
      <c r="O723"/>
      <c r="P723"/>
      <c r="Q723"/>
    </row>
    <row r="724" spans="1:17" x14ac:dyDescent="0.4">
      <c r="A724"/>
      <c r="B724"/>
      <c r="C724"/>
      <c r="D724"/>
      <c r="E724"/>
      <c r="F724"/>
      <c r="G724"/>
      <c r="H724"/>
      <c r="I724"/>
      <c r="J724"/>
      <c r="K724"/>
      <c r="L724"/>
      <c r="M724"/>
      <c r="N724"/>
      <c r="O724"/>
      <c r="P724"/>
      <c r="Q724"/>
    </row>
    <row r="725" spans="1:17" x14ac:dyDescent="0.4">
      <c r="A725"/>
      <c r="B725"/>
      <c r="C725"/>
      <c r="D725"/>
      <c r="E725"/>
      <c r="F725"/>
      <c r="G725"/>
      <c r="H725"/>
      <c r="I725"/>
      <c r="J725"/>
      <c r="K725"/>
      <c r="L725"/>
      <c r="M725"/>
      <c r="N725"/>
      <c r="O725"/>
      <c r="P725"/>
      <c r="Q725"/>
    </row>
    <row r="726" spans="1:17" x14ac:dyDescent="0.4">
      <c r="A726"/>
      <c r="B726"/>
      <c r="C726"/>
      <c r="D726"/>
      <c r="E726"/>
      <c r="F726"/>
      <c r="G726"/>
      <c r="H726"/>
      <c r="I726"/>
      <c r="J726"/>
      <c r="K726"/>
      <c r="L726"/>
      <c r="M726"/>
      <c r="N726"/>
      <c r="O726"/>
      <c r="P726"/>
      <c r="Q726"/>
    </row>
    <row r="727" spans="1:17" x14ac:dyDescent="0.4">
      <c r="A727"/>
      <c r="B727"/>
      <c r="C727"/>
      <c r="D727"/>
      <c r="E727"/>
      <c r="F727"/>
      <c r="G727"/>
      <c r="H727"/>
      <c r="I727"/>
      <c r="J727"/>
      <c r="K727"/>
      <c r="L727"/>
      <c r="M727"/>
      <c r="N727"/>
      <c r="O727"/>
      <c r="P727"/>
      <c r="Q727"/>
    </row>
    <row r="728" spans="1:17" x14ac:dyDescent="0.4">
      <c r="A728"/>
      <c r="B728"/>
      <c r="C728"/>
      <c r="D728"/>
      <c r="E728"/>
      <c r="F728"/>
      <c r="G728"/>
      <c r="H728"/>
      <c r="I728"/>
      <c r="J728"/>
      <c r="K728"/>
      <c r="L728"/>
      <c r="M728"/>
      <c r="N728"/>
      <c r="O728"/>
      <c r="P728"/>
      <c r="Q728"/>
    </row>
    <row r="729" spans="1:17" x14ac:dyDescent="0.4">
      <c r="A729"/>
      <c r="B729"/>
      <c r="C729"/>
      <c r="D729"/>
      <c r="E729"/>
      <c r="F729"/>
      <c r="G729"/>
      <c r="H729"/>
      <c r="I729"/>
      <c r="J729"/>
      <c r="K729"/>
      <c r="L729"/>
      <c r="M729"/>
      <c r="N729"/>
      <c r="O729"/>
      <c r="P729"/>
      <c r="Q729"/>
    </row>
    <row r="730" spans="1:17" x14ac:dyDescent="0.4">
      <c r="A730"/>
      <c r="B730"/>
      <c r="C730"/>
      <c r="D730"/>
      <c r="E730"/>
      <c r="F730"/>
      <c r="G730"/>
      <c r="H730"/>
      <c r="I730"/>
      <c r="J730"/>
      <c r="K730"/>
      <c r="L730"/>
      <c r="M730"/>
      <c r="N730"/>
      <c r="O730"/>
      <c r="P730"/>
      <c r="Q730"/>
    </row>
    <row r="731" spans="1:17" x14ac:dyDescent="0.4">
      <c r="A731"/>
      <c r="B731"/>
      <c r="C731"/>
      <c r="D731"/>
      <c r="E731"/>
      <c r="F731"/>
      <c r="G731"/>
      <c r="H731"/>
      <c r="I731"/>
      <c r="J731"/>
      <c r="K731"/>
      <c r="L731"/>
      <c r="M731"/>
      <c r="N731"/>
      <c r="O731"/>
      <c r="P731"/>
      <c r="Q731"/>
    </row>
    <row r="732" spans="1:17" x14ac:dyDescent="0.4">
      <c r="A732"/>
      <c r="B732"/>
      <c r="C732"/>
      <c r="D732"/>
      <c r="E732"/>
      <c r="F732"/>
      <c r="G732"/>
      <c r="H732"/>
      <c r="I732"/>
      <c r="J732"/>
      <c r="K732"/>
      <c r="L732"/>
      <c r="M732"/>
      <c r="N732"/>
      <c r="O732"/>
      <c r="P732"/>
      <c r="Q732"/>
    </row>
    <row r="733" spans="1:17" x14ac:dyDescent="0.4">
      <c r="A733"/>
      <c r="B733"/>
      <c r="C733"/>
      <c r="D733"/>
      <c r="E733"/>
      <c r="F733"/>
      <c r="G733"/>
      <c r="H733"/>
      <c r="I733"/>
      <c r="J733"/>
      <c r="K733"/>
      <c r="L733"/>
      <c r="M733"/>
      <c r="N733"/>
      <c r="O733"/>
      <c r="P733"/>
      <c r="Q733"/>
    </row>
    <row r="734" spans="1:17" x14ac:dyDescent="0.4">
      <c r="A734"/>
      <c r="B734"/>
      <c r="C734"/>
      <c r="D734"/>
      <c r="E734"/>
      <c r="F734"/>
      <c r="G734"/>
      <c r="H734"/>
      <c r="I734"/>
      <c r="J734"/>
      <c r="K734"/>
      <c r="L734"/>
      <c r="M734"/>
      <c r="N734"/>
      <c r="O734"/>
      <c r="P734"/>
      <c r="Q734"/>
    </row>
    <row r="735" spans="1:17" x14ac:dyDescent="0.4">
      <c r="A735"/>
      <c r="B735"/>
      <c r="C735"/>
      <c r="D735"/>
      <c r="E735"/>
      <c r="F735"/>
      <c r="G735"/>
      <c r="H735"/>
      <c r="I735"/>
      <c r="J735"/>
      <c r="K735"/>
      <c r="L735"/>
      <c r="M735"/>
      <c r="N735"/>
      <c r="O735"/>
      <c r="P735"/>
      <c r="Q735"/>
    </row>
    <row r="736" spans="1:17" x14ac:dyDescent="0.4">
      <c r="A736"/>
      <c r="B736"/>
      <c r="C736"/>
      <c r="D736"/>
      <c r="E736"/>
      <c r="F736"/>
      <c r="G736"/>
      <c r="H736"/>
      <c r="I736"/>
      <c r="J736"/>
      <c r="K736"/>
      <c r="L736"/>
      <c r="M736"/>
      <c r="N736"/>
      <c r="O736"/>
      <c r="P736"/>
      <c r="Q736"/>
    </row>
    <row r="737" spans="1:17" x14ac:dyDescent="0.4">
      <c r="A737"/>
      <c r="B737"/>
      <c r="C737"/>
      <c r="D737"/>
      <c r="E737"/>
      <c r="F737"/>
      <c r="G737"/>
      <c r="H737"/>
      <c r="I737"/>
      <c r="J737"/>
      <c r="K737"/>
      <c r="L737"/>
      <c r="M737"/>
      <c r="N737"/>
      <c r="O737"/>
      <c r="P737"/>
      <c r="Q737"/>
    </row>
    <row r="738" spans="1:17" x14ac:dyDescent="0.4">
      <c r="A738"/>
      <c r="B738"/>
      <c r="C738"/>
      <c r="D738"/>
      <c r="E738"/>
      <c r="F738"/>
      <c r="G738"/>
      <c r="H738"/>
      <c r="I738"/>
      <c r="J738"/>
      <c r="K738"/>
      <c r="L738"/>
      <c r="M738"/>
      <c r="N738"/>
      <c r="O738"/>
      <c r="P738"/>
      <c r="Q738"/>
    </row>
    <row r="739" spans="1:17" x14ac:dyDescent="0.4">
      <c r="A739"/>
      <c r="B739"/>
      <c r="C739"/>
      <c r="D739"/>
      <c r="E739"/>
      <c r="F739"/>
      <c r="G739"/>
      <c r="H739"/>
      <c r="I739"/>
      <c r="J739"/>
      <c r="K739"/>
      <c r="L739"/>
      <c r="M739"/>
      <c r="N739"/>
      <c r="O739"/>
      <c r="P739"/>
      <c r="Q739"/>
    </row>
    <row r="740" spans="1:17" x14ac:dyDescent="0.4">
      <c r="A740"/>
      <c r="B740"/>
      <c r="C740"/>
      <c r="D740"/>
      <c r="E740"/>
      <c r="F740"/>
      <c r="G740"/>
      <c r="H740"/>
      <c r="I740"/>
      <c r="J740"/>
      <c r="K740"/>
      <c r="L740"/>
      <c r="M740"/>
      <c r="N740"/>
      <c r="O740"/>
      <c r="P740"/>
      <c r="Q740"/>
    </row>
    <row r="741" spans="1:17" x14ac:dyDescent="0.4">
      <c r="A741"/>
      <c r="B741"/>
      <c r="C741"/>
      <c r="D741"/>
      <c r="E741"/>
      <c r="F741"/>
      <c r="G741"/>
      <c r="H741"/>
      <c r="I741"/>
      <c r="J741"/>
      <c r="K741"/>
      <c r="L741"/>
      <c r="M741"/>
      <c r="N741"/>
      <c r="O741"/>
      <c r="P741"/>
      <c r="Q741"/>
    </row>
    <row r="742" spans="1:17" x14ac:dyDescent="0.4">
      <c r="A742"/>
      <c r="B742"/>
      <c r="C742"/>
      <c r="D742"/>
      <c r="E742"/>
      <c r="F742"/>
      <c r="G742"/>
      <c r="H742"/>
      <c r="I742"/>
      <c r="J742"/>
      <c r="K742"/>
      <c r="L742"/>
      <c r="M742"/>
      <c r="N742"/>
      <c r="O742"/>
      <c r="P742"/>
      <c r="Q742"/>
    </row>
    <row r="743" spans="1:17" x14ac:dyDescent="0.4">
      <c r="A743"/>
      <c r="B743"/>
      <c r="C743"/>
      <c r="D743"/>
      <c r="E743"/>
      <c r="F743"/>
      <c r="G743"/>
      <c r="H743"/>
      <c r="I743"/>
      <c r="J743"/>
      <c r="K743"/>
      <c r="L743"/>
      <c r="M743"/>
      <c r="N743"/>
      <c r="O743"/>
      <c r="P743"/>
      <c r="Q743"/>
    </row>
    <row r="744" spans="1:17" x14ac:dyDescent="0.4">
      <c r="A744"/>
      <c r="B744"/>
      <c r="C744"/>
      <c r="D744"/>
      <c r="E744"/>
      <c r="F744"/>
      <c r="G744"/>
      <c r="H744"/>
      <c r="I744"/>
      <c r="J744"/>
      <c r="K744"/>
      <c r="L744"/>
      <c r="M744"/>
      <c r="N744"/>
      <c r="O744"/>
      <c r="P744"/>
      <c r="Q744"/>
    </row>
    <row r="745" spans="1:17" x14ac:dyDescent="0.4">
      <c r="A745"/>
      <c r="B745"/>
      <c r="C745"/>
      <c r="D745"/>
      <c r="E745"/>
      <c r="F745"/>
      <c r="G745"/>
      <c r="H745"/>
      <c r="I745"/>
      <c r="J745"/>
      <c r="K745"/>
      <c r="L745"/>
      <c r="M745"/>
      <c r="N745"/>
      <c r="O745"/>
      <c r="P745"/>
      <c r="Q745"/>
    </row>
    <row r="746" spans="1:17" x14ac:dyDescent="0.4">
      <c r="A746"/>
      <c r="B746"/>
      <c r="C746"/>
      <c r="D746"/>
      <c r="E746"/>
      <c r="F746"/>
      <c r="G746"/>
      <c r="H746"/>
      <c r="I746"/>
      <c r="J746"/>
      <c r="K746"/>
      <c r="L746"/>
      <c r="M746"/>
      <c r="N746"/>
      <c r="O746"/>
      <c r="P746"/>
      <c r="Q746"/>
    </row>
    <row r="747" spans="1:17" x14ac:dyDescent="0.4">
      <c r="A747"/>
      <c r="B747"/>
      <c r="C747"/>
      <c r="D747"/>
      <c r="E747"/>
      <c r="F747"/>
      <c r="G747"/>
      <c r="H747"/>
      <c r="I747"/>
      <c r="J747"/>
      <c r="K747"/>
      <c r="L747"/>
      <c r="M747"/>
      <c r="N747"/>
      <c r="O747"/>
      <c r="P747"/>
      <c r="Q747"/>
    </row>
    <row r="748" spans="1:17" x14ac:dyDescent="0.4">
      <c r="A748"/>
      <c r="B748"/>
      <c r="C748"/>
      <c r="D748"/>
      <c r="E748"/>
      <c r="F748"/>
      <c r="G748"/>
      <c r="H748"/>
      <c r="I748"/>
      <c r="J748"/>
      <c r="K748"/>
      <c r="L748"/>
      <c r="M748"/>
      <c r="N748"/>
      <c r="O748"/>
      <c r="P748"/>
      <c r="Q748"/>
    </row>
    <row r="749" spans="1:17" x14ac:dyDescent="0.4">
      <c r="A749"/>
      <c r="B749"/>
      <c r="C749"/>
      <c r="D749"/>
      <c r="E749"/>
      <c r="F749"/>
      <c r="G749"/>
      <c r="H749"/>
      <c r="I749"/>
      <c r="J749"/>
      <c r="K749"/>
      <c r="L749"/>
      <c r="M749"/>
      <c r="N749"/>
      <c r="O749"/>
      <c r="P749"/>
      <c r="Q749"/>
    </row>
    <row r="750" spans="1:17" x14ac:dyDescent="0.4">
      <c r="A750"/>
      <c r="B750"/>
      <c r="C750"/>
      <c r="D750"/>
      <c r="E750"/>
      <c r="F750"/>
      <c r="G750"/>
      <c r="H750"/>
      <c r="I750"/>
      <c r="J750"/>
      <c r="K750"/>
      <c r="L750"/>
      <c r="M750"/>
      <c r="N750"/>
      <c r="O750"/>
      <c r="P750"/>
      <c r="Q750"/>
    </row>
    <row r="751" spans="1:17" x14ac:dyDescent="0.4">
      <c r="A751"/>
      <c r="B751"/>
      <c r="C751"/>
      <c r="D751"/>
      <c r="E751"/>
      <c r="F751"/>
      <c r="G751"/>
      <c r="H751"/>
      <c r="I751"/>
      <c r="J751"/>
      <c r="K751"/>
      <c r="L751"/>
      <c r="M751"/>
      <c r="N751"/>
      <c r="O751"/>
      <c r="P751"/>
      <c r="Q751"/>
    </row>
    <row r="752" spans="1:17" x14ac:dyDescent="0.4">
      <c r="A752"/>
      <c r="B752"/>
      <c r="C752"/>
      <c r="D752"/>
      <c r="E752"/>
      <c r="F752"/>
      <c r="G752"/>
      <c r="H752"/>
      <c r="I752"/>
      <c r="J752"/>
      <c r="K752"/>
      <c r="L752"/>
      <c r="M752"/>
      <c r="N752"/>
      <c r="O752"/>
      <c r="P752"/>
      <c r="Q752"/>
    </row>
    <row r="753" spans="1:17" x14ac:dyDescent="0.4">
      <c r="A753"/>
      <c r="B753"/>
      <c r="C753"/>
      <c r="D753"/>
      <c r="E753"/>
      <c r="F753"/>
      <c r="G753"/>
      <c r="H753"/>
      <c r="I753"/>
      <c r="J753"/>
      <c r="K753"/>
      <c r="L753"/>
      <c r="M753"/>
      <c r="N753"/>
      <c r="O753"/>
      <c r="P753"/>
      <c r="Q753"/>
    </row>
    <row r="754" spans="1:17" x14ac:dyDescent="0.4">
      <c r="A754"/>
      <c r="B754"/>
      <c r="C754"/>
      <c r="D754"/>
      <c r="E754"/>
      <c r="F754"/>
      <c r="G754"/>
      <c r="H754"/>
      <c r="I754"/>
      <c r="J754"/>
      <c r="K754"/>
      <c r="L754"/>
      <c r="M754"/>
      <c r="N754"/>
      <c r="O754"/>
      <c r="P754"/>
      <c r="Q754"/>
    </row>
    <row r="755" spans="1:17" x14ac:dyDescent="0.4">
      <c r="A755"/>
      <c r="B755"/>
      <c r="C755"/>
      <c r="D755"/>
      <c r="E755"/>
      <c r="F755"/>
      <c r="G755"/>
      <c r="H755"/>
      <c r="I755"/>
      <c r="J755"/>
      <c r="K755"/>
      <c r="L755"/>
      <c r="M755"/>
      <c r="N755"/>
      <c r="O755"/>
      <c r="P755"/>
      <c r="Q755"/>
    </row>
    <row r="756" spans="1:17" x14ac:dyDescent="0.4">
      <c r="A756"/>
      <c r="B756"/>
      <c r="C756"/>
      <c r="D756"/>
      <c r="E756"/>
      <c r="F756"/>
      <c r="G756"/>
      <c r="H756"/>
      <c r="I756"/>
      <c r="J756"/>
      <c r="K756"/>
      <c r="L756"/>
      <c r="M756"/>
      <c r="N756"/>
      <c r="O756"/>
      <c r="P756"/>
      <c r="Q756"/>
    </row>
    <row r="757" spans="1:17" x14ac:dyDescent="0.4">
      <c r="A757"/>
      <c r="B757"/>
      <c r="C757"/>
      <c r="D757"/>
      <c r="E757"/>
      <c r="F757"/>
      <c r="G757"/>
      <c r="H757"/>
      <c r="I757"/>
      <c r="J757"/>
      <c r="K757"/>
      <c r="L757"/>
      <c r="M757"/>
      <c r="N757"/>
      <c r="O757"/>
      <c r="P757"/>
      <c r="Q757"/>
    </row>
    <row r="758" spans="1:17" x14ac:dyDescent="0.4">
      <c r="A758"/>
      <c r="B758"/>
      <c r="C758"/>
      <c r="D758"/>
      <c r="E758"/>
      <c r="F758"/>
      <c r="G758"/>
      <c r="H758"/>
      <c r="I758"/>
      <c r="J758"/>
      <c r="K758"/>
      <c r="L758"/>
      <c r="M758"/>
      <c r="N758"/>
      <c r="O758"/>
      <c r="P758"/>
      <c r="Q758"/>
    </row>
    <row r="759" spans="1:17" x14ac:dyDescent="0.4">
      <c r="A759"/>
      <c r="B759"/>
      <c r="C759"/>
      <c r="D759"/>
      <c r="E759"/>
      <c r="F759"/>
      <c r="G759"/>
      <c r="H759"/>
      <c r="I759"/>
      <c r="J759"/>
      <c r="K759"/>
      <c r="L759"/>
      <c r="M759"/>
      <c r="N759"/>
      <c r="O759"/>
      <c r="P759"/>
      <c r="Q759"/>
    </row>
    <row r="760" spans="1:17" x14ac:dyDescent="0.4">
      <c r="A760"/>
      <c r="B760"/>
      <c r="C760"/>
      <c r="D760"/>
      <c r="E760"/>
      <c r="F760"/>
      <c r="G760"/>
      <c r="H760"/>
      <c r="I760"/>
      <c r="J760"/>
      <c r="K760"/>
      <c r="L760"/>
      <c r="M760"/>
      <c r="N760"/>
      <c r="O760"/>
      <c r="P760"/>
      <c r="Q760"/>
    </row>
    <row r="761" spans="1:17" x14ac:dyDescent="0.4">
      <c r="A761"/>
      <c r="B761"/>
      <c r="C761"/>
      <c r="D761"/>
      <c r="E761"/>
      <c r="F761"/>
      <c r="G761"/>
      <c r="H761"/>
      <c r="I761"/>
      <c r="J761"/>
      <c r="K761"/>
      <c r="L761"/>
      <c r="M761"/>
      <c r="N761"/>
      <c r="O761"/>
      <c r="P761"/>
      <c r="Q761"/>
    </row>
    <row r="762" spans="1:17" x14ac:dyDescent="0.4">
      <c r="A762"/>
      <c r="B762"/>
      <c r="C762"/>
      <c r="D762"/>
      <c r="E762"/>
      <c r="F762"/>
      <c r="G762"/>
      <c r="H762"/>
      <c r="I762"/>
      <c r="J762"/>
      <c r="K762"/>
      <c r="L762"/>
      <c r="M762"/>
      <c r="N762"/>
      <c r="O762"/>
      <c r="P762"/>
      <c r="Q762"/>
    </row>
    <row r="763" spans="1:17" x14ac:dyDescent="0.4">
      <c r="A763"/>
      <c r="B763"/>
      <c r="C763"/>
      <c r="D763"/>
      <c r="E763"/>
      <c r="F763"/>
      <c r="G763"/>
      <c r="H763"/>
      <c r="I763"/>
      <c r="J763"/>
      <c r="K763"/>
      <c r="L763"/>
      <c r="M763"/>
      <c r="N763"/>
      <c r="O763"/>
      <c r="P763"/>
      <c r="Q763"/>
    </row>
    <row r="764" spans="1:17" x14ac:dyDescent="0.4">
      <c r="A764"/>
      <c r="B764"/>
      <c r="C764"/>
      <c r="D764"/>
      <c r="E764"/>
      <c r="F764"/>
      <c r="G764"/>
      <c r="H764"/>
      <c r="I764"/>
      <c r="J764"/>
      <c r="K764"/>
      <c r="L764"/>
      <c r="M764"/>
      <c r="N764"/>
      <c r="O764"/>
      <c r="P764"/>
      <c r="Q764"/>
    </row>
    <row r="765" spans="1:17" x14ac:dyDescent="0.4">
      <c r="A765"/>
      <c r="B765"/>
      <c r="C765"/>
      <c r="D765"/>
      <c r="E765"/>
      <c r="F765"/>
      <c r="G765"/>
      <c r="H765"/>
      <c r="I765"/>
      <c r="J765"/>
      <c r="K765"/>
      <c r="L765"/>
      <c r="M765"/>
      <c r="N765"/>
      <c r="O765"/>
      <c r="P765"/>
      <c r="Q765"/>
    </row>
    <row r="766" spans="1:17" x14ac:dyDescent="0.4">
      <c r="A766"/>
      <c r="B766"/>
      <c r="C766"/>
      <c r="D766"/>
      <c r="E766"/>
      <c r="F766"/>
      <c r="G766"/>
      <c r="H766"/>
      <c r="I766"/>
      <c r="J766"/>
      <c r="K766"/>
      <c r="L766"/>
      <c r="M766"/>
      <c r="N766"/>
      <c r="O766"/>
      <c r="P766"/>
      <c r="Q766"/>
    </row>
    <row r="767" spans="1:17" x14ac:dyDescent="0.4">
      <c r="A767"/>
      <c r="B767"/>
      <c r="C767"/>
      <c r="D767"/>
      <c r="E767"/>
      <c r="F767"/>
      <c r="G767"/>
      <c r="H767"/>
      <c r="I767"/>
      <c r="J767"/>
      <c r="K767"/>
      <c r="L767"/>
      <c r="M767"/>
      <c r="N767"/>
      <c r="O767"/>
      <c r="P767"/>
      <c r="Q767"/>
    </row>
    <row r="768" spans="1:17" x14ac:dyDescent="0.4">
      <c r="A768"/>
      <c r="B768"/>
      <c r="C768"/>
      <c r="D768"/>
      <c r="E768"/>
      <c r="F768"/>
      <c r="G768"/>
      <c r="H768"/>
      <c r="I768"/>
      <c r="J768"/>
      <c r="K768"/>
      <c r="L768"/>
      <c r="M768"/>
      <c r="N768"/>
      <c r="O768"/>
      <c r="P768"/>
      <c r="Q768"/>
    </row>
    <row r="769" spans="1:17" x14ac:dyDescent="0.4">
      <c r="A769"/>
      <c r="B769"/>
      <c r="C769"/>
      <c r="D769"/>
      <c r="E769"/>
      <c r="F769"/>
      <c r="G769"/>
      <c r="H769"/>
      <c r="I769"/>
      <c r="J769"/>
      <c r="K769"/>
      <c r="L769"/>
      <c r="M769"/>
      <c r="N769"/>
      <c r="O769"/>
      <c r="P769"/>
      <c r="Q769"/>
    </row>
    <row r="770" spans="1:17" x14ac:dyDescent="0.4">
      <c r="A770"/>
      <c r="B770"/>
      <c r="C770"/>
      <c r="D770"/>
      <c r="E770"/>
      <c r="F770"/>
      <c r="G770"/>
      <c r="H770"/>
      <c r="I770"/>
      <c r="J770"/>
      <c r="K770"/>
      <c r="L770"/>
      <c r="M770"/>
      <c r="N770"/>
      <c r="O770"/>
      <c r="P770"/>
      <c r="Q770"/>
    </row>
    <row r="771" spans="1:17" x14ac:dyDescent="0.4">
      <c r="A771"/>
      <c r="B771"/>
      <c r="C771"/>
      <c r="D771"/>
      <c r="E771"/>
      <c r="F771"/>
      <c r="G771"/>
      <c r="H771"/>
      <c r="I771"/>
      <c r="J771"/>
      <c r="K771"/>
      <c r="L771"/>
      <c r="M771"/>
      <c r="N771"/>
      <c r="O771"/>
      <c r="P771"/>
      <c r="Q771"/>
    </row>
    <row r="772" spans="1:17" x14ac:dyDescent="0.4">
      <c r="A772"/>
      <c r="B772"/>
      <c r="C772"/>
      <c r="D772"/>
      <c r="E772"/>
      <c r="F772"/>
      <c r="G772"/>
      <c r="H772"/>
      <c r="I772"/>
      <c r="J772"/>
      <c r="K772"/>
      <c r="L772"/>
      <c r="M772"/>
      <c r="N772"/>
      <c r="O772"/>
      <c r="P772"/>
      <c r="Q772"/>
    </row>
    <row r="773" spans="1:17" x14ac:dyDescent="0.4">
      <c r="A773"/>
      <c r="B773"/>
      <c r="C773"/>
      <c r="D773"/>
      <c r="E773"/>
      <c r="F773"/>
      <c r="G773"/>
      <c r="H773"/>
      <c r="I773"/>
      <c r="J773"/>
      <c r="K773"/>
      <c r="L773"/>
      <c r="M773"/>
      <c r="N773"/>
      <c r="O773"/>
      <c r="P773"/>
      <c r="Q773"/>
    </row>
    <row r="774" spans="1:17" x14ac:dyDescent="0.4">
      <c r="A774"/>
      <c r="B774"/>
      <c r="C774"/>
      <c r="D774"/>
      <c r="E774"/>
      <c r="F774"/>
      <c r="G774"/>
      <c r="H774"/>
      <c r="I774"/>
      <c r="J774"/>
      <c r="K774"/>
      <c r="L774"/>
      <c r="M774"/>
      <c r="N774"/>
      <c r="O774"/>
      <c r="P774"/>
      <c r="Q774"/>
    </row>
    <row r="775" spans="1:17" x14ac:dyDescent="0.4">
      <c r="A775"/>
      <c r="B775"/>
      <c r="C775"/>
      <c r="D775"/>
      <c r="E775"/>
      <c r="F775"/>
      <c r="G775"/>
      <c r="H775"/>
      <c r="I775"/>
      <c r="J775"/>
      <c r="K775"/>
      <c r="L775"/>
      <c r="M775"/>
      <c r="N775"/>
      <c r="O775"/>
      <c r="P775"/>
      <c r="Q775"/>
    </row>
    <row r="776" spans="1:17" x14ac:dyDescent="0.4">
      <c r="A776"/>
      <c r="B776"/>
      <c r="C776"/>
      <c r="D776"/>
      <c r="E776"/>
      <c r="F776"/>
      <c r="G776"/>
      <c r="H776"/>
      <c r="I776"/>
      <c r="J776"/>
      <c r="K776"/>
      <c r="L776"/>
      <c r="M776"/>
      <c r="N776"/>
      <c r="O776"/>
      <c r="P776"/>
      <c r="Q776"/>
    </row>
    <row r="777" spans="1:17" x14ac:dyDescent="0.4">
      <c r="A777"/>
      <c r="B777"/>
      <c r="C777"/>
      <c r="D777"/>
      <c r="E777"/>
      <c r="F777"/>
      <c r="G777"/>
      <c r="H777"/>
      <c r="I777"/>
      <c r="J777"/>
      <c r="K777"/>
      <c r="L777"/>
      <c r="M777"/>
      <c r="N777"/>
      <c r="O777"/>
      <c r="P777"/>
      <c r="Q777"/>
    </row>
    <row r="778" spans="1:17" x14ac:dyDescent="0.4">
      <c r="A778"/>
      <c r="B778"/>
      <c r="C778"/>
      <c r="D778"/>
      <c r="E778"/>
      <c r="F778"/>
      <c r="G778"/>
      <c r="H778"/>
      <c r="I778"/>
      <c r="J778"/>
      <c r="K778"/>
      <c r="L778"/>
      <c r="M778"/>
      <c r="N778"/>
      <c r="O778"/>
      <c r="P778"/>
      <c r="Q778"/>
    </row>
    <row r="779" spans="1:17" x14ac:dyDescent="0.4">
      <c r="A779"/>
      <c r="B779"/>
      <c r="C779"/>
      <c r="D779"/>
      <c r="E779"/>
      <c r="F779"/>
      <c r="G779"/>
      <c r="H779"/>
      <c r="I779"/>
      <c r="J779"/>
      <c r="K779"/>
      <c r="L779"/>
      <c r="M779"/>
      <c r="N779"/>
      <c r="O779"/>
      <c r="P779"/>
      <c r="Q779"/>
    </row>
    <row r="780" spans="1:17" x14ac:dyDescent="0.4">
      <c r="A780"/>
      <c r="B780"/>
      <c r="C780"/>
      <c r="D780"/>
      <c r="E780"/>
      <c r="F780"/>
      <c r="G780"/>
      <c r="H780"/>
      <c r="I780"/>
      <c r="J780"/>
      <c r="K780"/>
      <c r="L780"/>
      <c r="M780"/>
      <c r="N780"/>
      <c r="O780"/>
      <c r="P780"/>
      <c r="Q780"/>
    </row>
    <row r="781" spans="1:17" x14ac:dyDescent="0.4">
      <c r="A781"/>
      <c r="B781"/>
      <c r="C781"/>
      <c r="D781"/>
      <c r="E781"/>
      <c r="F781"/>
      <c r="G781"/>
      <c r="H781"/>
      <c r="I781"/>
      <c r="J781"/>
      <c r="K781"/>
      <c r="L781"/>
      <c r="M781"/>
      <c r="N781"/>
      <c r="O781"/>
      <c r="P781"/>
      <c r="Q781"/>
    </row>
    <row r="782" spans="1:17" x14ac:dyDescent="0.4">
      <c r="A782"/>
      <c r="B782"/>
      <c r="C782"/>
      <c r="D782"/>
      <c r="E782"/>
      <c r="F782"/>
      <c r="G782"/>
      <c r="H782"/>
      <c r="I782"/>
      <c r="J782"/>
      <c r="K782"/>
      <c r="L782"/>
      <c r="M782"/>
      <c r="N782"/>
      <c r="O782"/>
      <c r="P782"/>
      <c r="Q782"/>
    </row>
    <row r="783" spans="1:17" x14ac:dyDescent="0.4">
      <c r="A783"/>
      <c r="B783"/>
      <c r="C783"/>
      <c r="D783"/>
      <c r="E783"/>
      <c r="F783"/>
      <c r="G783"/>
      <c r="H783"/>
      <c r="I783"/>
      <c r="J783"/>
      <c r="K783"/>
      <c r="L783"/>
      <c r="M783"/>
      <c r="N783"/>
      <c r="O783"/>
      <c r="P783"/>
      <c r="Q783"/>
    </row>
    <row r="784" spans="1:17" x14ac:dyDescent="0.4">
      <c r="A784"/>
      <c r="B784"/>
      <c r="C784"/>
      <c r="D784"/>
      <c r="E784"/>
      <c r="F784"/>
      <c r="G784"/>
      <c r="H784"/>
      <c r="I784"/>
      <c r="J784"/>
      <c r="K784"/>
      <c r="L784"/>
      <c r="M784"/>
      <c r="N784"/>
      <c r="O784"/>
      <c r="P784"/>
      <c r="Q784"/>
    </row>
    <row r="785" spans="1:17" x14ac:dyDescent="0.4">
      <c r="A785"/>
      <c r="B785"/>
      <c r="C785"/>
      <c r="D785"/>
      <c r="E785"/>
      <c r="F785"/>
      <c r="G785"/>
      <c r="H785"/>
      <c r="I785"/>
      <c r="J785"/>
      <c r="K785"/>
      <c r="L785"/>
      <c r="M785"/>
      <c r="N785"/>
      <c r="O785"/>
      <c r="P785"/>
      <c r="Q785"/>
    </row>
    <row r="786" spans="1:17" x14ac:dyDescent="0.4">
      <c r="A786"/>
      <c r="B786"/>
      <c r="C786"/>
      <c r="D786"/>
      <c r="E786"/>
      <c r="F786"/>
      <c r="G786"/>
      <c r="H786"/>
      <c r="I786"/>
      <c r="J786"/>
      <c r="K786"/>
      <c r="L786"/>
      <c r="M786"/>
      <c r="N786"/>
      <c r="O786"/>
      <c r="P786"/>
      <c r="Q786"/>
    </row>
    <row r="787" spans="1:17" x14ac:dyDescent="0.4">
      <c r="A787"/>
      <c r="B787"/>
      <c r="C787"/>
      <c r="D787"/>
      <c r="E787"/>
      <c r="F787"/>
      <c r="G787"/>
      <c r="H787"/>
      <c r="I787"/>
      <c r="J787"/>
      <c r="K787"/>
      <c r="L787"/>
      <c r="M787"/>
      <c r="N787"/>
      <c r="O787"/>
      <c r="P787"/>
      <c r="Q787"/>
    </row>
    <row r="788" spans="1:17" x14ac:dyDescent="0.4">
      <c r="A788"/>
      <c r="B788"/>
      <c r="C788"/>
      <c r="D788"/>
      <c r="E788"/>
      <c r="F788"/>
      <c r="G788"/>
      <c r="H788"/>
      <c r="I788"/>
      <c r="J788"/>
      <c r="K788"/>
      <c r="L788"/>
      <c r="M788"/>
      <c r="N788"/>
      <c r="O788"/>
      <c r="P788"/>
      <c r="Q788"/>
    </row>
    <row r="789" spans="1:17" x14ac:dyDescent="0.4">
      <c r="A789"/>
      <c r="B789"/>
      <c r="C789"/>
      <c r="D789"/>
      <c r="E789"/>
      <c r="F789"/>
      <c r="G789"/>
      <c r="H789"/>
      <c r="I789"/>
      <c r="J789"/>
      <c r="K789"/>
      <c r="L789"/>
      <c r="M789"/>
      <c r="N789"/>
      <c r="O789"/>
      <c r="P789"/>
      <c r="Q789"/>
    </row>
    <row r="790" spans="1:17" x14ac:dyDescent="0.4">
      <c r="A790"/>
      <c r="B790"/>
      <c r="C790"/>
      <c r="D790"/>
      <c r="E790"/>
      <c r="F790"/>
      <c r="G790"/>
      <c r="H790"/>
      <c r="I790"/>
      <c r="J790"/>
      <c r="K790"/>
      <c r="L790"/>
      <c r="M790"/>
      <c r="N790"/>
      <c r="O790"/>
      <c r="P790"/>
      <c r="Q790"/>
    </row>
    <row r="791" spans="1:17" x14ac:dyDescent="0.4">
      <c r="A791"/>
      <c r="B791"/>
      <c r="C791"/>
      <c r="D791"/>
      <c r="E791"/>
      <c r="F791"/>
      <c r="G791"/>
      <c r="H791"/>
      <c r="I791"/>
      <c r="J791"/>
      <c r="K791"/>
      <c r="L791"/>
      <c r="M791"/>
      <c r="N791"/>
      <c r="O791"/>
      <c r="P791"/>
      <c r="Q791"/>
    </row>
    <row r="792" spans="1:17" x14ac:dyDescent="0.4">
      <c r="A792"/>
      <c r="B792"/>
      <c r="C792"/>
      <c r="D792"/>
      <c r="E792"/>
      <c r="F792"/>
      <c r="G792"/>
      <c r="H792"/>
      <c r="I792"/>
      <c r="J792"/>
      <c r="K792"/>
      <c r="L792"/>
      <c r="M792"/>
      <c r="N792"/>
      <c r="O792"/>
      <c r="P792"/>
      <c r="Q792"/>
    </row>
    <row r="793" spans="1:17" x14ac:dyDescent="0.4">
      <c r="A793"/>
      <c r="B793"/>
      <c r="C793"/>
      <c r="D793"/>
      <c r="E793"/>
      <c r="F793"/>
      <c r="G793"/>
      <c r="H793"/>
      <c r="I793"/>
      <c r="J793"/>
      <c r="K793"/>
      <c r="L793"/>
      <c r="M793"/>
      <c r="N793"/>
      <c r="O793"/>
      <c r="P793"/>
      <c r="Q793"/>
    </row>
    <row r="794" spans="1:17" x14ac:dyDescent="0.4">
      <c r="A794"/>
      <c r="B794"/>
      <c r="C794"/>
      <c r="D794"/>
      <c r="E794"/>
      <c r="F794"/>
      <c r="G794"/>
      <c r="H794"/>
      <c r="I794"/>
      <c r="J794"/>
      <c r="K794"/>
      <c r="L794"/>
      <c r="M794"/>
      <c r="N794"/>
      <c r="O794"/>
      <c r="P794"/>
      <c r="Q794"/>
    </row>
    <row r="795" spans="1:17" x14ac:dyDescent="0.4">
      <c r="A795"/>
      <c r="B795"/>
      <c r="C795"/>
      <c r="D795"/>
      <c r="E795"/>
      <c r="F795"/>
      <c r="G795"/>
      <c r="H795"/>
      <c r="I795"/>
      <c r="J795"/>
      <c r="K795"/>
      <c r="L795"/>
      <c r="M795"/>
      <c r="N795"/>
      <c r="O795"/>
      <c r="P795"/>
      <c r="Q795"/>
    </row>
    <row r="796" spans="1:17" x14ac:dyDescent="0.4">
      <c r="A796"/>
      <c r="B796"/>
      <c r="C796"/>
      <c r="D796"/>
      <c r="E796"/>
      <c r="F796"/>
      <c r="G796"/>
      <c r="H796"/>
      <c r="I796"/>
      <c r="J796"/>
      <c r="K796"/>
      <c r="L796"/>
      <c r="M796"/>
      <c r="N796"/>
      <c r="O796"/>
      <c r="P796"/>
      <c r="Q796"/>
    </row>
    <row r="797" spans="1:17" x14ac:dyDescent="0.4">
      <c r="A797"/>
      <c r="B797"/>
      <c r="C797"/>
      <c r="D797"/>
      <c r="E797"/>
      <c r="F797"/>
      <c r="G797"/>
      <c r="H797"/>
      <c r="I797"/>
      <c r="J797"/>
      <c r="K797"/>
      <c r="L797"/>
      <c r="M797"/>
      <c r="N797"/>
      <c r="O797"/>
      <c r="P797"/>
      <c r="Q797"/>
    </row>
    <row r="798" spans="1:17" x14ac:dyDescent="0.4">
      <c r="A798"/>
      <c r="B798"/>
      <c r="C798"/>
      <c r="D798"/>
      <c r="E798"/>
      <c r="F798"/>
      <c r="G798"/>
      <c r="H798"/>
      <c r="I798"/>
      <c r="J798"/>
      <c r="K798"/>
      <c r="L798"/>
      <c r="M798"/>
      <c r="N798"/>
      <c r="O798"/>
      <c r="P798"/>
      <c r="Q798"/>
    </row>
    <row r="799" spans="1:17" x14ac:dyDescent="0.4">
      <c r="A799"/>
      <c r="B799"/>
      <c r="C799"/>
      <c r="D799"/>
      <c r="E799"/>
      <c r="F799"/>
      <c r="G799"/>
      <c r="H799"/>
      <c r="I799"/>
      <c r="J799"/>
      <c r="K799"/>
      <c r="L799"/>
      <c r="M799"/>
      <c r="N799"/>
      <c r="O799"/>
      <c r="P799"/>
      <c r="Q799"/>
    </row>
    <row r="800" spans="1:17" x14ac:dyDescent="0.4">
      <c r="A800"/>
      <c r="B800"/>
      <c r="C800"/>
      <c r="D800"/>
      <c r="E800"/>
      <c r="F800"/>
      <c r="G800"/>
      <c r="H800"/>
      <c r="I800"/>
      <c r="J800"/>
      <c r="K800"/>
      <c r="L800"/>
      <c r="M800"/>
      <c r="N800"/>
      <c r="O800"/>
      <c r="P800"/>
      <c r="Q800"/>
    </row>
    <row r="801" spans="1:17" x14ac:dyDescent="0.4">
      <c r="A801"/>
      <c r="B801"/>
      <c r="C801"/>
      <c r="D801"/>
      <c r="E801"/>
      <c r="F801"/>
      <c r="G801"/>
      <c r="H801"/>
      <c r="I801"/>
      <c r="J801"/>
      <c r="K801"/>
      <c r="L801"/>
      <c r="M801"/>
      <c r="N801"/>
      <c r="O801"/>
      <c r="P801"/>
      <c r="Q801"/>
    </row>
    <row r="802" spans="1:17" x14ac:dyDescent="0.4">
      <c r="A802"/>
      <c r="B802"/>
      <c r="C802"/>
      <c r="D802"/>
      <c r="E802"/>
      <c r="F802"/>
      <c r="G802"/>
      <c r="H802"/>
      <c r="I802"/>
      <c r="J802"/>
      <c r="K802"/>
      <c r="L802"/>
      <c r="M802"/>
      <c r="N802"/>
      <c r="O802"/>
      <c r="P802"/>
      <c r="Q802"/>
    </row>
    <row r="803" spans="1:17" x14ac:dyDescent="0.4">
      <c r="A803"/>
      <c r="B803"/>
      <c r="C803"/>
      <c r="D803"/>
      <c r="E803"/>
      <c r="F803"/>
      <c r="G803"/>
      <c r="H803"/>
      <c r="I803"/>
      <c r="J803"/>
      <c r="K803"/>
      <c r="L803"/>
      <c r="M803"/>
      <c r="N803"/>
      <c r="O803"/>
      <c r="P803"/>
      <c r="Q803"/>
    </row>
    <row r="804" spans="1:17" x14ac:dyDescent="0.4">
      <c r="A804"/>
      <c r="B804"/>
      <c r="C804"/>
      <c r="D804"/>
      <c r="E804"/>
      <c r="F804"/>
      <c r="G804"/>
      <c r="H804"/>
      <c r="I804"/>
      <c r="J804"/>
      <c r="K804"/>
      <c r="L804"/>
      <c r="M804"/>
      <c r="N804"/>
      <c r="O804"/>
      <c r="P804"/>
      <c r="Q804"/>
    </row>
    <row r="805" spans="1:17" x14ac:dyDescent="0.4">
      <c r="A805"/>
      <c r="B805"/>
      <c r="C805"/>
      <c r="D805"/>
      <c r="E805"/>
      <c r="F805"/>
      <c r="G805"/>
      <c r="H805"/>
      <c r="I805"/>
      <c r="J805"/>
      <c r="K805"/>
      <c r="L805"/>
      <c r="M805"/>
      <c r="N805"/>
      <c r="O805"/>
      <c r="P805"/>
      <c r="Q805"/>
    </row>
    <row r="806" spans="1:17" x14ac:dyDescent="0.4">
      <c r="A806"/>
      <c r="B806"/>
      <c r="C806"/>
      <c r="D806"/>
      <c r="E806"/>
      <c r="F806"/>
      <c r="G806"/>
      <c r="H806"/>
      <c r="I806"/>
      <c r="J806"/>
      <c r="K806"/>
      <c r="L806"/>
      <c r="M806"/>
      <c r="N806"/>
      <c r="O806"/>
      <c r="P806"/>
      <c r="Q806"/>
    </row>
    <row r="807" spans="1:17" x14ac:dyDescent="0.4">
      <c r="A807"/>
      <c r="B807"/>
      <c r="C807"/>
      <c r="D807"/>
      <c r="E807"/>
      <c r="F807"/>
      <c r="G807"/>
      <c r="H807"/>
      <c r="I807"/>
      <c r="J807"/>
      <c r="K807"/>
      <c r="L807"/>
      <c r="M807"/>
      <c r="N807"/>
      <c r="O807"/>
      <c r="P807"/>
      <c r="Q807"/>
    </row>
    <row r="808" spans="1:17" x14ac:dyDescent="0.4">
      <c r="A808"/>
      <c r="B808"/>
      <c r="C808"/>
      <c r="D808"/>
      <c r="E808"/>
      <c r="F808"/>
      <c r="G808"/>
      <c r="H808"/>
      <c r="I808"/>
      <c r="J808"/>
      <c r="K808"/>
      <c r="L808"/>
      <c r="M808"/>
      <c r="N808"/>
      <c r="O808"/>
      <c r="P808"/>
      <c r="Q808"/>
    </row>
    <row r="809" spans="1:17" x14ac:dyDescent="0.4">
      <c r="A809"/>
      <c r="B809"/>
      <c r="C809"/>
      <c r="D809"/>
      <c r="E809"/>
      <c r="F809"/>
      <c r="G809"/>
      <c r="H809"/>
      <c r="I809"/>
      <c r="J809"/>
      <c r="K809"/>
      <c r="L809"/>
      <c r="M809"/>
      <c r="N809"/>
      <c r="O809"/>
      <c r="P809"/>
      <c r="Q809"/>
    </row>
    <row r="810" spans="1:17" x14ac:dyDescent="0.4">
      <c r="A810"/>
      <c r="B810"/>
      <c r="C810"/>
      <c r="D810"/>
      <c r="E810"/>
      <c r="F810"/>
      <c r="G810"/>
      <c r="H810"/>
      <c r="I810"/>
      <c r="J810"/>
      <c r="K810"/>
      <c r="L810"/>
      <c r="M810"/>
      <c r="N810"/>
      <c r="O810"/>
      <c r="P810"/>
      <c r="Q810"/>
    </row>
    <row r="811" spans="1:17" x14ac:dyDescent="0.4">
      <c r="A811"/>
      <c r="B811"/>
      <c r="C811"/>
      <c r="D811"/>
      <c r="E811"/>
      <c r="F811"/>
      <c r="G811"/>
      <c r="H811"/>
      <c r="I811"/>
      <c r="J811"/>
      <c r="K811"/>
      <c r="L811"/>
      <c r="M811"/>
      <c r="N811"/>
      <c r="O811"/>
      <c r="P811"/>
      <c r="Q811"/>
    </row>
    <row r="812" spans="1:17" x14ac:dyDescent="0.4">
      <c r="A812"/>
      <c r="B812"/>
      <c r="C812"/>
      <c r="D812"/>
      <c r="E812"/>
      <c r="F812"/>
      <c r="G812"/>
      <c r="H812"/>
      <c r="I812"/>
      <c r="J812"/>
      <c r="K812"/>
      <c r="L812"/>
      <c r="M812"/>
      <c r="N812"/>
      <c r="O812"/>
      <c r="P812"/>
      <c r="Q812"/>
    </row>
    <row r="813" spans="1:17" x14ac:dyDescent="0.4">
      <c r="A813"/>
      <c r="B813"/>
      <c r="C813"/>
      <c r="D813"/>
      <c r="E813"/>
      <c r="F813"/>
      <c r="G813"/>
      <c r="H813"/>
      <c r="I813"/>
      <c r="J813"/>
      <c r="K813"/>
      <c r="L813"/>
      <c r="M813"/>
      <c r="N813"/>
      <c r="O813"/>
      <c r="P813"/>
      <c r="Q813"/>
    </row>
    <row r="814" spans="1:17" x14ac:dyDescent="0.4">
      <c r="A814"/>
      <c r="B814"/>
      <c r="C814"/>
      <c r="D814"/>
      <c r="E814"/>
      <c r="F814"/>
      <c r="G814"/>
      <c r="H814"/>
      <c r="I814"/>
      <c r="J814"/>
      <c r="K814"/>
      <c r="L814"/>
      <c r="M814"/>
      <c r="N814"/>
      <c r="O814"/>
      <c r="P814"/>
      <c r="Q814"/>
    </row>
    <row r="815" spans="1:17" x14ac:dyDescent="0.4">
      <c r="A815"/>
      <c r="B815"/>
      <c r="C815"/>
      <c r="D815"/>
      <c r="E815"/>
      <c r="F815"/>
      <c r="G815"/>
      <c r="H815"/>
      <c r="I815"/>
      <c r="J815"/>
      <c r="K815"/>
      <c r="L815"/>
      <c r="M815"/>
      <c r="N815"/>
      <c r="O815"/>
      <c r="P815"/>
      <c r="Q815"/>
    </row>
    <row r="816" spans="1:17" x14ac:dyDescent="0.4">
      <c r="A816"/>
      <c r="B816"/>
      <c r="C816"/>
      <c r="D816"/>
      <c r="E816"/>
      <c r="F816"/>
      <c r="G816"/>
      <c r="H816"/>
      <c r="I816"/>
      <c r="J816"/>
      <c r="K816"/>
      <c r="L816"/>
      <c r="M816"/>
      <c r="N816"/>
      <c r="O816"/>
      <c r="P816"/>
      <c r="Q816"/>
    </row>
    <row r="817" spans="1:17" x14ac:dyDescent="0.4">
      <c r="A817"/>
      <c r="B817"/>
      <c r="C817"/>
      <c r="D817"/>
      <c r="E817"/>
      <c r="F817"/>
      <c r="G817"/>
      <c r="H817"/>
      <c r="I817"/>
      <c r="J817"/>
      <c r="K817"/>
      <c r="L817"/>
      <c r="M817"/>
      <c r="N817"/>
      <c r="O817"/>
      <c r="P817"/>
      <c r="Q817"/>
    </row>
    <row r="818" spans="1:17" x14ac:dyDescent="0.4">
      <c r="A818"/>
      <c r="B818"/>
      <c r="C818"/>
      <c r="D818"/>
      <c r="E818"/>
      <c r="F818"/>
      <c r="G818"/>
      <c r="H818"/>
      <c r="I818"/>
      <c r="J818"/>
      <c r="K818"/>
      <c r="L818"/>
      <c r="M818"/>
      <c r="N818"/>
      <c r="O818"/>
      <c r="P818"/>
      <c r="Q818"/>
    </row>
    <row r="819" spans="1:17" x14ac:dyDescent="0.4">
      <c r="A819"/>
      <c r="B819"/>
      <c r="C819"/>
      <c r="D819"/>
      <c r="E819"/>
      <c r="F819"/>
      <c r="G819"/>
      <c r="H819"/>
      <c r="I819"/>
      <c r="J819"/>
      <c r="K819"/>
      <c r="L819"/>
      <c r="M819"/>
      <c r="N819"/>
      <c r="O819"/>
      <c r="P819"/>
      <c r="Q819"/>
    </row>
    <row r="820" spans="1:17" x14ac:dyDescent="0.4">
      <c r="A820"/>
      <c r="B820"/>
      <c r="C820"/>
      <c r="D820"/>
      <c r="E820"/>
      <c r="F820"/>
      <c r="G820"/>
      <c r="H820"/>
      <c r="I820"/>
      <c r="J820"/>
      <c r="K820"/>
      <c r="L820"/>
      <c r="M820"/>
      <c r="N820"/>
      <c r="O820"/>
      <c r="P820"/>
      <c r="Q820"/>
    </row>
    <row r="821" spans="1:17" x14ac:dyDescent="0.4">
      <c r="A821"/>
      <c r="B821"/>
      <c r="C821"/>
      <c r="D821"/>
      <c r="E821"/>
      <c r="F821"/>
      <c r="G821"/>
      <c r="H821"/>
      <c r="I821"/>
      <c r="J821"/>
      <c r="K821"/>
      <c r="L821"/>
      <c r="M821"/>
      <c r="N821"/>
      <c r="O821"/>
      <c r="P821"/>
      <c r="Q821"/>
    </row>
    <row r="822" spans="1:17" x14ac:dyDescent="0.4">
      <c r="A822"/>
      <c r="B822"/>
      <c r="C822"/>
      <c r="D822"/>
      <c r="E822"/>
      <c r="F822"/>
      <c r="G822"/>
      <c r="H822"/>
      <c r="I822"/>
      <c r="J822"/>
      <c r="K822"/>
      <c r="L822"/>
      <c r="M822"/>
      <c r="N822"/>
      <c r="O822"/>
      <c r="P822"/>
      <c r="Q822"/>
    </row>
    <row r="823" spans="1:17" x14ac:dyDescent="0.4">
      <c r="A823"/>
      <c r="B823"/>
      <c r="C823"/>
      <c r="D823"/>
      <c r="E823"/>
      <c r="F823"/>
      <c r="G823"/>
      <c r="H823"/>
      <c r="I823"/>
      <c r="J823"/>
      <c r="K823"/>
      <c r="L823"/>
      <c r="M823"/>
      <c r="N823"/>
      <c r="O823"/>
      <c r="P823"/>
      <c r="Q823"/>
    </row>
    <row r="824" spans="1:17" x14ac:dyDescent="0.4">
      <c r="A824"/>
      <c r="B824"/>
      <c r="C824"/>
      <c r="D824"/>
      <c r="E824"/>
      <c r="F824"/>
      <c r="G824"/>
      <c r="H824"/>
      <c r="I824"/>
      <c r="J824"/>
      <c r="K824"/>
      <c r="L824"/>
      <c r="M824"/>
      <c r="N824"/>
      <c r="O824"/>
      <c r="P824"/>
      <c r="Q824"/>
    </row>
    <row r="825" spans="1:17" x14ac:dyDescent="0.4">
      <c r="A825"/>
      <c r="B825"/>
      <c r="C825"/>
      <c r="D825"/>
      <c r="E825"/>
      <c r="F825"/>
      <c r="G825"/>
      <c r="H825"/>
      <c r="I825"/>
      <c r="J825"/>
      <c r="K825"/>
      <c r="L825"/>
      <c r="M825"/>
      <c r="N825"/>
      <c r="O825"/>
      <c r="P825"/>
      <c r="Q825"/>
    </row>
    <row r="826" spans="1:17" x14ac:dyDescent="0.4">
      <c r="A826"/>
      <c r="B826"/>
      <c r="C826"/>
      <c r="D826"/>
      <c r="E826"/>
      <c r="F826"/>
      <c r="G826"/>
      <c r="H826"/>
      <c r="I826"/>
      <c r="J826"/>
      <c r="K826"/>
      <c r="L826"/>
      <c r="M826"/>
      <c r="N826"/>
      <c r="O826"/>
      <c r="P826"/>
      <c r="Q826"/>
    </row>
    <row r="827" spans="1:17" x14ac:dyDescent="0.4">
      <c r="A827"/>
      <c r="B827"/>
      <c r="C827"/>
      <c r="D827"/>
      <c r="E827"/>
      <c r="F827"/>
      <c r="G827"/>
      <c r="H827"/>
      <c r="I827"/>
      <c r="J827"/>
      <c r="K827"/>
      <c r="L827"/>
      <c r="M827"/>
      <c r="N827"/>
      <c r="O827"/>
      <c r="P827"/>
      <c r="Q827"/>
    </row>
    <row r="828" spans="1:17" x14ac:dyDescent="0.4">
      <c r="A828"/>
      <c r="B828"/>
      <c r="C828"/>
      <c r="D828"/>
      <c r="E828"/>
      <c r="F828"/>
      <c r="G828"/>
      <c r="H828"/>
      <c r="I828"/>
      <c r="J828"/>
      <c r="K828"/>
      <c r="L828"/>
      <c r="M828"/>
      <c r="N828"/>
      <c r="O828"/>
      <c r="P828"/>
      <c r="Q828"/>
    </row>
    <row r="829" spans="1:17" x14ac:dyDescent="0.4">
      <c r="A829"/>
      <c r="B829"/>
      <c r="C829"/>
      <c r="D829"/>
      <c r="E829"/>
      <c r="F829"/>
      <c r="G829"/>
      <c r="H829"/>
      <c r="I829"/>
      <c r="J829"/>
      <c r="K829"/>
      <c r="L829"/>
      <c r="M829"/>
      <c r="N829"/>
      <c r="O829"/>
      <c r="P829"/>
      <c r="Q829"/>
    </row>
    <row r="830" spans="1:17" x14ac:dyDescent="0.4">
      <c r="A830"/>
      <c r="B830"/>
      <c r="C830"/>
      <c r="D830"/>
      <c r="E830"/>
      <c r="F830"/>
      <c r="G830"/>
      <c r="H830"/>
      <c r="I830"/>
      <c r="J830"/>
      <c r="K830"/>
      <c r="L830"/>
      <c r="M830"/>
      <c r="N830"/>
      <c r="O830"/>
      <c r="P830"/>
      <c r="Q830"/>
    </row>
    <row r="831" spans="1:17" x14ac:dyDescent="0.4">
      <c r="A831"/>
      <c r="B831"/>
      <c r="C831"/>
      <c r="D831"/>
      <c r="E831"/>
      <c r="F831"/>
      <c r="G831"/>
      <c r="H831"/>
      <c r="I831"/>
      <c r="J831"/>
      <c r="K831"/>
      <c r="L831"/>
      <c r="M831"/>
      <c r="N831"/>
      <c r="O831"/>
      <c r="P831"/>
      <c r="Q831"/>
    </row>
    <row r="832" spans="1:17" x14ac:dyDescent="0.4">
      <c r="A832"/>
      <c r="B832"/>
      <c r="C832"/>
      <c r="D832"/>
      <c r="E832"/>
      <c r="F832"/>
      <c r="G832"/>
      <c r="H832"/>
      <c r="I832"/>
      <c r="J832"/>
      <c r="K832"/>
      <c r="L832"/>
      <c r="M832"/>
      <c r="N832"/>
      <c r="O832"/>
      <c r="P832"/>
      <c r="Q832"/>
    </row>
    <row r="833" spans="1:17" x14ac:dyDescent="0.4">
      <c r="A833"/>
      <c r="B833"/>
      <c r="C833"/>
      <c r="D833"/>
      <c r="E833"/>
      <c r="F833"/>
      <c r="G833"/>
      <c r="H833"/>
      <c r="I833"/>
      <c r="J833"/>
      <c r="K833"/>
      <c r="L833"/>
      <c r="M833"/>
      <c r="N833"/>
      <c r="O833"/>
      <c r="P833"/>
      <c r="Q833"/>
    </row>
    <row r="834" spans="1:17" x14ac:dyDescent="0.4">
      <c r="A834"/>
      <c r="B834"/>
      <c r="C834"/>
      <c r="D834"/>
      <c r="E834"/>
      <c r="F834"/>
      <c r="G834"/>
      <c r="H834"/>
      <c r="I834"/>
      <c r="J834"/>
      <c r="K834"/>
      <c r="L834"/>
      <c r="M834"/>
      <c r="N834"/>
      <c r="O834"/>
      <c r="P834"/>
      <c r="Q834"/>
    </row>
    <row r="835" spans="1:17" x14ac:dyDescent="0.4">
      <c r="A835"/>
      <c r="B835"/>
      <c r="C835"/>
      <c r="D835"/>
      <c r="E835"/>
      <c r="F835"/>
      <c r="G835"/>
      <c r="H835"/>
      <c r="I835"/>
      <c r="J835"/>
      <c r="K835"/>
      <c r="L835"/>
      <c r="M835"/>
      <c r="N835"/>
      <c r="O835"/>
      <c r="P835"/>
      <c r="Q835"/>
    </row>
    <row r="836" spans="1:17" x14ac:dyDescent="0.4">
      <c r="A836"/>
      <c r="B836"/>
      <c r="C836"/>
      <c r="D836"/>
      <c r="E836"/>
      <c r="F836"/>
      <c r="G836"/>
      <c r="H836"/>
      <c r="I836"/>
      <c r="J836"/>
      <c r="K836"/>
      <c r="L836"/>
      <c r="M836"/>
      <c r="N836"/>
      <c r="O836"/>
      <c r="P836"/>
      <c r="Q836"/>
    </row>
    <row r="837" spans="1:17" x14ac:dyDescent="0.4">
      <c r="A837"/>
      <c r="B837"/>
      <c r="C837"/>
      <c r="D837"/>
      <c r="E837"/>
      <c r="F837"/>
      <c r="G837"/>
      <c r="H837"/>
      <c r="I837"/>
      <c r="J837"/>
      <c r="K837"/>
      <c r="L837"/>
      <c r="M837"/>
      <c r="N837"/>
      <c r="O837"/>
      <c r="P837"/>
      <c r="Q837"/>
    </row>
    <row r="838" spans="1:17" x14ac:dyDescent="0.4">
      <c r="A838"/>
      <c r="B838"/>
      <c r="C838"/>
      <c r="D838"/>
      <c r="E838"/>
      <c r="F838"/>
      <c r="G838"/>
      <c r="H838"/>
      <c r="I838"/>
      <c r="J838"/>
      <c r="K838"/>
      <c r="L838"/>
      <c r="M838"/>
      <c r="N838"/>
      <c r="O838"/>
      <c r="P838"/>
      <c r="Q838"/>
    </row>
    <row r="839" spans="1:17" x14ac:dyDescent="0.4">
      <c r="A839"/>
      <c r="B839"/>
      <c r="C839"/>
      <c r="D839"/>
      <c r="E839"/>
      <c r="F839"/>
      <c r="G839"/>
      <c r="H839"/>
      <c r="I839"/>
      <c r="J839"/>
      <c r="K839"/>
      <c r="L839"/>
      <c r="M839"/>
      <c r="N839"/>
      <c r="O839"/>
      <c r="P839"/>
      <c r="Q839"/>
    </row>
    <row r="840" spans="1:17" x14ac:dyDescent="0.4">
      <c r="A840"/>
      <c r="B840"/>
      <c r="C840"/>
      <c r="D840"/>
      <c r="E840"/>
      <c r="F840"/>
      <c r="G840"/>
      <c r="H840"/>
      <c r="I840"/>
      <c r="J840"/>
      <c r="K840"/>
      <c r="L840"/>
      <c r="M840"/>
      <c r="N840"/>
      <c r="O840"/>
      <c r="P840"/>
      <c r="Q840"/>
    </row>
    <row r="841" spans="1:17" x14ac:dyDescent="0.4">
      <c r="A841"/>
      <c r="B841"/>
      <c r="C841"/>
      <c r="D841"/>
      <c r="E841"/>
      <c r="F841"/>
      <c r="G841"/>
      <c r="H841"/>
      <c r="I841"/>
      <c r="J841"/>
      <c r="K841"/>
      <c r="L841"/>
      <c r="M841"/>
      <c r="N841"/>
      <c r="O841"/>
      <c r="P841"/>
      <c r="Q841"/>
    </row>
    <row r="842" spans="1:17" x14ac:dyDescent="0.4">
      <c r="A842"/>
      <c r="B842"/>
      <c r="C842"/>
      <c r="D842"/>
      <c r="E842"/>
      <c r="F842"/>
      <c r="G842"/>
      <c r="H842"/>
      <c r="I842"/>
      <c r="J842"/>
      <c r="K842"/>
      <c r="L842"/>
      <c r="M842"/>
      <c r="N842"/>
      <c r="O842"/>
      <c r="P842"/>
      <c r="Q842"/>
    </row>
    <row r="843" spans="1:17" x14ac:dyDescent="0.4">
      <c r="A843"/>
      <c r="B843"/>
      <c r="C843"/>
      <c r="D843"/>
      <c r="E843"/>
      <c r="F843"/>
      <c r="G843"/>
      <c r="H843"/>
      <c r="I843"/>
      <c r="J843"/>
      <c r="K843"/>
      <c r="L843"/>
      <c r="M843"/>
      <c r="N843"/>
      <c r="O843"/>
      <c r="P843"/>
      <c r="Q843"/>
    </row>
    <row r="844" spans="1:17" x14ac:dyDescent="0.4">
      <c r="A844"/>
      <c r="B844"/>
      <c r="C844"/>
      <c r="D844"/>
      <c r="E844"/>
      <c r="F844"/>
      <c r="G844"/>
      <c r="H844"/>
      <c r="I844"/>
      <c r="J844"/>
      <c r="K844"/>
      <c r="L844"/>
      <c r="M844"/>
      <c r="N844"/>
      <c r="O844"/>
      <c r="P844"/>
      <c r="Q844"/>
    </row>
    <row r="845" spans="1:17" x14ac:dyDescent="0.4">
      <c r="A845"/>
      <c r="B845"/>
      <c r="C845"/>
      <c r="D845"/>
      <c r="E845"/>
      <c r="F845"/>
      <c r="G845"/>
      <c r="H845"/>
      <c r="I845"/>
      <c r="J845"/>
      <c r="K845"/>
      <c r="L845"/>
      <c r="M845"/>
      <c r="N845"/>
      <c r="O845"/>
      <c r="P845"/>
      <c r="Q845"/>
    </row>
    <row r="846" spans="1:17" x14ac:dyDescent="0.4">
      <c r="A846"/>
      <c r="B846"/>
      <c r="C846"/>
      <c r="D846"/>
      <c r="E846"/>
      <c r="F846"/>
      <c r="G846"/>
      <c r="H846"/>
      <c r="I846"/>
      <c r="J846"/>
      <c r="K846"/>
      <c r="L846"/>
      <c r="M846"/>
      <c r="N846"/>
      <c r="O846"/>
      <c r="P846"/>
      <c r="Q846"/>
    </row>
    <row r="847" spans="1:17" x14ac:dyDescent="0.4">
      <c r="A847"/>
      <c r="B847"/>
      <c r="C847"/>
      <c r="D847"/>
      <c r="E847"/>
      <c r="F847"/>
      <c r="G847"/>
      <c r="H847"/>
      <c r="I847"/>
      <c r="J847"/>
      <c r="K847"/>
      <c r="L847"/>
      <c r="M847"/>
      <c r="N847"/>
      <c r="O847"/>
      <c r="P847"/>
      <c r="Q847"/>
    </row>
    <row r="848" spans="1:17" x14ac:dyDescent="0.4">
      <c r="A848"/>
      <c r="B848"/>
      <c r="C848"/>
      <c r="D848"/>
      <c r="E848"/>
      <c r="F848"/>
      <c r="G848"/>
      <c r="H848"/>
      <c r="I848"/>
      <c r="J848"/>
      <c r="K848"/>
      <c r="L848"/>
      <c r="M848"/>
      <c r="N848"/>
      <c r="O848"/>
      <c r="P848"/>
      <c r="Q848"/>
    </row>
    <row r="849" spans="1:17" x14ac:dyDescent="0.4">
      <c r="A849"/>
      <c r="B849"/>
      <c r="C849"/>
      <c r="D849"/>
      <c r="E849"/>
      <c r="F849"/>
      <c r="G849"/>
      <c r="H849"/>
      <c r="I849"/>
      <c r="J849"/>
      <c r="K849"/>
      <c r="L849"/>
      <c r="M849"/>
      <c r="N849"/>
      <c r="O849"/>
      <c r="P849"/>
      <c r="Q849"/>
    </row>
    <row r="850" spans="1:17" x14ac:dyDescent="0.4">
      <c r="A850"/>
      <c r="B850"/>
      <c r="C850"/>
      <c r="D850"/>
      <c r="E850"/>
      <c r="F850"/>
      <c r="G850"/>
      <c r="H850"/>
      <c r="I850"/>
      <c r="J850"/>
      <c r="K850"/>
      <c r="L850"/>
      <c r="M850"/>
      <c r="N850"/>
      <c r="O850"/>
      <c r="P850"/>
      <c r="Q850"/>
    </row>
    <row r="851" spans="1:17" x14ac:dyDescent="0.4">
      <c r="A851"/>
      <c r="B851"/>
      <c r="C851"/>
      <c r="D851"/>
      <c r="E851"/>
      <c r="F851"/>
      <c r="G851"/>
      <c r="H851"/>
      <c r="I851"/>
      <c r="J851"/>
      <c r="K851"/>
      <c r="L851"/>
      <c r="M851"/>
      <c r="N851"/>
      <c r="O851"/>
      <c r="P851"/>
      <c r="Q851"/>
    </row>
    <row r="852" spans="1:17" x14ac:dyDescent="0.4">
      <c r="A852"/>
      <c r="B852"/>
      <c r="C852"/>
      <c r="D852"/>
      <c r="E852"/>
      <c r="F852"/>
      <c r="G852"/>
      <c r="H852"/>
      <c r="I852"/>
      <c r="J852"/>
      <c r="K852"/>
      <c r="L852"/>
      <c r="M852"/>
      <c r="N852"/>
      <c r="O852"/>
      <c r="P852"/>
      <c r="Q852"/>
    </row>
    <row r="853" spans="1:17" x14ac:dyDescent="0.4">
      <c r="A853"/>
      <c r="B853"/>
      <c r="C853"/>
      <c r="D853"/>
      <c r="E853"/>
      <c r="F853"/>
      <c r="G853"/>
      <c r="H853"/>
      <c r="I853"/>
      <c r="J853"/>
      <c r="K853"/>
      <c r="L853"/>
      <c r="M853"/>
      <c r="N853"/>
      <c r="O853"/>
      <c r="P853"/>
      <c r="Q853"/>
    </row>
    <row r="854" spans="1:17" x14ac:dyDescent="0.4">
      <c r="A854"/>
      <c r="B854"/>
      <c r="C854"/>
      <c r="D854"/>
      <c r="E854"/>
      <c r="F854"/>
      <c r="G854"/>
      <c r="H854"/>
      <c r="I854"/>
      <c r="J854"/>
      <c r="K854"/>
      <c r="L854"/>
      <c r="M854"/>
      <c r="N854"/>
      <c r="O854"/>
      <c r="P854"/>
      <c r="Q854"/>
    </row>
    <row r="855" spans="1:17" x14ac:dyDescent="0.4">
      <c r="A855"/>
      <c r="B855"/>
      <c r="C855"/>
      <c r="D855"/>
      <c r="E855"/>
      <c r="F855"/>
      <c r="G855"/>
      <c r="H855"/>
      <c r="I855"/>
      <c r="J855"/>
      <c r="K855"/>
      <c r="L855"/>
      <c r="M855"/>
      <c r="N855"/>
      <c r="O855"/>
      <c r="P855"/>
      <c r="Q855"/>
    </row>
    <row r="856" spans="1:17" x14ac:dyDescent="0.4">
      <c r="A856"/>
      <c r="B856"/>
      <c r="C856"/>
      <c r="D856"/>
      <c r="E856"/>
      <c r="F856"/>
      <c r="G856"/>
      <c r="H856"/>
      <c r="I856"/>
      <c r="J856"/>
      <c r="K856"/>
      <c r="L856"/>
      <c r="M856"/>
      <c r="N856"/>
      <c r="O856"/>
      <c r="P856"/>
      <c r="Q856"/>
    </row>
    <row r="857" spans="1:17" x14ac:dyDescent="0.4">
      <c r="A857"/>
      <c r="B857"/>
      <c r="C857"/>
      <c r="D857"/>
      <c r="E857"/>
      <c r="F857"/>
      <c r="G857"/>
      <c r="H857"/>
      <c r="I857"/>
      <c r="J857"/>
      <c r="K857"/>
      <c r="L857"/>
      <c r="M857"/>
      <c r="N857"/>
      <c r="O857"/>
      <c r="P857"/>
      <c r="Q857"/>
    </row>
    <row r="858" spans="1:17" x14ac:dyDescent="0.4">
      <c r="A858"/>
      <c r="B858"/>
      <c r="C858"/>
      <c r="D858"/>
      <c r="E858"/>
      <c r="F858"/>
      <c r="G858"/>
      <c r="H858"/>
      <c r="I858"/>
      <c r="J858"/>
      <c r="K858"/>
      <c r="L858"/>
      <c r="M858"/>
      <c r="N858"/>
      <c r="O858"/>
      <c r="P858"/>
      <c r="Q858"/>
    </row>
    <row r="859" spans="1:17" x14ac:dyDescent="0.4">
      <c r="A859"/>
      <c r="B859"/>
      <c r="C859"/>
      <c r="D859"/>
      <c r="E859"/>
      <c r="F859"/>
      <c r="G859"/>
      <c r="H859"/>
      <c r="I859"/>
      <c r="J859"/>
      <c r="K859"/>
      <c r="L859"/>
      <c r="M859"/>
      <c r="N859"/>
      <c r="O859"/>
      <c r="P859"/>
      <c r="Q859"/>
    </row>
    <row r="860" spans="1:17" x14ac:dyDescent="0.4">
      <c r="A860"/>
      <c r="B860"/>
      <c r="C860"/>
      <c r="D860"/>
      <c r="E860"/>
      <c r="F860"/>
      <c r="G860"/>
      <c r="H860"/>
      <c r="I860"/>
      <c r="J860"/>
      <c r="K860"/>
      <c r="L860"/>
      <c r="M860"/>
      <c r="N860"/>
      <c r="O860"/>
      <c r="P860"/>
      <c r="Q860"/>
    </row>
    <row r="861" spans="1:17" x14ac:dyDescent="0.4">
      <c r="A861"/>
      <c r="B861"/>
      <c r="C861"/>
      <c r="D861"/>
      <c r="E861"/>
      <c r="F861"/>
      <c r="G861"/>
      <c r="H861"/>
      <c r="I861"/>
      <c r="J861"/>
      <c r="K861"/>
      <c r="L861"/>
      <c r="M861"/>
      <c r="N861"/>
      <c r="O861"/>
      <c r="P861"/>
      <c r="Q861"/>
    </row>
    <row r="862" spans="1:17" x14ac:dyDescent="0.4">
      <c r="A862"/>
      <c r="B862"/>
      <c r="C862"/>
      <c r="D862"/>
      <c r="E862"/>
      <c r="F862"/>
      <c r="G862"/>
      <c r="H862"/>
      <c r="I862"/>
      <c r="J862"/>
      <c r="K862"/>
      <c r="L862"/>
      <c r="M862"/>
      <c r="N862"/>
      <c r="O862"/>
      <c r="P862"/>
      <c r="Q862"/>
    </row>
    <row r="863" spans="1:17" x14ac:dyDescent="0.4">
      <c r="A863"/>
      <c r="B863"/>
      <c r="C863"/>
      <c r="D863"/>
      <c r="E863"/>
      <c r="F863"/>
      <c r="G863"/>
      <c r="H863"/>
      <c r="I863"/>
      <c r="J863"/>
      <c r="K863"/>
      <c r="L863"/>
      <c r="M863"/>
      <c r="N863"/>
      <c r="O863"/>
      <c r="P863"/>
      <c r="Q863"/>
    </row>
    <row r="864" spans="1:17" x14ac:dyDescent="0.4">
      <c r="A864"/>
      <c r="B864"/>
      <c r="C864"/>
      <c r="D864"/>
      <c r="E864"/>
      <c r="F864"/>
      <c r="G864"/>
      <c r="H864"/>
      <c r="I864"/>
      <c r="J864"/>
      <c r="K864"/>
      <c r="L864"/>
      <c r="M864"/>
      <c r="N864"/>
      <c r="O864"/>
      <c r="P864"/>
      <c r="Q864"/>
    </row>
    <row r="865" spans="1:17" x14ac:dyDescent="0.4">
      <c r="A865"/>
      <c r="B865"/>
      <c r="C865"/>
      <c r="D865"/>
      <c r="E865"/>
      <c r="F865"/>
      <c r="G865"/>
      <c r="H865"/>
      <c r="I865"/>
      <c r="J865"/>
      <c r="K865"/>
      <c r="L865"/>
      <c r="M865"/>
      <c r="N865"/>
      <c r="O865"/>
      <c r="P865"/>
      <c r="Q865"/>
    </row>
    <row r="866" spans="1:17" x14ac:dyDescent="0.4">
      <c r="A866"/>
      <c r="B866"/>
      <c r="C866"/>
      <c r="D866"/>
      <c r="E866"/>
      <c r="F866"/>
      <c r="G866"/>
      <c r="H866"/>
      <c r="I866"/>
      <c r="J866"/>
      <c r="K866"/>
      <c r="L866"/>
      <c r="M866"/>
      <c r="N866"/>
      <c r="O866"/>
      <c r="P866"/>
      <c r="Q866"/>
    </row>
    <row r="867" spans="1:17" x14ac:dyDescent="0.4">
      <c r="A867"/>
      <c r="B867"/>
      <c r="C867"/>
      <c r="D867"/>
      <c r="E867"/>
      <c r="F867"/>
      <c r="G867"/>
      <c r="H867"/>
      <c r="I867"/>
      <c r="J867"/>
      <c r="K867"/>
      <c r="L867"/>
      <c r="M867"/>
      <c r="N867"/>
      <c r="O867"/>
      <c r="P867"/>
      <c r="Q867"/>
    </row>
    <row r="868" spans="1:17" x14ac:dyDescent="0.4">
      <c r="A868"/>
      <c r="B868"/>
      <c r="C868"/>
      <c r="D868"/>
      <c r="E868"/>
      <c r="F868"/>
      <c r="G868"/>
      <c r="H868"/>
      <c r="I868"/>
      <c r="J868"/>
      <c r="K868"/>
      <c r="L868"/>
      <c r="M868"/>
      <c r="N868"/>
      <c r="O868"/>
      <c r="P868"/>
      <c r="Q868"/>
    </row>
    <row r="869" spans="1:17" x14ac:dyDescent="0.4">
      <c r="A869"/>
      <c r="B869"/>
      <c r="C869"/>
      <c r="D869"/>
      <c r="E869"/>
      <c r="F869"/>
      <c r="G869"/>
      <c r="H869"/>
      <c r="I869"/>
      <c r="J869"/>
      <c r="K869"/>
      <c r="L869"/>
      <c r="M869"/>
      <c r="N869"/>
      <c r="O869"/>
      <c r="P869"/>
      <c r="Q869"/>
    </row>
    <row r="870" spans="1:17" x14ac:dyDescent="0.4">
      <c r="A870"/>
      <c r="B870"/>
      <c r="C870"/>
      <c r="D870"/>
      <c r="E870"/>
      <c r="F870"/>
      <c r="G870"/>
      <c r="H870"/>
      <c r="I870"/>
      <c r="J870"/>
      <c r="K870"/>
      <c r="L870"/>
      <c r="M870"/>
      <c r="N870"/>
      <c r="O870"/>
      <c r="P870"/>
      <c r="Q870"/>
    </row>
    <row r="871" spans="1:17" x14ac:dyDescent="0.4">
      <c r="A871"/>
      <c r="B871"/>
      <c r="C871"/>
      <c r="D871"/>
      <c r="E871"/>
      <c r="F871"/>
      <c r="G871"/>
      <c r="H871"/>
      <c r="I871"/>
      <c r="J871"/>
      <c r="K871"/>
      <c r="L871"/>
      <c r="M871"/>
      <c r="N871"/>
      <c r="O871"/>
      <c r="P871"/>
      <c r="Q871"/>
    </row>
    <row r="872" spans="1:17" x14ac:dyDescent="0.4">
      <c r="A872"/>
      <c r="B872"/>
      <c r="C872"/>
      <c r="D872"/>
      <c r="E872"/>
      <c r="F872"/>
      <c r="G872"/>
      <c r="H872"/>
      <c r="I872"/>
      <c r="J872"/>
      <c r="K872"/>
      <c r="L872"/>
      <c r="M872"/>
      <c r="N872"/>
      <c r="O872"/>
      <c r="P872"/>
      <c r="Q872"/>
    </row>
    <row r="873" spans="1:17" x14ac:dyDescent="0.4">
      <c r="A873"/>
      <c r="B873"/>
      <c r="C873"/>
      <c r="D873"/>
      <c r="E873"/>
      <c r="F873"/>
      <c r="G873"/>
      <c r="H873"/>
      <c r="I873"/>
      <c r="J873"/>
      <c r="K873"/>
      <c r="L873"/>
      <c r="M873"/>
      <c r="N873"/>
      <c r="O873"/>
      <c r="P873"/>
      <c r="Q873"/>
    </row>
    <row r="874" spans="1:17" x14ac:dyDescent="0.4">
      <c r="A874"/>
      <c r="B874"/>
      <c r="C874"/>
      <c r="D874"/>
      <c r="E874"/>
      <c r="F874"/>
      <c r="G874"/>
      <c r="H874"/>
      <c r="I874"/>
      <c r="J874"/>
      <c r="K874"/>
      <c r="L874"/>
      <c r="M874"/>
      <c r="N874"/>
      <c r="O874"/>
      <c r="P874"/>
      <c r="Q874"/>
    </row>
    <row r="875" spans="1:17" x14ac:dyDescent="0.4">
      <c r="A875"/>
      <c r="B875"/>
      <c r="C875"/>
      <c r="D875"/>
      <c r="E875"/>
      <c r="F875"/>
      <c r="G875"/>
      <c r="H875"/>
      <c r="I875"/>
      <c r="J875"/>
      <c r="K875"/>
      <c r="L875"/>
      <c r="M875"/>
      <c r="N875"/>
      <c r="O875"/>
      <c r="P875"/>
      <c r="Q875"/>
    </row>
    <row r="876" spans="1:17" x14ac:dyDescent="0.4">
      <c r="A876"/>
      <c r="B876"/>
      <c r="C876"/>
      <c r="D876"/>
      <c r="E876"/>
      <c r="F876"/>
      <c r="G876"/>
      <c r="H876"/>
      <c r="I876"/>
      <c r="J876"/>
      <c r="K876"/>
      <c r="L876"/>
      <c r="M876"/>
      <c r="N876"/>
      <c r="O876"/>
      <c r="P876"/>
      <c r="Q876"/>
    </row>
    <row r="877" spans="1:17" x14ac:dyDescent="0.4">
      <c r="A877"/>
      <c r="B877"/>
      <c r="C877"/>
      <c r="D877"/>
      <c r="E877"/>
      <c r="F877"/>
      <c r="G877"/>
      <c r="H877"/>
      <c r="I877"/>
      <c r="J877"/>
      <c r="K877"/>
      <c r="L877"/>
      <c r="M877"/>
      <c r="N877"/>
      <c r="O877"/>
      <c r="P877"/>
      <c r="Q877"/>
    </row>
    <row r="878" spans="1:17" x14ac:dyDescent="0.4">
      <c r="A878"/>
      <c r="B878"/>
      <c r="C878"/>
      <c r="D878"/>
      <c r="E878"/>
      <c r="F878"/>
      <c r="G878"/>
      <c r="H878"/>
      <c r="I878"/>
      <c r="J878"/>
      <c r="K878"/>
      <c r="L878"/>
      <c r="M878"/>
      <c r="N878"/>
      <c r="O878"/>
      <c r="P878"/>
      <c r="Q878"/>
    </row>
    <row r="879" spans="1:17" x14ac:dyDescent="0.4">
      <c r="A879"/>
      <c r="B879"/>
      <c r="C879"/>
      <c r="D879"/>
      <c r="E879"/>
      <c r="F879"/>
      <c r="G879"/>
      <c r="H879"/>
      <c r="I879"/>
      <c r="J879"/>
      <c r="K879"/>
      <c r="L879"/>
      <c r="M879"/>
      <c r="N879"/>
      <c r="O879"/>
      <c r="P879"/>
      <c r="Q879"/>
    </row>
    <row r="880" spans="1:17" x14ac:dyDescent="0.4">
      <c r="A880"/>
      <c r="B880"/>
      <c r="C880"/>
      <c r="D880"/>
      <c r="E880"/>
      <c r="F880"/>
      <c r="G880"/>
      <c r="H880"/>
      <c r="I880"/>
      <c r="J880"/>
      <c r="K880"/>
      <c r="L880"/>
      <c r="M880"/>
      <c r="N880"/>
      <c r="O880"/>
      <c r="P880"/>
      <c r="Q880"/>
    </row>
    <row r="881" spans="1:17" x14ac:dyDescent="0.4">
      <c r="A881"/>
      <c r="B881"/>
      <c r="C881"/>
      <c r="D881"/>
      <c r="E881"/>
      <c r="F881"/>
      <c r="G881"/>
      <c r="H881"/>
      <c r="I881"/>
      <c r="J881"/>
      <c r="K881"/>
      <c r="L881"/>
      <c r="M881"/>
      <c r="N881"/>
      <c r="O881"/>
      <c r="P881"/>
      <c r="Q881"/>
    </row>
    <row r="882" spans="1:17" x14ac:dyDescent="0.4">
      <c r="A882"/>
      <c r="B882"/>
      <c r="C882"/>
      <c r="D882"/>
      <c r="E882"/>
      <c r="F882"/>
      <c r="G882"/>
      <c r="H882"/>
      <c r="I882"/>
      <c r="J882"/>
      <c r="K882"/>
      <c r="L882"/>
      <c r="M882"/>
      <c r="N882"/>
      <c r="O882"/>
      <c r="P882"/>
      <c r="Q882"/>
    </row>
    <row r="883" spans="1:17" x14ac:dyDescent="0.4">
      <c r="A883"/>
      <c r="B883"/>
      <c r="C883"/>
      <c r="D883"/>
      <c r="E883"/>
      <c r="F883"/>
      <c r="G883"/>
      <c r="H883"/>
      <c r="I883"/>
      <c r="J883"/>
      <c r="K883"/>
      <c r="L883"/>
      <c r="M883"/>
      <c r="N883"/>
      <c r="O883"/>
      <c r="P883"/>
      <c r="Q883"/>
    </row>
    <row r="884" spans="1:17" x14ac:dyDescent="0.4">
      <c r="A884"/>
      <c r="B884"/>
      <c r="C884"/>
      <c r="D884"/>
      <c r="E884"/>
      <c r="F884"/>
      <c r="G884"/>
      <c r="H884"/>
      <c r="I884"/>
      <c r="J884"/>
      <c r="K884"/>
      <c r="L884"/>
      <c r="M884"/>
      <c r="N884"/>
      <c r="O884"/>
      <c r="P884"/>
      <c r="Q884"/>
    </row>
    <row r="885" spans="1:17" x14ac:dyDescent="0.4">
      <c r="A885"/>
      <c r="B885"/>
      <c r="C885"/>
      <c r="D885"/>
      <c r="E885"/>
      <c r="F885"/>
      <c r="G885"/>
      <c r="H885"/>
      <c r="I885"/>
      <c r="J885"/>
      <c r="K885"/>
      <c r="L885"/>
      <c r="M885"/>
      <c r="N885"/>
      <c r="O885"/>
      <c r="P885"/>
      <c r="Q885"/>
    </row>
    <row r="886" spans="1:17" x14ac:dyDescent="0.4">
      <c r="A886"/>
      <c r="B886"/>
      <c r="C886"/>
      <c r="D886"/>
      <c r="E886"/>
      <c r="F886"/>
      <c r="G886"/>
      <c r="H886"/>
      <c r="I886"/>
      <c r="J886"/>
      <c r="K886"/>
      <c r="L886"/>
      <c r="M886"/>
      <c r="N886"/>
      <c r="O886"/>
      <c r="P886"/>
      <c r="Q886"/>
    </row>
    <row r="887" spans="1:17" x14ac:dyDescent="0.4">
      <c r="A887"/>
      <c r="B887"/>
      <c r="C887"/>
      <c r="D887"/>
      <c r="E887"/>
      <c r="F887"/>
      <c r="G887"/>
      <c r="H887"/>
      <c r="I887"/>
      <c r="J887"/>
      <c r="K887"/>
      <c r="L887"/>
      <c r="M887"/>
      <c r="N887"/>
      <c r="O887"/>
      <c r="P887"/>
      <c r="Q887"/>
    </row>
    <row r="888" spans="1:17" x14ac:dyDescent="0.4">
      <c r="A888"/>
      <c r="B888"/>
      <c r="C888"/>
      <c r="D888"/>
      <c r="E888"/>
      <c r="F888"/>
      <c r="G888"/>
      <c r="H888"/>
      <c r="I888"/>
      <c r="J888"/>
      <c r="K888"/>
      <c r="L888"/>
      <c r="M888"/>
      <c r="N888"/>
      <c r="O888"/>
      <c r="P888"/>
      <c r="Q888"/>
    </row>
    <row r="889" spans="1:17" x14ac:dyDescent="0.4">
      <c r="A889"/>
      <c r="B889"/>
      <c r="C889"/>
      <c r="D889"/>
      <c r="E889"/>
      <c r="F889"/>
      <c r="G889"/>
      <c r="H889"/>
      <c r="I889"/>
      <c r="J889"/>
      <c r="K889"/>
      <c r="L889"/>
      <c r="M889"/>
      <c r="N889"/>
      <c r="O889"/>
      <c r="P889"/>
      <c r="Q889"/>
    </row>
    <row r="890" spans="1:17" x14ac:dyDescent="0.4">
      <c r="A890"/>
      <c r="B890"/>
      <c r="C890"/>
      <c r="D890"/>
      <c r="E890"/>
      <c r="F890"/>
      <c r="G890"/>
      <c r="H890"/>
      <c r="I890"/>
      <c r="J890"/>
      <c r="K890"/>
      <c r="L890"/>
      <c r="M890"/>
      <c r="N890"/>
      <c r="O890"/>
      <c r="P890"/>
      <c r="Q890"/>
    </row>
    <row r="891" spans="1:17" x14ac:dyDescent="0.4">
      <c r="A891"/>
      <c r="B891"/>
      <c r="C891"/>
      <c r="D891"/>
      <c r="E891"/>
      <c r="F891"/>
      <c r="G891"/>
      <c r="H891"/>
      <c r="I891"/>
      <c r="J891"/>
      <c r="K891"/>
      <c r="L891"/>
      <c r="M891"/>
      <c r="N891"/>
      <c r="O891"/>
      <c r="P891"/>
      <c r="Q891"/>
    </row>
    <row r="892" spans="1:17" x14ac:dyDescent="0.4">
      <c r="A892"/>
      <c r="B892"/>
      <c r="C892"/>
      <c r="D892"/>
      <c r="E892"/>
      <c r="F892"/>
      <c r="G892"/>
      <c r="H892"/>
      <c r="I892"/>
      <c r="J892"/>
      <c r="K892"/>
      <c r="L892"/>
      <c r="M892"/>
      <c r="N892"/>
      <c r="O892"/>
      <c r="P892"/>
      <c r="Q892"/>
    </row>
    <row r="893" spans="1:17" x14ac:dyDescent="0.4">
      <c r="A893"/>
      <c r="B893"/>
      <c r="C893"/>
      <c r="D893"/>
      <c r="E893"/>
      <c r="F893"/>
      <c r="G893"/>
      <c r="H893"/>
      <c r="I893"/>
      <c r="J893"/>
      <c r="K893"/>
      <c r="L893"/>
      <c r="M893"/>
      <c r="N893"/>
      <c r="O893"/>
      <c r="P893"/>
      <c r="Q893"/>
    </row>
    <row r="894" spans="1:17" x14ac:dyDescent="0.4">
      <c r="A894"/>
      <c r="B894"/>
      <c r="C894"/>
      <c r="D894"/>
      <c r="E894"/>
      <c r="F894"/>
      <c r="G894"/>
      <c r="H894"/>
      <c r="I894"/>
      <c r="J894"/>
      <c r="K894"/>
      <c r="L894"/>
      <c r="M894"/>
      <c r="N894"/>
      <c r="O894"/>
      <c r="P894"/>
      <c r="Q894"/>
    </row>
    <row r="895" spans="1:17" x14ac:dyDescent="0.4">
      <c r="A895"/>
      <c r="B895"/>
      <c r="C895"/>
      <c r="D895"/>
      <c r="E895"/>
      <c r="F895"/>
      <c r="G895"/>
      <c r="H895"/>
      <c r="I895"/>
      <c r="J895"/>
      <c r="K895"/>
      <c r="L895"/>
      <c r="M895"/>
      <c r="N895"/>
      <c r="O895"/>
      <c r="P895"/>
      <c r="Q895"/>
    </row>
    <row r="896" spans="1:17" x14ac:dyDescent="0.4">
      <c r="A896"/>
      <c r="B896"/>
      <c r="C896"/>
      <c r="D896"/>
      <c r="E896"/>
      <c r="F896"/>
      <c r="G896"/>
      <c r="H896"/>
      <c r="I896"/>
      <c r="J896"/>
      <c r="K896"/>
      <c r="L896"/>
      <c r="M896"/>
      <c r="N896"/>
      <c r="O896"/>
      <c r="P896"/>
      <c r="Q896"/>
    </row>
    <row r="897" spans="1:17" x14ac:dyDescent="0.4">
      <c r="A897"/>
      <c r="B897"/>
      <c r="C897"/>
      <c r="D897"/>
      <c r="E897"/>
      <c r="F897"/>
      <c r="G897"/>
      <c r="H897"/>
      <c r="I897"/>
      <c r="J897"/>
      <c r="K897"/>
      <c r="L897"/>
      <c r="M897"/>
      <c r="N897"/>
      <c r="O897"/>
      <c r="P897"/>
      <c r="Q897"/>
    </row>
    <row r="898" spans="1:17" x14ac:dyDescent="0.4">
      <c r="A898"/>
      <c r="B898"/>
      <c r="C898"/>
      <c r="D898"/>
      <c r="E898"/>
      <c r="F898"/>
      <c r="G898"/>
      <c r="H898"/>
      <c r="I898"/>
      <c r="J898"/>
      <c r="K898"/>
      <c r="L898"/>
      <c r="M898"/>
      <c r="N898"/>
      <c r="O898"/>
      <c r="P898"/>
      <c r="Q898"/>
    </row>
    <row r="899" spans="1:17" x14ac:dyDescent="0.4">
      <c r="A899"/>
      <c r="B899"/>
      <c r="C899"/>
      <c r="D899"/>
      <c r="E899"/>
      <c r="F899"/>
      <c r="G899"/>
      <c r="H899"/>
      <c r="I899"/>
      <c r="J899"/>
      <c r="K899"/>
      <c r="L899"/>
      <c r="M899"/>
      <c r="N899"/>
      <c r="O899"/>
      <c r="P899"/>
      <c r="Q899"/>
    </row>
    <row r="900" spans="1:17" x14ac:dyDescent="0.4">
      <c r="A900"/>
      <c r="B900"/>
      <c r="C900"/>
      <c r="D900"/>
      <c r="E900"/>
      <c r="F900"/>
      <c r="G900"/>
      <c r="H900"/>
      <c r="I900"/>
      <c r="J900"/>
      <c r="K900"/>
      <c r="L900"/>
      <c r="M900"/>
      <c r="N900"/>
      <c r="O900"/>
      <c r="P900"/>
      <c r="Q900"/>
    </row>
    <row r="901" spans="1:17" x14ac:dyDescent="0.4">
      <c r="A901"/>
      <c r="B901"/>
      <c r="C901"/>
      <c r="D901"/>
      <c r="E901"/>
      <c r="F901"/>
      <c r="G901"/>
      <c r="H901"/>
      <c r="I901"/>
      <c r="J901"/>
      <c r="K901"/>
      <c r="L901"/>
      <c r="M901"/>
      <c r="N901"/>
      <c r="O901"/>
      <c r="P901"/>
      <c r="Q901"/>
    </row>
    <row r="902" spans="1:17" x14ac:dyDescent="0.4">
      <c r="A902"/>
      <c r="B902"/>
      <c r="C902"/>
      <c r="D902"/>
      <c r="E902"/>
      <c r="F902"/>
      <c r="G902"/>
      <c r="H902"/>
      <c r="I902"/>
      <c r="J902"/>
      <c r="K902"/>
      <c r="L902"/>
      <c r="M902"/>
      <c r="N902"/>
      <c r="O902"/>
      <c r="P902"/>
      <c r="Q902"/>
    </row>
    <row r="903" spans="1:17" x14ac:dyDescent="0.4">
      <c r="A903"/>
      <c r="B903"/>
      <c r="C903"/>
      <c r="D903"/>
      <c r="E903"/>
      <c r="F903"/>
      <c r="G903"/>
      <c r="H903"/>
      <c r="I903"/>
      <c r="J903"/>
      <c r="K903"/>
      <c r="L903"/>
      <c r="M903"/>
      <c r="N903"/>
      <c r="O903"/>
      <c r="P903"/>
      <c r="Q903"/>
    </row>
    <row r="904" spans="1:17" x14ac:dyDescent="0.4">
      <c r="A904"/>
      <c r="B904"/>
      <c r="C904"/>
      <c r="D904"/>
      <c r="E904"/>
      <c r="F904"/>
      <c r="G904"/>
      <c r="H904"/>
      <c r="I904"/>
      <c r="J904"/>
      <c r="K904"/>
      <c r="L904"/>
      <c r="M904"/>
      <c r="N904"/>
      <c r="O904"/>
      <c r="P904"/>
      <c r="Q904"/>
    </row>
    <row r="905" spans="1:17" x14ac:dyDescent="0.4">
      <c r="A905"/>
      <c r="B905"/>
      <c r="C905"/>
      <c r="D905"/>
      <c r="E905"/>
      <c r="F905"/>
      <c r="G905"/>
      <c r="H905"/>
      <c r="I905"/>
      <c r="J905"/>
      <c r="K905"/>
      <c r="L905"/>
      <c r="M905"/>
      <c r="N905"/>
      <c r="O905"/>
      <c r="P905"/>
      <c r="Q905"/>
    </row>
    <row r="906" spans="1:17" x14ac:dyDescent="0.4">
      <c r="A906"/>
      <c r="B906"/>
      <c r="C906"/>
      <c r="D906"/>
      <c r="E906"/>
      <c r="F906"/>
      <c r="G906"/>
      <c r="H906"/>
      <c r="I906"/>
      <c r="J906"/>
      <c r="K906"/>
      <c r="L906"/>
      <c r="M906"/>
      <c r="N906"/>
      <c r="O906"/>
      <c r="P906"/>
      <c r="Q906"/>
    </row>
    <row r="907" spans="1:17" x14ac:dyDescent="0.4">
      <c r="A907"/>
      <c r="B907"/>
      <c r="C907"/>
      <c r="D907"/>
      <c r="E907"/>
      <c r="F907"/>
      <c r="G907"/>
      <c r="H907"/>
      <c r="I907"/>
      <c r="J907"/>
      <c r="K907"/>
      <c r="L907"/>
      <c r="M907"/>
      <c r="N907"/>
      <c r="O907"/>
      <c r="P907"/>
      <c r="Q907"/>
    </row>
    <row r="908" spans="1:17" x14ac:dyDescent="0.4">
      <c r="A908"/>
      <c r="B908"/>
      <c r="C908"/>
      <c r="D908"/>
      <c r="E908"/>
      <c r="F908"/>
      <c r="G908"/>
      <c r="H908"/>
      <c r="I908"/>
      <c r="J908"/>
      <c r="K908"/>
      <c r="L908"/>
      <c r="M908"/>
      <c r="N908"/>
      <c r="O908"/>
      <c r="P908"/>
      <c r="Q908"/>
    </row>
    <row r="909" spans="1:17" x14ac:dyDescent="0.4">
      <c r="A909"/>
      <c r="B909"/>
      <c r="C909"/>
      <c r="D909"/>
      <c r="E909"/>
      <c r="F909"/>
      <c r="G909"/>
      <c r="H909"/>
      <c r="I909"/>
      <c r="J909"/>
      <c r="K909"/>
      <c r="L909"/>
      <c r="M909"/>
      <c r="N909"/>
      <c r="O909"/>
      <c r="P909"/>
      <c r="Q909"/>
    </row>
    <row r="910" spans="1:17" x14ac:dyDescent="0.4">
      <c r="A910"/>
      <c r="B910"/>
      <c r="C910"/>
      <c r="D910"/>
      <c r="E910"/>
      <c r="F910"/>
      <c r="G910"/>
      <c r="H910"/>
      <c r="I910"/>
      <c r="J910"/>
      <c r="K910"/>
      <c r="L910"/>
      <c r="M910"/>
      <c r="N910"/>
      <c r="O910"/>
      <c r="P910"/>
      <c r="Q910"/>
    </row>
    <row r="911" spans="1:17" x14ac:dyDescent="0.4">
      <c r="A911"/>
      <c r="B911"/>
      <c r="C911"/>
      <c r="D911"/>
      <c r="E911"/>
      <c r="F911"/>
      <c r="G911"/>
      <c r="H911"/>
      <c r="I911"/>
      <c r="J911"/>
      <c r="K911"/>
      <c r="L911"/>
      <c r="M911"/>
      <c r="N911"/>
      <c r="O911"/>
      <c r="P911"/>
      <c r="Q911"/>
    </row>
    <row r="912" spans="1:17" x14ac:dyDescent="0.4">
      <c r="A912"/>
      <c r="B912"/>
      <c r="C912"/>
      <c r="D912"/>
      <c r="E912"/>
      <c r="F912"/>
      <c r="G912"/>
      <c r="H912"/>
      <c r="I912"/>
      <c r="J912"/>
      <c r="K912"/>
      <c r="L912"/>
      <c r="M912"/>
      <c r="N912"/>
      <c r="O912"/>
      <c r="P912"/>
      <c r="Q912"/>
    </row>
    <row r="913" spans="1:17" x14ac:dyDescent="0.4">
      <c r="A913"/>
      <c r="B913"/>
      <c r="C913"/>
      <c r="D913"/>
      <c r="E913"/>
      <c r="F913"/>
      <c r="G913"/>
      <c r="H913"/>
      <c r="I913"/>
      <c r="J913"/>
      <c r="K913"/>
      <c r="L913"/>
      <c r="M913"/>
      <c r="N913"/>
      <c r="O913"/>
      <c r="P913"/>
      <c r="Q913"/>
    </row>
    <row r="914" spans="1:17" x14ac:dyDescent="0.4">
      <c r="A914"/>
      <c r="B914"/>
      <c r="C914"/>
      <c r="D914"/>
      <c r="E914"/>
      <c r="F914"/>
      <c r="G914"/>
      <c r="H914"/>
      <c r="I914"/>
      <c r="J914"/>
      <c r="K914"/>
      <c r="L914"/>
      <c r="M914"/>
      <c r="N914"/>
      <c r="O914"/>
      <c r="P914"/>
      <c r="Q914"/>
    </row>
    <row r="915" spans="1:17" x14ac:dyDescent="0.4">
      <c r="A915"/>
      <c r="B915"/>
      <c r="C915"/>
      <c r="D915"/>
      <c r="E915"/>
      <c r="F915"/>
      <c r="G915"/>
      <c r="H915"/>
      <c r="I915"/>
      <c r="J915"/>
      <c r="K915"/>
      <c r="L915"/>
      <c r="M915"/>
      <c r="N915"/>
      <c r="O915"/>
      <c r="P915"/>
      <c r="Q915"/>
    </row>
    <row r="916" spans="1:17" x14ac:dyDescent="0.4">
      <c r="A916"/>
      <c r="B916"/>
      <c r="C916"/>
      <c r="D916"/>
      <c r="E916"/>
      <c r="F916"/>
      <c r="G916"/>
      <c r="H916"/>
      <c r="I916"/>
      <c r="J916"/>
      <c r="K916"/>
      <c r="L916"/>
      <c r="M916"/>
      <c r="N916"/>
      <c r="O916"/>
      <c r="P916"/>
      <c r="Q916"/>
    </row>
    <row r="917" spans="1:17" x14ac:dyDescent="0.4">
      <c r="A917"/>
      <c r="B917"/>
      <c r="C917"/>
      <c r="D917"/>
      <c r="E917"/>
      <c r="F917"/>
      <c r="G917"/>
      <c r="H917"/>
      <c r="I917"/>
      <c r="J917"/>
      <c r="K917"/>
      <c r="L917"/>
      <c r="M917"/>
      <c r="N917"/>
      <c r="O917"/>
      <c r="P917"/>
      <c r="Q917"/>
    </row>
    <row r="918" spans="1:17" x14ac:dyDescent="0.4">
      <c r="A918"/>
      <c r="B918"/>
      <c r="C918"/>
      <c r="D918"/>
      <c r="E918"/>
      <c r="F918"/>
      <c r="G918"/>
      <c r="H918"/>
      <c r="I918"/>
      <c r="J918"/>
      <c r="K918"/>
      <c r="L918"/>
      <c r="M918"/>
      <c r="N918"/>
      <c r="O918"/>
      <c r="P918"/>
      <c r="Q918"/>
    </row>
    <row r="919" spans="1:17" x14ac:dyDescent="0.4">
      <c r="A919"/>
      <c r="B919"/>
      <c r="C919"/>
      <c r="D919"/>
      <c r="E919"/>
      <c r="F919"/>
      <c r="G919"/>
      <c r="H919"/>
      <c r="I919"/>
      <c r="J919"/>
      <c r="K919"/>
      <c r="L919"/>
      <c r="M919"/>
      <c r="N919"/>
      <c r="O919"/>
      <c r="P919"/>
      <c r="Q919"/>
    </row>
    <row r="920" spans="1:17" x14ac:dyDescent="0.4">
      <c r="A920"/>
      <c r="B920"/>
      <c r="C920"/>
      <c r="D920"/>
      <c r="E920"/>
      <c r="F920"/>
      <c r="G920"/>
      <c r="H920"/>
      <c r="I920"/>
      <c r="J920"/>
      <c r="K920"/>
      <c r="L920"/>
      <c r="M920"/>
      <c r="N920"/>
      <c r="O920"/>
      <c r="P920"/>
      <c r="Q920"/>
    </row>
    <row r="921" spans="1:17" x14ac:dyDescent="0.4">
      <c r="A921"/>
      <c r="B921"/>
      <c r="C921"/>
      <c r="D921"/>
      <c r="E921"/>
      <c r="F921"/>
      <c r="G921"/>
      <c r="H921"/>
      <c r="I921"/>
      <c r="J921"/>
      <c r="K921"/>
      <c r="L921"/>
      <c r="M921"/>
      <c r="N921"/>
      <c r="O921"/>
      <c r="P921"/>
      <c r="Q921"/>
    </row>
    <row r="922" spans="1:17" x14ac:dyDescent="0.4">
      <c r="A922"/>
      <c r="B922"/>
      <c r="C922"/>
      <c r="D922"/>
      <c r="E922"/>
      <c r="F922"/>
      <c r="G922"/>
      <c r="H922"/>
      <c r="I922"/>
      <c r="J922"/>
      <c r="K922"/>
      <c r="L922"/>
      <c r="M922"/>
      <c r="N922"/>
      <c r="O922"/>
      <c r="P922"/>
      <c r="Q922"/>
    </row>
    <row r="923" spans="1:17" x14ac:dyDescent="0.4">
      <c r="A923"/>
      <c r="B923"/>
      <c r="C923"/>
      <c r="D923"/>
      <c r="E923"/>
      <c r="F923"/>
      <c r="G923"/>
      <c r="H923"/>
      <c r="I923"/>
      <c r="J923"/>
      <c r="K923"/>
      <c r="L923"/>
      <c r="M923"/>
      <c r="N923"/>
      <c r="O923"/>
      <c r="P923"/>
      <c r="Q923"/>
    </row>
    <row r="924" spans="1:17" x14ac:dyDescent="0.4">
      <c r="A924"/>
      <c r="B924"/>
      <c r="C924"/>
      <c r="D924"/>
      <c r="E924"/>
      <c r="F924"/>
      <c r="G924"/>
      <c r="H924"/>
      <c r="I924"/>
      <c r="J924"/>
      <c r="K924"/>
      <c r="L924"/>
      <c r="M924"/>
      <c r="N924"/>
      <c r="O924"/>
      <c r="P924"/>
      <c r="Q924"/>
    </row>
    <row r="925" spans="1:17" x14ac:dyDescent="0.4">
      <c r="A925"/>
      <c r="B925"/>
      <c r="C925"/>
      <c r="D925"/>
      <c r="E925"/>
      <c r="F925"/>
      <c r="G925"/>
      <c r="H925"/>
      <c r="I925"/>
      <c r="J925"/>
      <c r="K925"/>
      <c r="L925"/>
      <c r="M925"/>
      <c r="N925"/>
      <c r="O925"/>
      <c r="P925"/>
      <c r="Q925"/>
    </row>
    <row r="926" spans="1:17" x14ac:dyDescent="0.4">
      <c r="A926"/>
      <c r="B926"/>
      <c r="C926"/>
      <c r="D926"/>
      <c r="E926"/>
      <c r="F926"/>
      <c r="G926"/>
      <c r="H926"/>
      <c r="I926"/>
      <c r="J926"/>
      <c r="K926"/>
      <c r="L926"/>
      <c r="M926"/>
      <c r="N926"/>
      <c r="O926"/>
      <c r="P926"/>
      <c r="Q926"/>
    </row>
    <row r="927" spans="1:17" x14ac:dyDescent="0.4">
      <c r="A927"/>
      <c r="B927"/>
      <c r="C927"/>
      <c r="D927"/>
      <c r="E927"/>
      <c r="F927"/>
      <c r="G927"/>
      <c r="H927"/>
      <c r="I927"/>
      <c r="J927"/>
      <c r="K927"/>
      <c r="L927"/>
      <c r="M927"/>
      <c r="N927"/>
      <c r="O927"/>
      <c r="P927"/>
      <c r="Q927"/>
    </row>
    <row r="928" spans="1:17" x14ac:dyDescent="0.4">
      <c r="A928"/>
      <c r="B928"/>
      <c r="C928"/>
      <c r="D928"/>
      <c r="E928"/>
      <c r="F928"/>
      <c r="G928"/>
      <c r="H928"/>
      <c r="I928"/>
      <c r="J928"/>
      <c r="K928"/>
      <c r="L928"/>
      <c r="M928"/>
      <c r="N928"/>
      <c r="O928"/>
      <c r="P928"/>
      <c r="Q928"/>
    </row>
    <row r="929" spans="1:17" x14ac:dyDescent="0.4">
      <c r="A929"/>
      <c r="B929"/>
      <c r="C929"/>
      <c r="D929"/>
      <c r="E929"/>
      <c r="F929"/>
      <c r="G929"/>
      <c r="H929"/>
      <c r="I929"/>
      <c r="J929"/>
      <c r="K929"/>
      <c r="L929"/>
      <c r="M929"/>
      <c r="N929"/>
      <c r="O929"/>
      <c r="P929"/>
      <c r="Q929"/>
    </row>
    <row r="930" spans="1:17" x14ac:dyDescent="0.4">
      <c r="A930"/>
      <c r="B930"/>
      <c r="C930"/>
      <c r="D930"/>
      <c r="E930"/>
      <c r="F930"/>
      <c r="G930"/>
      <c r="H930"/>
      <c r="I930"/>
      <c r="J930"/>
      <c r="K930"/>
      <c r="L930"/>
      <c r="M930"/>
      <c r="N930"/>
      <c r="O930"/>
      <c r="P930"/>
      <c r="Q930"/>
    </row>
    <row r="931" spans="1:17" x14ac:dyDescent="0.4">
      <c r="A931"/>
      <c r="B931"/>
      <c r="C931"/>
      <c r="D931"/>
      <c r="E931"/>
      <c r="F931"/>
      <c r="G931"/>
      <c r="H931"/>
      <c r="I931"/>
      <c r="J931"/>
      <c r="K931"/>
      <c r="L931"/>
      <c r="M931"/>
      <c r="N931"/>
      <c r="O931"/>
      <c r="P931"/>
      <c r="Q931"/>
    </row>
    <row r="932" spans="1:17" x14ac:dyDescent="0.4">
      <c r="A932"/>
      <c r="B932"/>
      <c r="C932"/>
      <c r="D932"/>
      <c r="E932"/>
      <c r="F932"/>
      <c r="G932"/>
      <c r="H932"/>
      <c r="I932"/>
      <c r="J932"/>
      <c r="K932"/>
      <c r="L932"/>
      <c r="M932"/>
      <c r="N932"/>
      <c r="O932"/>
      <c r="P932"/>
      <c r="Q932"/>
    </row>
    <row r="933" spans="1:17" x14ac:dyDescent="0.4">
      <c r="A933"/>
      <c r="B933"/>
      <c r="C933"/>
      <c r="D933"/>
      <c r="E933"/>
      <c r="F933"/>
      <c r="G933"/>
      <c r="H933"/>
      <c r="I933"/>
      <c r="J933"/>
      <c r="K933"/>
      <c r="L933"/>
      <c r="M933"/>
      <c r="N933"/>
      <c r="O933"/>
      <c r="P933"/>
      <c r="Q933"/>
    </row>
    <row r="934" spans="1:17" x14ac:dyDescent="0.4">
      <c r="A934"/>
      <c r="B934"/>
      <c r="C934"/>
      <c r="D934"/>
      <c r="E934"/>
      <c r="F934"/>
      <c r="G934"/>
      <c r="H934"/>
      <c r="I934"/>
      <c r="J934"/>
      <c r="K934"/>
      <c r="L934"/>
      <c r="M934"/>
      <c r="N934"/>
      <c r="O934"/>
      <c r="P934"/>
      <c r="Q934"/>
    </row>
    <row r="935" spans="1:17" x14ac:dyDescent="0.4">
      <c r="A935"/>
      <c r="B935"/>
      <c r="C935"/>
      <c r="D935"/>
      <c r="E935"/>
      <c r="F935"/>
      <c r="G935"/>
      <c r="H935"/>
      <c r="I935"/>
      <c r="J935"/>
      <c r="K935"/>
      <c r="L935"/>
      <c r="M935"/>
      <c r="N935"/>
      <c r="O935"/>
      <c r="P935"/>
      <c r="Q935"/>
    </row>
    <row r="936" spans="1:17" x14ac:dyDescent="0.4">
      <c r="A936"/>
      <c r="B936"/>
      <c r="C936"/>
      <c r="D936"/>
      <c r="E936"/>
      <c r="F936"/>
      <c r="G936"/>
      <c r="H936"/>
      <c r="I936"/>
      <c r="J936"/>
      <c r="K936"/>
      <c r="L936"/>
      <c r="M936"/>
      <c r="N936"/>
      <c r="O936"/>
      <c r="P936"/>
      <c r="Q936"/>
    </row>
    <row r="937" spans="1:17" x14ac:dyDescent="0.4">
      <c r="A937"/>
      <c r="B937"/>
      <c r="C937"/>
      <c r="D937"/>
      <c r="E937"/>
      <c r="F937"/>
      <c r="G937"/>
      <c r="H937"/>
      <c r="I937"/>
      <c r="J937"/>
      <c r="K937"/>
      <c r="L937"/>
      <c r="M937"/>
      <c r="N937"/>
      <c r="O937"/>
      <c r="P937"/>
      <c r="Q937"/>
    </row>
    <row r="938" spans="1:17" x14ac:dyDescent="0.4">
      <c r="A938"/>
      <c r="B938"/>
      <c r="C938"/>
      <c r="D938"/>
      <c r="E938"/>
      <c r="F938"/>
      <c r="G938"/>
      <c r="H938"/>
      <c r="I938"/>
      <c r="J938"/>
      <c r="K938"/>
      <c r="L938"/>
      <c r="M938"/>
      <c r="N938"/>
      <c r="O938"/>
      <c r="P938"/>
      <c r="Q938"/>
    </row>
    <row r="939" spans="1:17" x14ac:dyDescent="0.4">
      <c r="A939"/>
      <c r="B939"/>
      <c r="C939"/>
      <c r="D939"/>
      <c r="E939"/>
      <c r="F939"/>
      <c r="G939"/>
      <c r="H939"/>
      <c r="I939"/>
      <c r="J939"/>
      <c r="K939"/>
      <c r="L939"/>
      <c r="M939"/>
      <c r="N939"/>
      <c r="O939"/>
      <c r="P939"/>
      <c r="Q939"/>
    </row>
    <row r="940" spans="1:17" x14ac:dyDescent="0.4">
      <c r="A940"/>
      <c r="B940"/>
      <c r="C940"/>
      <c r="D940"/>
      <c r="E940"/>
      <c r="F940"/>
      <c r="G940"/>
      <c r="H940"/>
      <c r="I940"/>
      <c r="J940"/>
      <c r="K940"/>
      <c r="L940"/>
      <c r="M940"/>
      <c r="N940"/>
      <c r="O940"/>
      <c r="P940"/>
      <c r="Q940"/>
    </row>
    <row r="941" spans="1:17" x14ac:dyDescent="0.4">
      <c r="A941"/>
      <c r="B941"/>
      <c r="C941"/>
      <c r="D941"/>
      <c r="E941"/>
      <c r="F941"/>
      <c r="G941"/>
      <c r="H941"/>
      <c r="I941"/>
      <c r="J941"/>
      <c r="K941"/>
      <c r="L941"/>
      <c r="M941"/>
      <c r="N941"/>
      <c r="O941"/>
      <c r="P941"/>
      <c r="Q941"/>
    </row>
    <row r="942" spans="1:17" x14ac:dyDescent="0.4">
      <c r="A942"/>
      <c r="B942"/>
      <c r="C942"/>
      <c r="D942"/>
      <c r="E942"/>
      <c r="F942"/>
      <c r="G942"/>
      <c r="H942"/>
      <c r="I942"/>
      <c r="J942"/>
      <c r="K942"/>
      <c r="L942"/>
      <c r="M942"/>
      <c r="N942"/>
      <c r="O942"/>
      <c r="P942"/>
      <c r="Q942"/>
    </row>
    <row r="943" spans="1:17" x14ac:dyDescent="0.4">
      <c r="A943"/>
      <c r="B943"/>
      <c r="C943"/>
      <c r="D943"/>
      <c r="E943"/>
      <c r="F943"/>
      <c r="G943"/>
      <c r="H943"/>
      <c r="I943"/>
      <c r="J943"/>
      <c r="K943"/>
      <c r="L943"/>
      <c r="M943"/>
      <c r="N943"/>
      <c r="O943"/>
      <c r="P943"/>
      <c r="Q943"/>
    </row>
    <row r="944" spans="1:17" x14ac:dyDescent="0.4">
      <c r="A944"/>
      <c r="B944"/>
      <c r="C944"/>
      <c r="D944"/>
      <c r="E944"/>
      <c r="F944"/>
      <c r="G944"/>
      <c r="H944"/>
      <c r="I944"/>
      <c r="J944"/>
      <c r="K944"/>
      <c r="L944"/>
      <c r="M944"/>
      <c r="N944"/>
      <c r="O944"/>
      <c r="P944"/>
      <c r="Q944"/>
    </row>
    <row r="945" spans="1:17" x14ac:dyDescent="0.4">
      <c r="A945"/>
      <c r="B945"/>
      <c r="C945"/>
      <c r="D945"/>
      <c r="E945"/>
      <c r="F945"/>
      <c r="G945"/>
      <c r="H945"/>
      <c r="I945"/>
      <c r="J945"/>
      <c r="K945"/>
      <c r="L945"/>
      <c r="M945"/>
      <c r="N945"/>
      <c r="O945"/>
      <c r="P945"/>
      <c r="Q945"/>
    </row>
    <row r="946" spans="1:17" x14ac:dyDescent="0.4">
      <c r="A946"/>
      <c r="B946"/>
      <c r="C946"/>
      <c r="D946"/>
      <c r="E946"/>
      <c r="F946"/>
      <c r="G946"/>
      <c r="H946"/>
      <c r="I946"/>
      <c r="J946"/>
      <c r="K946"/>
      <c r="L946"/>
      <c r="M946"/>
      <c r="N946"/>
      <c r="O946"/>
      <c r="P946"/>
      <c r="Q946"/>
    </row>
    <row r="947" spans="1:17" x14ac:dyDescent="0.4">
      <c r="A947"/>
      <c r="B947"/>
      <c r="C947"/>
      <c r="D947"/>
      <c r="E947"/>
      <c r="F947"/>
      <c r="G947"/>
      <c r="H947"/>
      <c r="I947"/>
      <c r="J947"/>
      <c r="K947"/>
      <c r="L947"/>
      <c r="M947"/>
      <c r="N947"/>
      <c r="O947"/>
      <c r="P947"/>
      <c r="Q947"/>
    </row>
    <row r="948" spans="1:17" x14ac:dyDescent="0.4">
      <c r="A948"/>
      <c r="B948"/>
      <c r="C948"/>
      <c r="D948"/>
      <c r="E948"/>
      <c r="F948"/>
      <c r="G948"/>
      <c r="H948"/>
      <c r="I948"/>
      <c r="J948"/>
      <c r="K948"/>
      <c r="L948"/>
      <c r="M948"/>
      <c r="N948"/>
      <c r="O948"/>
      <c r="P948"/>
      <c r="Q948"/>
    </row>
    <row r="949" spans="1:17" x14ac:dyDescent="0.4">
      <c r="A949"/>
      <c r="B949"/>
      <c r="C949"/>
      <c r="D949"/>
      <c r="E949"/>
      <c r="F949"/>
      <c r="G949"/>
      <c r="H949"/>
      <c r="I949"/>
      <c r="J949"/>
      <c r="K949"/>
      <c r="L949"/>
      <c r="M949"/>
      <c r="N949"/>
      <c r="O949"/>
      <c r="P949"/>
      <c r="Q949"/>
    </row>
    <row r="950" spans="1:17" x14ac:dyDescent="0.4">
      <c r="A950"/>
      <c r="B950"/>
      <c r="C950"/>
      <c r="D950"/>
      <c r="E950"/>
      <c r="F950"/>
      <c r="G950"/>
      <c r="H950"/>
      <c r="I950"/>
      <c r="J950"/>
      <c r="K950"/>
      <c r="L950"/>
      <c r="M950"/>
      <c r="N950"/>
      <c r="O950"/>
      <c r="P950"/>
      <c r="Q950"/>
    </row>
    <row r="951" spans="1:17" x14ac:dyDescent="0.4">
      <c r="A951"/>
      <c r="B951"/>
      <c r="C951"/>
      <c r="D951"/>
      <c r="E951"/>
      <c r="F951"/>
      <c r="G951"/>
      <c r="H951"/>
      <c r="I951"/>
      <c r="J951"/>
      <c r="K951"/>
      <c r="L951"/>
      <c r="M951"/>
      <c r="N951"/>
      <c r="O951"/>
      <c r="P951"/>
      <c r="Q951"/>
    </row>
    <row r="952" spans="1:17" x14ac:dyDescent="0.4">
      <c r="A952"/>
      <c r="B952"/>
      <c r="C952"/>
      <c r="D952"/>
      <c r="E952"/>
      <c r="F952"/>
      <c r="G952"/>
      <c r="H952"/>
      <c r="I952"/>
      <c r="J952"/>
      <c r="K952"/>
      <c r="L952"/>
      <c r="M952"/>
      <c r="N952"/>
      <c r="O952"/>
      <c r="P952"/>
      <c r="Q952"/>
    </row>
    <row r="953" spans="1:17" x14ac:dyDescent="0.4">
      <c r="A953"/>
      <c r="B953"/>
      <c r="C953"/>
      <c r="D953"/>
      <c r="E953"/>
      <c r="F953"/>
      <c r="G953"/>
      <c r="H953"/>
      <c r="I953"/>
      <c r="J953"/>
      <c r="K953"/>
      <c r="L953"/>
      <c r="M953"/>
      <c r="N953"/>
      <c r="O953"/>
      <c r="P953"/>
      <c r="Q953"/>
    </row>
    <row r="954" spans="1:17" x14ac:dyDescent="0.4">
      <c r="A954"/>
      <c r="B954"/>
      <c r="C954"/>
      <c r="D954"/>
      <c r="E954"/>
      <c r="F954"/>
      <c r="G954"/>
      <c r="H954"/>
      <c r="I954"/>
      <c r="J954"/>
      <c r="K954"/>
      <c r="L954"/>
      <c r="M954"/>
      <c r="N954"/>
      <c r="O954"/>
      <c r="P954"/>
      <c r="Q954"/>
    </row>
    <row r="955" spans="1:17" x14ac:dyDescent="0.4">
      <c r="A955"/>
      <c r="B955"/>
      <c r="C955"/>
      <c r="D955"/>
      <c r="E955"/>
      <c r="F955"/>
      <c r="G955"/>
      <c r="H955"/>
      <c r="I955"/>
      <c r="J955"/>
      <c r="K955"/>
      <c r="L955"/>
      <c r="M955"/>
      <c r="N955"/>
      <c r="O955"/>
      <c r="P955"/>
      <c r="Q955"/>
    </row>
    <row r="956" spans="1:17" x14ac:dyDescent="0.4">
      <c r="A956"/>
      <c r="B956"/>
      <c r="C956"/>
      <c r="D956"/>
      <c r="E956"/>
      <c r="F956"/>
      <c r="G956"/>
      <c r="H956"/>
      <c r="I956"/>
      <c r="J956"/>
      <c r="K956"/>
      <c r="L956"/>
      <c r="M956"/>
      <c r="N956"/>
      <c r="O956"/>
      <c r="P956"/>
      <c r="Q956"/>
    </row>
    <row r="957" spans="1:17" x14ac:dyDescent="0.4">
      <c r="A957"/>
      <c r="B957"/>
      <c r="C957"/>
      <c r="D957"/>
      <c r="E957"/>
      <c r="F957"/>
      <c r="G957"/>
      <c r="H957"/>
      <c r="I957"/>
      <c r="J957"/>
      <c r="K957"/>
      <c r="L957"/>
      <c r="M957"/>
      <c r="N957"/>
      <c r="O957"/>
      <c r="P957"/>
      <c r="Q957"/>
    </row>
    <row r="958" spans="1:17" x14ac:dyDescent="0.4">
      <c r="A958"/>
      <c r="B958"/>
      <c r="C958"/>
      <c r="D958"/>
      <c r="E958"/>
      <c r="F958"/>
      <c r="G958"/>
      <c r="H958"/>
      <c r="I958"/>
      <c r="J958"/>
      <c r="K958"/>
      <c r="L958"/>
      <c r="M958"/>
      <c r="N958"/>
      <c r="O958"/>
      <c r="P958"/>
      <c r="Q958"/>
    </row>
    <row r="959" spans="1:17" x14ac:dyDescent="0.4">
      <c r="A959"/>
      <c r="B959"/>
      <c r="C959"/>
      <c r="D959"/>
      <c r="E959"/>
      <c r="F959"/>
      <c r="G959"/>
      <c r="H959"/>
      <c r="I959"/>
      <c r="J959"/>
      <c r="K959"/>
      <c r="L959"/>
      <c r="M959"/>
      <c r="N959"/>
      <c r="O959"/>
      <c r="P959"/>
      <c r="Q959"/>
    </row>
    <row r="960" spans="1:17" x14ac:dyDescent="0.4">
      <c r="A960"/>
      <c r="B960"/>
      <c r="C960"/>
      <c r="D960"/>
      <c r="E960"/>
      <c r="F960"/>
      <c r="G960"/>
      <c r="H960"/>
      <c r="I960"/>
      <c r="J960"/>
      <c r="K960"/>
      <c r="L960"/>
      <c r="M960"/>
      <c r="N960"/>
      <c r="O960"/>
      <c r="P960"/>
      <c r="Q960"/>
    </row>
    <row r="961" spans="1:17" x14ac:dyDescent="0.4">
      <c r="A961"/>
      <c r="B961"/>
      <c r="C961"/>
      <c r="D961"/>
      <c r="E961"/>
      <c r="F961"/>
      <c r="G961"/>
      <c r="H961"/>
      <c r="I961"/>
      <c r="J961"/>
      <c r="K961"/>
      <c r="L961"/>
      <c r="M961"/>
      <c r="N961"/>
      <c r="O961"/>
      <c r="P961"/>
      <c r="Q961"/>
    </row>
    <row r="962" spans="1:17" x14ac:dyDescent="0.4">
      <c r="A962"/>
      <c r="B962"/>
      <c r="C962"/>
      <c r="D962"/>
      <c r="E962"/>
      <c r="F962"/>
      <c r="G962"/>
      <c r="H962"/>
      <c r="I962"/>
      <c r="J962"/>
      <c r="K962"/>
      <c r="L962"/>
      <c r="M962"/>
      <c r="N962"/>
      <c r="O962"/>
      <c r="P962"/>
      <c r="Q962"/>
    </row>
    <row r="963" spans="1:17" x14ac:dyDescent="0.4">
      <c r="A963"/>
      <c r="B963"/>
      <c r="C963"/>
      <c r="D963"/>
      <c r="E963"/>
      <c r="F963"/>
      <c r="G963"/>
      <c r="H963"/>
      <c r="I963"/>
      <c r="J963"/>
      <c r="K963"/>
      <c r="L963"/>
      <c r="M963"/>
      <c r="N963"/>
      <c r="O963"/>
      <c r="P963"/>
      <c r="Q963"/>
    </row>
    <row r="964" spans="1:17" x14ac:dyDescent="0.4">
      <c r="A964"/>
      <c r="B964"/>
      <c r="C964"/>
      <c r="D964"/>
      <c r="E964"/>
      <c r="F964"/>
      <c r="G964"/>
      <c r="H964"/>
      <c r="I964"/>
      <c r="J964"/>
      <c r="K964"/>
      <c r="L964"/>
      <c r="M964"/>
      <c r="N964"/>
      <c r="O964"/>
      <c r="P964"/>
      <c r="Q964"/>
    </row>
    <row r="965" spans="1:17" x14ac:dyDescent="0.4">
      <c r="A965"/>
      <c r="B965"/>
      <c r="C965"/>
      <c r="D965"/>
      <c r="E965"/>
      <c r="F965"/>
      <c r="G965"/>
      <c r="H965"/>
      <c r="I965"/>
      <c r="J965"/>
      <c r="K965"/>
      <c r="L965"/>
      <c r="M965"/>
      <c r="N965"/>
      <c r="O965"/>
      <c r="P965"/>
      <c r="Q965"/>
    </row>
    <row r="966" spans="1:17" x14ac:dyDescent="0.4">
      <c r="A966"/>
      <c r="B966"/>
      <c r="C966"/>
      <c r="D966"/>
      <c r="E966"/>
      <c r="F966"/>
      <c r="G966"/>
      <c r="H966"/>
      <c r="I966"/>
      <c r="J966"/>
      <c r="K966"/>
      <c r="L966"/>
      <c r="M966"/>
      <c r="N966"/>
      <c r="O966"/>
      <c r="P966"/>
      <c r="Q966"/>
    </row>
    <row r="967" spans="1:17" x14ac:dyDescent="0.4">
      <c r="A967"/>
      <c r="B967"/>
      <c r="C967"/>
      <c r="D967"/>
      <c r="E967"/>
      <c r="F967"/>
      <c r="G967"/>
      <c r="H967"/>
      <c r="I967"/>
      <c r="J967"/>
      <c r="K967"/>
      <c r="L967"/>
      <c r="M967"/>
      <c r="N967"/>
      <c r="O967"/>
      <c r="P967"/>
      <c r="Q967"/>
    </row>
    <row r="968" spans="1:17" x14ac:dyDescent="0.4">
      <c r="A968"/>
      <c r="B968"/>
      <c r="C968"/>
      <c r="D968"/>
      <c r="E968"/>
      <c r="F968"/>
      <c r="G968"/>
      <c r="H968"/>
      <c r="I968"/>
      <c r="J968"/>
      <c r="K968"/>
      <c r="L968"/>
      <c r="M968"/>
      <c r="N968"/>
      <c r="O968"/>
      <c r="P968"/>
      <c r="Q968"/>
    </row>
    <row r="969" spans="1:17" x14ac:dyDescent="0.4">
      <c r="A969"/>
      <c r="B969"/>
      <c r="C969"/>
      <c r="D969"/>
      <c r="E969"/>
      <c r="F969"/>
      <c r="G969"/>
      <c r="H969"/>
      <c r="I969"/>
      <c r="J969"/>
      <c r="K969"/>
      <c r="L969"/>
      <c r="M969"/>
      <c r="N969"/>
      <c r="O969"/>
      <c r="P969"/>
      <c r="Q969"/>
    </row>
    <row r="970" spans="1:17" x14ac:dyDescent="0.4">
      <c r="A970"/>
      <c r="B970"/>
      <c r="C970"/>
      <c r="D970"/>
      <c r="E970"/>
      <c r="F970"/>
      <c r="G970"/>
      <c r="H970"/>
      <c r="I970"/>
      <c r="J970"/>
      <c r="K970"/>
      <c r="L970"/>
      <c r="M970"/>
      <c r="N970"/>
      <c r="O970"/>
      <c r="P970"/>
      <c r="Q970"/>
    </row>
    <row r="971" spans="1:17" x14ac:dyDescent="0.4">
      <c r="A971"/>
      <c r="B971"/>
      <c r="C971"/>
      <c r="D971"/>
      <c r="E971"/>
      <c r="F971"/>
      <c r="G971"/>
      <c r="H971"/>
      <c r="I971"/>
      <c r="J971"/>
      <c r="K971"/>
      <c r="L971"/>
      <c r="M971"/>
      <c r="N971"/>
      <c r="O971"/>
      <c r="P971"/>
      <c r="Q971"/>
    </row>
    <row r="972" spans="1:17" x14ac:dyDescent="0.4">
      <c r="A972"/>
      <c r="B972"/>
      <c r="C972"/>
      <c r="D972"/>
      <c r="E972"/>
      <c r="F972"/>
      <c r="G972"/>
      <c r="H972"/>
      <c r="I972"/>
      <c r="J972"/>
      <c r="K972"/>
      <c r="L972"/>
      <c r="M972"/>
      <c r="N972"/>
      <c r="O972"/>
      <c r="P972"/>
      <c r="Q972"/>
    </row>
    <row r="973" spans="1:17" x14ac:dyDescent="0.4">
      <c r="A973"/>
      <c r="B973"/>
      <c r="C973"/>
      <c r="D973"/>
      <c r="E973"/>
      <c r="F973"/>
      <c r="G973"/>
      <c r="H973"/>
      <c r="I973"/>
      <c r="J973"/>
      <c r="K973"/>
      <c r="L973"/>
      <c r="M973"/>
      <c r="N973"/>
      <c r="O973"/>
      <c r="P973"/>
      <c r="Q973"/>
    </row>
    <row r="974" spans="1:17" x14ac:dyDescent="0.4">
      <c r="A974"/>
      <c r="B974"/>
      <c r="C974"/>
      <c r="D974"/>
      <c r="E974"/>
      <c r="F974"/>
      <c r="G974"/>
      <c r="H974"/>
      <c r="I974"/>
      <c r="J974"/>
      <c r="K974"/>
      <c r="L974"/>
      <c r="M974"/>
      <c r="N974"/>
      <c r="O974"/>
      <c r="P974"/>
      <c r="Q974"/>
    </row>
    <row r="975" spans="1:17" x14ac:dyDescent="0.4">
      <c r="A975"/>
      <c r="B975"/>
      <c r="C975"/>
      <c r="D975"/>
      <c r="E975"/>
      <c r="F975"/>
      <c r="G975"/>
      <c r="H975"/>
      <c r="I975"/>
      <c r="J975"/>
      <c r="K975"/>
      <c r="L975"/>
      <c r="M975"/>
      <c r="N975"/>
      <c r="O975"/>
      <c r="P975"/>
      <c r="Q975"/>
    </row>
    <row r="976" spans="1:17" x14ac:dyDescent="0.4">
      <c r="A976"/>
      <c r="B976"/>
      <c r="C976"/>
      <c r="D976"/>
      <c r="E976"/>
      <c r="F976"/>
      <c r="G976"/>
      <c r="H976"/>
      <c r="I976"/>
      <c r="J976"/>
      <c r="K976"/>
      <c r="L976"/>
      <c r="M976"/>
      <c r="N976"/>
      <c r="O976"/>
      <c r="P976"/>
      <c r="Q976"/>
    </row>
    <row r="977" spans="1:17" x14ac:dyDescent="0.4">
      <c r="A977"/>
      <c r="B977"/>
      <c r="C977"/>
      <c r="D977"/>
      <c r="E977"/>
      <c r="F977"/>
      <c r="G977"/>
      <c r="H977"/>
      <c r="I977"/>
      <c r="J977"/>
      <c r="K977"/>
      <c r="L977"/>
      <c r="M977"/>
      <c r="N977"/>
      <c r="O977"/>
      <c r="P977"/>
      <c r="Q977"/>
    </row>
    <row r="978" spans="1:17" x14ac:dyDescent="0.4">
      <c r="A978"/>
      <c r="B978"/>
      <c r="C978"/>
      <c r="D978"/>
      <c r="E978"/>
      <c r="F978"/>
      <c r="G978"/>
      <c r="H978"/>
      <c r="I978"/>
      <c r="J978"/>
      <c r="K978"/>
      <c r="L978"/>
      <c r="M978"/>
      <c r="N978"/>
      <c r="O978"/>
      <c r="P978"/>
      <c r="Q978"/>
    </row>
    <row r="979" spans="1:17" x14ac:dyDescent="0.4">
      <c r="A979"/>
      <c r="B979"/>
      <c r="C979"/>
      <c r="D979"/>
      <c r="E979"/>
      <c r="F979"/>
      <c r="G979"/>
      <c r="H979"/>
      <c r="I979"/>
      <c r="J979"/>
      <c r="K979"/>
      <c r="L979"/>
      <c r="M979"/>
      <c r="N979"/>
      <c r="O979"/>
      <c r="P979"/>
      <c r="Q979"/>
    </row>
    <row r="980" spans="1:17" x14ac:dyDescent="0.4">
      <c r="A980"/>
      <c r="B980"/>
      <c r="C980"/>
      <c r="D980"/>
      <c r="E980"/>
      <c r="F980"/>
      <c r="G980"/>
      <c r="H980"/>
      <c r="I980"/>
      <c r="J980"/>
      <c r="K980"/>
      <c r="L980"/>
      <c r="M980"/>
      <c r="N980"/>
      <c r="O980"/>
      <c r="P980"/>
      <c r="Q980"/>
    </row>
    <row r="981" spans="1:17" x14ac:dyDescent="0.4">
      <c r="A981"/>
      <c r="B981"/>
      <c r="C981"/>
      <c r="D981"/>
      <c r="E981"/>
      <c r="F981"/>
      <c r="G981"/>
      <c r="H981"/>
      <c r="I981"/>
      <c r="J981"/>
      <c r="K981"/>
      <c r="L981"/>
      <c r="M981"/>
      <c r="N981"/>
      <c r="O981"/>
      <c r="P981"/>
      <c r="Q981"/>
    </row>
    <row r="982" spans="1:17" x14ac:dyDescent="0.4">
      <c r="A982"/>
      <c r="B982"/>
      <c r="C982"/>
      <c r="D982"/>
      <c r="E982"/>
      <c r="F982"/>
      <c r="G982"/>
      <c r="H982"/>
      <c r="I982"/>
      <c r="J982"/>
      <c r="K982"/>
      <c r="L982"/>
      <c r="M982"/>
      <c r="N982"/>
      <c r="O982"/>
      <c r="P982"/>
      <c r="Q982"/>
    </row>
    <row r="983" spans="1:17" x14ac:dyDescent="0.4">
      <c r="A983"/>
      <c r="B983"/>
      <c r="C983"/>
      <c r="D983"/>
      <c r="E983"/>
      <c r="F983"/>
      <c r="G983"/>
      <c r="H983"/>
      <c r="I983"/>
      <c r="J983"/>
      <c r="K983"/>
      <c r="L983"/>
      <c r="M983"/>
      <c r="N983"/>
      <c r="O983"/>
      <c r="P983"/>
      <c r="Q983"/>
    </row>
    <row r="984" spans="1:17" x14ac:dyDescent="0.4">
      <c r="A984"/>
      <c r="B984"/>
      <c r="C984"/>
      <c r="D984"/>
      <c r="E984"/>
      <c r="F984"/>
      <c r="G984"/>
      <c r="H984"/>
      <c r="I984"/>
      <c r="J984"/>
      <c r="K984"/>
      <c r="L984"/>
      <c r="M984"/>
      <c r="N984"/>
      <c r="O984"/>
      <c r="P984"/>
      <c r="Q984"/>
    </row>
    <row r="985" spans="1:17" x14ac:dyDescent="0.4">
      <c r="A985"/>
      <c r="B985"/>
      <c r="C985"/>
      <c r="D985"/>
      <c r="E985"/>
      <c r="F985"/>
      <c r="G985"/>
      <c r="H985"/>
      <c r="I985"/>
      <c r="J985"/>
      <c r="K985"/>
      <c r="L985"/>
      <c r="M985"/>
      <c r="N985"/>
      <c r="O985"/>
      <c r="P985"/>
      <c r="Q985"/>
    </row>
    <row r="986" spans="1:17" x14ac:dyDescent="0.4">
      <c r="A986"/>
      <c r="B986"/>
      <c r="C986"/>
      <c r="D986"/>
      <c r="E986"/>
      <c r="F986"/>
      <c r="G986"/>
      <c r="H986"/>
      <c r="I986"/>
      <c r="J986"/>
      <c r="K986"/>
      <c r="L986"/>
      <c r="M986"/>
      <c r="N986"/>
      <c r="O986"/>
      <c r="P986"/>
      <c r="Q986"/>
    </row>
    <row r="987" spans="1:17" x14ac:dyDescent="0.4">
      <c r="A987"/>
      <c r="B987"/>
      <c r="C987"/>
      <c r="D987"/>
      <c r="E987"/>
      <c r="F987"/>
      <c r="G987"/>
      <c r="H987"/>
      <c r="I987"/>
      <c r="J987"/>
      <c r="K987"/>
      <c r="L987"/>
      <c r="M987"/>
      <c r="N987"/>
      <c r="O987"/>
      <c r="P987"/>
      <c r="Q987"/>
    </row>
    <row r="988" spans="1:17" x14ac:dyDescent="0.4">
      <c r="A988"/>
      <c r="B988"/>
      <c r="C988"/>
      <c r="D988"/>
      <c r="E988"/>
      <c r="F988"/>
      <c r="G988"/>
      <c r="H988"/>
      <c r="I988"/>
      <c r="J988"/>
      <c r="K988"/>
      <c r="L988"/>
      <c r="M988"/>
      <c r="N988"/>
      <c r="O988"/>
      <c r="P988"/>
      <c r="Q988"/>
    </row>
    <row r="989" spans="1:17" x14ac:dyDescent="0.4">
      <c r="A989"/>
      <c r="B989"/>
      <c r="C989"/>
      <c r="D989"/>
      <c r="E989"/>
      <c r="F989"/>
      <c r="G989"/>
      <c r="H989"/>
      <c r="I989"/>
      <c r="J989"/>
      <c r="K989"/>
      <c r="L989"/>
      <c r="M989"/>
      <c r="N989"/>
      <c r="O989"/>
      <c r="P989"/>
      <c r="Q989"/>
    </row>
    <row r="990" spans="1:17" x14ac:dyDescent="0.4">
      <c r="A990"/>
      <c r="B990"/>
      <c r="C990"/>
      <c r="D990"/>
      <c r="E990"/>
      <c r="F990"/>
      <c r="G990"/>
      <c r="H990"/>
      <c r="I990"/>
      <c r="J990"/>
      <c r="K990"/>
      <c r="L990"/>
      <c r="M990"/>
      <c r="N990"/>
      <c r="O990"/>
      <c r="P990"/>
      <c r="Q990"/>
    </row>
    <row r="991" spans="1:17" x14ac:dyDescent="0.4">
      <c r="A991"/>
      <c r="B991"/>
      <c r="C991"/>
      <c r="D991"/>
      <c r="E991"/>
      <c r="F991"/>
      <c r="G991"/>
      <c r="H991"/>
      <c r="I991"/>
      <c r="J991"/>
      <c r="K991"/>
      <c r="L991"/>
      <c r="M991"/>
      <c r="N991"/>
      <c r="O991"/>
      <c r="P991"/>
      <c r="Q991"/>
    </row>
    <row r="992" spans="1:17" x14ac:dyDescent="0.4">
      <c r="A992"/>
      <c r="B992"/>
      <c r="C992"/>
      <c r="D992"/>
      <c r="E992"/>
      <c r="F992"/>
      <c r="G992"/>
      <c r="H992"/>
      <c r="I992"/>
      <c r="J992"/>
      <c r="K992"/>
      <c r="L992"/>
      <c r="M992"/>
      <c r="N992"/>
      <c r="O992"/>
      <c r="P992"/>
      <c r="Q992"/>
    </row>
    <row r="993" spans="1:17" x14ac:dyDescent="0.4">
      <c r="A993"/>
      <c r="B993"/>
      <c r="C993"/>
      <c r="D993"/>
      <c r="E993"/>
      <c r="F993"/>
      <c r="G993"/>
      <c r="H993"/>
      <c r="I993"/>
      <c r="J993"/>
      <c r="K993"/>
      <c r="L993"/>
      <c r="M993"/>
      <c r="N993"/>
      <c r="O993"/>
      <c r="P993"/>
      <c r="Q993"/>
    </row>
    <row r="994" spans="1:17" x14ac:dyDescent="0.4">
      <c r="A994"/>
      <c r="B994"/>
      <c r="C994"/>
      <c r="D994"/>
      <c r="E994"/>
      <c r="F994"/>
      <c r="G994"/>
      <c r="H994"/>
      <c r="I994"/>
      <c r="J994"/>
      <c r="K994"/>
      <c r="L994"/>
      <c r="M994"/>
      <c r="N994"/>
      <c r="O994"/>
      <c r="P994"/>
      <c r="Q994"/>
    </row>
    <row r="995" spans="1:17" x14ac:dyDescent="0.4">
      <c r="A995"/>
      <c r="B995"/>
      <c r="C995"/>
      <c r="D995"/>
      <c r="E995"/>
      <c r="F995"/>
      <c r="G995"/>
      <c r="H995"/>
      <c r="I995"/>
      <c r="J995"/>
      <c r="K995"/>
      <c r="L995"/>
      <c r="M995"/>
      <c r="N995"/>
      <c r="O995"/>
      <c r="P995"/>
      <c r="Q995"/>
    </row>
    <row r="996" spans="1:17" x14ac:dyDescent="0.4">
      <c r="A996"/>
      <c r="B996"/>
      <c r="C996"/>
      <c r="D996"/>
      <c r="E996"/>
      <c r="F996"/>
      <c r="G996"/>
      <c r="H996"/>
      <c r="I996"/>
      <c r="J996"/>
      <c r="K996"/>
      <c r="L996"/>
      <c r="M996"/>
      <c r="N996"/>
      <c r="O996"/>
      <c r="P996"/>
      <c r="Q996"/>
    </row>
    <row r="997" spans="1:17" x14ac:dyDescent="0.4">
      <c r="A997"/>
      <c r="B997"/>
      <c r="C997"/>
      <c r="D997"/>
      <c r="E997"/>
      <c r="F997"/>
      <c r="G997"/>
      <c r="H997"/>
      <c r="I997"/>
      <c r="J997"/>
      <c r="K997"/>
      <c r="L997"/>
      <c r="M997"/>
      <c r="N997"/>
      <c r="O997"/>
      <c r="P997"/>
      <c r="Q997"/>
    </row>
    <row r="998" spans="1:17" x14ac:dyDescent="0.4">
      <c r="A998"/>
      <c r="B998"/>
      <c r="C998"/>
      <c r="D998"/>
      <c r="E998"/>
      <c r="F998"/>
      <c r="G998"/>
      <c r="H998"/>
      <c r="I998"/>
      <c r="J998"/>
      <c r="K998"/>
      <c r="L998"/>
      <c r="M998"/>
      <c r="N998"/>
      <c r="O998"/>
      <c r="P998"/>
      <c r="Q998"/>
    </row>
    <row r="999" spans="1:17" x14ac:dyDescent="0.4">
      <c r="A999"/>
      <c r="B999"/>
      <c r="C999"/>
      <c r="D999"/>
      <c r="E999"/>
      <c r="F999"/>
      <c r="G999"/>
      <c r="H999"/>
      <c r="I999"/>
      <c r="J999"/>
      <c r="K999"/>
      <c r="L999"/>
      <c r="M999"/>
      <c r="N999"/>
      <c r="O999"/>
      <c r="P999"/>
      <c r="Q999"/>
    </row>
    <row r="1000" spans="1:17" x14ac:dyDescent="0.4">
      <c r="A1000"/>
      <c r="B1000"/>
      <c r="C1000"/>
      <c r="D1000"/>
      <c r="E1000"/>
      <c r="F1000"/>
      <c r="G1000"/>
      <c r="H1000"/>
      <c r="I1000"/>
      <c r="J1000"/>
      <c r="K1000"/>
      <c r="L1000"/>
      <c r="M1000"/>
      <c r="N1000"/>
      <c r="O1000"/>
      <c r="P1000"/>
      <c r="Q1000"/>
    </row>
  </sheetData>
  <sheetProtection sheet="1" objects="1" scenarios="1"/>
  <mergeCells count="21">
    <mergeCell ref="A7:A8"/>
    <mergeCell ref="N7:N8"/>
    <mergeCell ref="A6:C6"/>
    <mergeCell ref="E6:F6"/>
    <mergeCell ref="G6:J6"/>
    <mergeCell ref="G7:G8"/>
    <mergeCell ref="A4:C4"/>
    <mergeCell ref="E4:F4"/>
    <mergeCell ref="D7:D8"/>
    <mergeCell ref="E7:E8"/>
    <mergeCell ref="F7:F8"/>
    <mergeCell ref="K6:Q6"/>
    <mergeCell ref="B7:B8"/>
    <mergeCell ref="C7:C8"/>
    <mergeCell ref="H7:J7"/>
    <mergeCell ref="P7:P8"/>
    <mergeCell ref="Q7:Q8"/>
    <mergeCell ref="O7:O8"/>
    <mergeCell ref="K7:K8"/>
    <mergeCell ref="L7:L8"/>
    <mergeCell ref="M7:M8"/>
  </mergeCells>
  <phoneticPr fontId="2" type="noConversion"/>
  <pageMargins left="0.19685039370078741" right="0.19685039370078741" top="0.51181102362204722" bottom="0.51181102362204722" header="0.51181102362204722" footer="0.51181102362204722"/>
  <pageSetup paperSize="9" scale="59"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I94"/>
  <sheetViews>
    <sheetView showRowColHeaders="0" showZeros="0" zoomScaleNormal="100" zoomScaleSheetLayoutView="100" workbookViewId="0">
      <selection activeCell="E12" sqref="E12"/>
    </sheetView>
  </sheetViews>
  <sheetFormatPr defaultColWidth="9.1640625" defaultRowHeight="12.3" x14ac:dyDescent="0.4"/>
  <cols>
    <col min="1" max="1" width="1.27734375" style="52" customWidth="1"/>
    <col min="2" max="2" width="28.27734375" style="52" customWidth="1"/>
    <col min="3" max="6" width="10.71875" style="52" customWidth="1"/>
    <col min="7" max="8" width="13.71875" style="52" customWidth="1"/>
    <col min="9" max="9" width="1.44140625" style="52" customWidth="1"/>
    <col min="10" max="16384" width="9.1640625" style="52"/>
  </cols>
  <sheetData>
    <row r="1" spans="2:9" ht="30" customHeight="1" x14ac:dyDescent="0.4">
      <c r="B1" s="195"/>
      <c r="C1" s="196"/>
      <c r="D1" s="196"/>
      <c r="E1" s="196"/>
      <c r="F1" s="196"/>
      <c r="G1" s="196"/>
      <c r="H1" s="196"/>
    </row>
    <row r="2" spans="2:9" ht="25.2" x14ac:dyDescent="0.85">
      <c r="B2" s="203" t="s">
        <v>24</v>
      </c>
      <c r="C2" s="204"/>
      <c r="D2" s="204"/>
      <c r="E2" s="204"/>
      <c r="F2" s="204"/>
      <c r="G2" s="374"/>
      <c r="H2" s="374"/>
      <c r="I2" s="53"/>
    </row>
    <row r="3" spans="2:9" ht="4.5" customHeight="1" x14ac:dyDescent="0.4">
      <c r="B3" s="195"/>
      <c r="C3" s="196"/>
      <c r="D3" s="196"/>
      <c r="E3" s="196"/>
      <c r="F3" s="196"/>
      <c r="G3" s="54"/>
      <c r="H3" s="54"/>
      <c r="I3" s="54"/>
    </row>
    <row r="4" spans="2:9" ht="75.75" customHeight="1" x14ac:dyDescent="0.4">
      <c r="B4" s="205" t="s">
        <v>163</v>
      </c>
      <c r="C4" s="375"/>
      <c r="D4" s="375"/>
      <c r="E4" s="375"/>
      <c r="F4" s="375"/>
      <c r="G4" s="376"/>
      <c r="H4" s="376"/>
    </row>
    <row r="5" spans="2:9" ht="3.75" customHeight="1" x14ac:dyDescent="0.5">
      <c r="B5" s="199"/>
      <c r="C5" s="200"/>
      <c r="D5" s="200"/>
      <c r="E5" s="200"/>
      <c r="F5" s="200"/>
      <c r="G5" s="196"/>
      <c r="H5" s="196"/>
    </row>
    <row r="6" spans="2:9" ht="17.7" x14ac:dyDescent="0.4">
      <c r="B6" s="50" t="s">
        <v>54</v>
      </c>
      <c r="C6" s="384" t="str">
        <f>IF(INTRO!$E$33&lt;&gt;0,INTRO!$E$33," ")</f>
        <v>Mali</v>
      </c>
      <c r="D6" s="384"/>
      <c r="E6" s="384"/>
      <c r="F6" s="384"/>
      <c r="G6" s="50" t="s">
        <v>96</v>
      </c>
      <c r="H6" s="69">
        <f>IF(INTRO!$E$35&lt;&gt;0,INTRO!$E$35," ")</f>
        <v>2018</v>
      </c>
      <c r="I6" s="54"/>
    </row>
    <row r="7" spans="2:9" ht="6" customHeight="1" x14ac:dyDescent="0.5">
      <c r="B7" s="199"/>
      <c r="C7" s="200"/>
      <c r="D7" s="200"/>
      <c r="E7" s="200"/>
      <c r="F7" s="200"/>
      <c r="G7" s="196"/>
      <c r="H7" s="196"/>
      <c r="I7" s="54"/>
    </row>
    <row r="8" spans="2:9" s="68" customFormat="1" ht="16" customHeight="1" x14ac:dyDescent="0.4">
      <c r="B8" s="75" t="s">
        <v>143</v>
      </c>
      <c r="C8" s="25"/>
      <c r="D8" s="25"/>
      <c r="E8" s="25"/>
      <c r="F8" s="25"/>
      <c r="G8" s="25"/>
      <c r="H8" s="25"/>
      <c r="I8" s="67"/>
    </row>
    <row r="9" spans="2:9" ht="3" customHeight="1" thickBot="1" x14ac:dyDescent="0.45">
      <c r="B9" s="54"/>
      <c r="C9" s="54"/>
      <c r="D9" s="54"/>
      <c r="E9" s="54"/>
      <c r="F9" s="54"/>
      <c r="G9" s="54"/>
      <c r="H9" s="54"/>
      <c r="I9" s="54"/>
    </row>
    <row r="10" spans="2:9" s="68" customFormat="1" ht="16" customHeight="1" x14ac:dyDescent="0.4">
      <c r="B10" s="377" t="s">
        <v>136</v>
      </c>
      <c r="C10" s="379" t="s">
        <v>97</v>
      </c>
      <c r="D10" s="380"/>
      <c r="E10" s="380"/>
      <c r="F10" s="381"/>
      <c r="G10" s="382" t="s">
        <v>98</v>
      </c>
      <c r="H10" s="383"/>
      <c r="I10" s="67"/>
    </row>
    <row r="11" spans="2:9" s="68" customFormat="1" ht="25.5" customHeight="1" thickBot="1" x14ac:dyDescent="0.45">
      <c r="B11" s="378"/>
      <c r="C11" s="64" t="s">
        <v>99</v>
      </c>
      <c r="D11" s="65" t="s">
        <v>100</v>
      </c>
      <c r="E11" s="133" t="s">
        <v>102</v>
      </c>
      <c r="F11" s="66" t="s">
        <v>101</v>
      </c>
      <c r="G11" s="95" t="s">
        <v>99</v>
      </c>
      <c r="H11" s="94" t="s">
        <v>101</v>
      </c>
      <c r="I11" s="67"/>
    </row>
    <row r="12" spans="2:9" s="68" customFormat="1" ht="16" customHeight="1" x14ac:dyDescent="0.4">
      <c r="B12" s="72" t="s">
        <v>246</v>
      </c>
      <c r="C12" s="100">
        <v>2081886</v>
      </c>
      <c r="D12" s="101">
        <v>71000</v>
      </c>
      <c r="E12" s="101"/>
      <c r="F12" s="102">
        <f t="shared" ref="F12:F17" si="0">IF(C12&gt;(D12+E12),C12-D12-E12, 0)</f>
        <v>2010886</v>
      </c>
      <c r="G12" s="103">
        <f>IF($C12=0,0, IF($B12="Albendazole pour FL", IF($C12=ALB_MBD!$I$4,ALB_MBD!$U$4,ROUNDUP($C12/200,0)), IF($B12="Albendazole pour STH (EAS)", IF($C12=ALB_MBD!$L$4,ALB_MBD!$X$4,ROUNDUP($C12/200,0)), IF($B12="Mebendazole (EAS)", IF($C12=ALB_MBD!$P$4,ALB_MBD!$AA$4,ROUNDUP($C12/150,0)), IF($B12="Diethylcarbamazine", IF($C12=DEC!$J$4,DEC!$M$4,ROUNDUP($C12/1000,0)), IF($B12="Praziquantel (EAS)", IF($C12=PZQ!$O$4,PZQ!$R$4,ROUNDUP($C12/1000,0)), IF($B12="Ivermectine", IF($C12=IVM!$N$4,IVM!$Q$4,$C12/500+0.49),0)))))))</f>
        <v>10421</v>
      </c>
      <c r="H12" s="104">
        <f t="shared" ref="H12:H17" si="1">IF($F12=0,0,IF(OR($B12="Albendazole pour FL",$B12="Albendazole pour STH (EAS)"),$G12-ROUNDUP(($E12+$D12)/200,0),IF($B12="Ivermectine",$G12-ROUNDUP(($E12+$D12)/500,0),IF($B12="Mebendazole (EAS)",$G12-ROUNDUP(($E12+$D12)/150,0),$G12-ROUNDUP(($E12+$D12)/1000,0)))))</f>
        <v>10066</v>
      </c>
      <c r="I12" s="67"/>
    </row>
    <row r="13" spans="2:9" s="68" customFormat="1" ht="16" customHeight="1" x14ac:dyDescent="0.4">
      <c r="B13" s="73" t="s">
        <v>247</v>
      </c>
      <c r="C13" s="105">
        <v>1002258</v>
      </c>
      <c r="D13" s="106"/>
      <c r="E13" s="106"/>
      <c r="F13" s="107">
        <f t="shared" si="0"/>
        <v>1002258</v>
      </c>
      <c r="G13" s="108">
        <f>IF($C13=0,0, IF($B13="Albendazole pour FL", IF($C13=ALB_MBD!$I$4,ALB_MBD!$U$4,ROUNDUP($C13/200,0)), IF($B13="Albendazole pour STH (EAS)", IF($C13=ALB_MBD!$L$4,ALB_MBD!$X$4,ROUNDUP($C13/200,0)), IF($B13="Mebendazole (EAS)", IF($C13=ALB_MBD!$P$4,ALB_MBD!$AA$4,ROUNDUP($C13/150,0)), IF($B13="Diethylcarbamazine", IF($C13=DEC!$J$4,DEC!$M$4,ROUNDUP($C13/1000,0)), IF($B13="Praziquantel (EAS)", IF($C13=PZQ!$O$4,PZQ!$R$4,ROUNDUP($C13/1000,0)), IF($B13="Ivermectine", IF($C13=IVM!$N$4,IVM!$Q$4,$C13/500+0.49),0)))))))</f>
        <v>5017</v>
      </c>
      <c r="H13" s="109">
        <f t="shared" si="1"/>
        <v>5017</v>
      </c>
      <c r="I13" s="67"/>
    </row>
    <row r="14" spans="2:9" s="68" customFormat="1" ht="16" customHeight="1" x14ac:dyDescent="0.4">
      <c r="B14" s="73" t="s">
        <v>248</v>
      </c>
      <c r="C14" s="105">
        <v>3697663.1999999988</v>
      </c>
      <c r="D14" s="106">
        <v>503398</v>
      </c>
      <c r="E14" s="106"/>
      <c r="F14" s="107">
        <f t="shared" si="0"/>
        <v>3194265.1999999988</v>
      </c>
      <c r="G14" s="108">
        <f>IF($C14=0,0, IF($B14="Albendazole pour FL", IF($C14=ALB_MBD!$I$4,ALB_MBD!$U$4,ROUNDUP($C14/200,0)), IF($B14="Albendazole pour STH (EAS)", IF($C14=ALB_MBD!$L$4,ALB_MBD!$X$4,ROUNDUP($C14/200,0)), IF($B14="Mebendazole (EAS)", IF($C14=ALB_MBD!$P$4,ALB_MBD!$AA$4,ROUNDUP($C14/150,0)), IF($B14="Diethylcarbamazine", IF($C14=DEC!$J$4,DEC!$M$4,ROUNDUP($C14/1000,0)), IF($B14="Praziquantel (EAS)", IF($C14=PZQ!$O$4,PZQ!$R$4,ROUNDUP($C14/1000,0)), IF($B14="Ivermectine", IF($C14=IVM!$N$4,IVM!$Q$4,$C14/500+0.49),0)))))))</f>
        <v>3726</v>
      </c>
      <c r="H14" s="109">
        <f t="shared" si="1"/>
        <v>3222</v>
      </c>
      <c r="I14" s="67"/>
    </row>
    <row r="15" spans="2:9" s="68" customFormat="1" ht="16" customHeight="1" x14ac:dyDescent="0.4">
      <c r="B15" s="73" t="s">
        <v>249</v>
      </c>
      <c r="C15" s="105">
        <v>18950092</v>
      </c>
      <c r="D15" s="106">
        <v>11410659</v>
      </c>
      <c r="E15" s="106"/>
      <c r="F15" s="107">
        <f t="shared" si="0"/>
        <v>7539433</v>
      </c>
      <c r="G15" s="108">
        <f>IF($C15=0,0, IF($B15="Albendazole pour FL", IF($C15=ALB_MBD!$I$4,ALB_MBD!$U$4,ROUNDUP($C15/200,0)), IF($B15="Albendazole pour STH (EAS)", IF($C15=ALB_MBD!$L$4,ALB_MBD!$X$4,ROUNDUP($C15/200,0)), IF($B15="Mebendazole (EAS)", IF($C15=ALB_MBD!$P$4,ALB_MBD!$AA$4,ROUNDUP($C15/150,0)), IF($B15="Diethylcarbamazine", IF($C15=DEC!$J$4,DEC!$M$4,ROUNDUP($C15/1000,0)), IF($B15="Praziquantel (EAS)", IF($C15=PZQ!$O$4,PZQ!$R$4,ROUNDUP($C15/1000,0)), IF($B15="Ivermectine", IF($C15=IVM!$N$4,IVM!$Q$4,$C15/500+0.49),0)))))))</f>
        <v>37925</v>
      </c>
      <c r="H15" s="109">
        <f t="shared" si="1"/>
        <v>15103</v>
      </c>
      <c r="I15" s="67"/>
    </row>
    <row r="16" spans="2:9" s="68" customFormat="1" ht="16" customHeight="1" x14ac:dyDescent="0.4">
      <c r="B16" s="73"/>
      <c r="C16" s="105">
        <v>0</v>
      </c>
      <c r="D16" s="106">
        <v>0</v>
      </c>
      <c r="E16" s="106"/>
      <c r="F16" s="107">
        <f t="shared" si="0"/>
        <v>0</v>
      </c>
      <c r="G16" s="108">
        <f>IF($C16=0,0, IF($B16="Albendazole pour FL", IF($C16=ALB_MBD!$I$4,ALB_MBD!$U$4,ROUNDUP($C16/200,0)), IF($B16="Albendazole pour STH (EAS)", IF($C16=ALB_MBD!$L$4,ALB_MBD!$X$4,ROUNDUP($C16/200,0)), IF($B16="Mebendazole (EAS)", IF($C16=ALB_MBD!$P$4,ALB_MBD!$AA$4,ROUNDUP($C16/150,0)), IF($B16="Diethylcarbamazine", IF($C16=DEC!$J$4,DEC!$M$4,ROUNDUP($C16/1000,0)), IF($B16="Praziquantel (EAS)", IF($C16=PZQ!$O$4,PZQ!$R$4,ROUNDUP($C16/1000,0)), IF($B16="Ivermectine", IF($C16=IVM!$N$4,IVM!$Q$4,$C16/500+0.49),0)))))))</f>
        <v>0</v>
      </c>
      <c r="H16" s="109">
        <f t="shared" si="1"/>
        <v>0</v>
      </c>
      <c r="I16" s="67"/>
    </row>
    <row r="17" spans="2:9" s="68" customFormat="1" ht="16" customHeight="1" thickBot="1" x14ac:dyDescent="0.45">
      <c r="B17" s="74"/>
      <c r="C17" s="110">
        <v>0</v>
      </c>
      <c r="D17" s="111">
        <v>0</v>
      </c>
      <c r="E17" s="111"/>
      <c r="F17" s="112">
        <f t="shared" si="0"/>
        <v>0</v>
      </c>
      <c r="G17" s="113">
        <f>IF($C17=0,0, IF($B17="Albendazole pour FL", IF($C17=ALB_MBD!$I$4,ALB_MBD!$U$4,ROUNDUP($C17/200,0)), IF($B17="Albendazole pour STH (EAS)", IF($C17=ALB_MBD!$L$4,ALB_MBD!$X$4,ROUNDUP($C17/200,0)), IF($B17="Mebendazole (EAS)", IF($C17=ALB_MBD!$P$4,ALB_MBD!$AA$4,ROUNDUP($C17/150,0)), IF($B17="Diethylcarbamazine", IF($C17=DEC!$J$4,DEC!$M$4,ROUNDUP($C17/1000,0)), IF($B17="Praziquantel (EAS)", IF($C17=PZQ!$O$4,PZQ!$R$4,ROUNDUP($C17/1000,0)), IF($B17="Ivermectine", IF($C17=IVM!$N$4,IVM!$Q$4,$C17/500+0.49),0)))))))</f>
        <v>0</v>
      </c>
      <c r="H17" s="114">
        <f t="shared" si="1"/>
        <v>0</v>
      </c>
      <c r="I17" s="67"/>
    </row>
    <row r="18" spans="2:9" ht="6" customHeight="1" x14ac:dyDescent="0.4">
      <c r="B18" s="54"/>
      <c r="C18" s="54"/>
      <c r="D18" s="54"/>
      <c r="E18" s="54"/>
      <c r="F18" s="54"/>
      <c r="G18" s="54"/>
      <c r="H18" s="54"/>
      <c r="I18" s="54"/>
    </row>
    <row r="19" spans="2:9" s="68" customFormat="1" ht="16" customHeight="1" x14ac:dyDescent="0.4">
      <c r="B19" s="75" t="s">
        <v>103</v>
      </c>
      <c r="C19" s="76"/>
      <c r="D19" s="76"/>
      <c r="E19" s="76"/>
      <c r="F19" s="76"/>
      <c r="G19" s="76"/>
      <c r="H19" s="76"/>
      <c r="I19" s="67"/>
    </row>
    <row r="20" spans="2:9" ht="3" customHeight="1" thickBot="1" x14ac:dyDescent="0.45">
      <c r="B20" s="55"/>
      <c r="C20" s="54"/>
      <c r="D20" s="54"/>
      <c r="E20" s="54"/>
      <c r="F20" s="54"/>
      <c r="G20" s="54"/>
      <c r="H20" s="54"/>
      <c r="I20" s="54"/>
    </row>
    <row r="21" spans="2:9" ht="16" customHeight="1" thickBot="1" x14ac:dyDescent="0.45">
      <c r="B21" s="134" t="s">
        <v>104</v>
      </c>
      <c r="C21" s="70"/>
      <c r="D21" s="70"/>
      <c r="E21" s="70"/>
      <c r="F21" s="71"/>
      <c r="G21" s="135" t="s">
        <v>105</v>
      </c>
      <c r="H21" s="136" t="s">
        <v>106</v>
      </c>
      <c r="I21" s="54"/>
    </row>
    <row r="22" spans="2:9" ht="16" customHeight="1" x14ac:dyDescent="0.4">
      <c r="B22" s="72" t="s">
        <v>250</v>
      </c>
      <c r="C22" s="332" t="s">
        <v>107</v>
      </c>
      <c r="D22" s="333"/>
      <c r="E22" s="333"/>
      <c r="F22" s="334"/>
      <c r="G22" s="115">
        <v>2081886</v>
      </c>
      <c r="H22" s="116" t="s">
        <v>254</v>
      </c>
      <c r="I22" s="54"/>
    </row>
    <row r="23" spans="2:9" ht="16" customHeight="1" x14ac:dyDescent="0.4">
      <c r="B23" s="150" t="s">
        <v>252</v>
      </c>
      <c r="C23" s="335"/>
      <c r="D23" s="336"/>
      <c r="E23" s="336"/>
      <c r="F23" s="337"/>
      <c r="G23" s="117">
        <v>4686004</v>
      </c>
      <c r="H23" s="118">
        <v>0</v>
      </c>
      <c r="I23" s="54"/>
    </row>
    <row r="24" spans="2:9" ht="16" customHeight="1" x14ac:dyDescent="0.4">
      <c r="B24" s="73" t="s">
        <v>251</v>
      </c>
      <c r="C24" s="335"/>
      <c r="D24" s="336"/>
      <c r="E24" s="336"/>
      <c r="F24" s="337"/>
      <c r="G24" s="117">
        <v>1479065.2799999996</v>
      </c>
      <c r="H24" s="118" t="s">
        <v>254</v>
      </c>
      <c r="I24" s="54"/>
    </row>
    <row r="25" spans="2:9" ht="16" customHeight="1" thickBot="1" x14ac:dyDescent="0.45">
      <c r="B25" s="74" t="s">
        <v>253</v>
      </c>
      <c r="C25" s="338"/>
      <c r="D25" s="338"/>
      <c r="E25" s="338"/>
      <c r="F25" s="339"/>
      <c r="G25" s="119">
        <v>1735502</v>
      </c>
      <c r="H25" s="120">
        <v>0</v>
      </c>
      <c r="I25" s="54"/>
    </row>
    <row r="26" spans="2:9" ht="6" customHeight="1" x14ac:dyDescent="0.4">
      <c r="B26" s="195"/>
      <c r="C26" s="340"/>
      <c r="D26" s="340"/>
      <c r="E26" s="340"/>
      <c r="F26" s="340"/>
      <c r="G26" s="340"/>
      <c r="H26" s="340"/>
      <c r="I26" s="54"/>
    </row>
    <row r="27" spans="2:9" ht="19.5" customHeight="1" x14ac:dyDescent="0.4">
      <c r="B27" s="96"/>
      <c r="C27" s="96"/>
      <c r="D27" s="96"/>
      <c r="E27" s="96"/>
      <c r="F27" s="96"/>
      <c r="G27" s="96"/>
      <c r="H27" s="96"/>
      <c r="I27" s="54"/>
    </row>
    <row r="28" spans="2:9" ht="3" customHeight="1" x14ac:dyDescent="0.4">
      <c r="B28" s="96"/>
      <c r="C28" s="96"/>
      <c r="D28" s="96"/>
      <c r="E28" s="96"/>
      <c r="F28" s="96"/>
      <c r="G28" s="96"/>
      <c r="H28" s="96"/>
      <c r="I28" s="54"/>
    </row>
    <row r="29" spans="2:9" s="68" customFormat="1" ht="16" customHeight="1" x14ac:dyDescent="0.4">
      <c r="B29" s="121" t="s">
        <v>127</v>
      </c>
      <c r="C29" s="31"/>
      <c r="D29" s="31"/>
      <c r="E29" s="31"/>
      <c r="F29" s="31"/>
      <c r="G29" s="31"/>
      <c r="H29" s="31"/>
    </row>
    <row r="30" spans="2:9" s="57" customFormat="1" ht="3" customHeight="1" thickBot="1" x14ac:dyDescent="0.45">
      <c r="B30" s="63"/>
      <c r="C30" s="52"/>
      <c r="D30" s="52"/>
      <c r="E30" s="52"/>
      <c r="F30" s="52"/>
      <c r="G30" s="52"/>
      <c r="H30" s="52"/>
    </row>
    <row r="31" spans="2:9" ht="53.25" customHeight="1" thickBot="1" x14ac:dyDescent="0.45">
      <c r="B31" s="151" t="s">
        <v>136</v>
      </c>
      <c r="C31" s="355" t="s">
        <v>128</v>
      </c>
      <c r="D31" s="356"/>
      <c r="E31" s="355" t="s">
        <v>129</v>
      </c>
      <c r="F31" s="370"/>
      <c r="G31" s="363" t="s">
        <v>144</v>
      </c>
      <c r="H31" s="364"/>
      <c r="I31" s="54"/>
    </row>
    <row r="32" spans="2:9" x14ac:dyDescent="0.4">
      <c r="B32" s="184" t="s">
        <v>246</v>
      </c>
      <c r="C32" s="183" t="s">
        <v>255</v>
      </c>
      <c r="D32" s="183">
        <v>2018</v>
      </c>
      <c r="E32" s="183"/>
      <c r="F32" s="183"/>
      <c r="G32" s="183" t="s">
        <v>256</v>
      </c>
      <c r="H32" s="185">
        <v>2018</v>
      </c>
      <c r="I32" s="54"/>
    </row>
    <row r="33" spans="2:8" x14ac:dyDescent="0.4">
      <c r="B33" s="79" t="s">
        <v>247</v>
      </c>
      <c r="C33" s="122" t="s">
        <v>255</v>
      </c>
      <c r="D33" s="122">
        <v>2018</v>
      </c>
      <c r="E33" s="122"/>
      <c r="F33" s="122"/>
      <c r="G33" s="122" t="s">
        <v>256</v>
      </c>
      <c r="H33" s="123">
        <v>2018</v>
      </c>
    </row>
    <row r="34" spans="2:8" x14ac:dyDescent="0.4">
      <c r="B34" s="79" t="s">
        <v>248</v>
      </c>
      <c r="C34" s="122" t="s">
        <v>255</v>
      </c>
      <c r="D34" s="122">
        <v>2018</v>
      </c>
      <c r="E34" s="122"/>
      <c r="F34" s="122"/>
      <c r="G34" s="122" t="s">
        <v>256</v>
      </c>
      <c r="H34" s="123">
        <v>2018</v>
      </c>
    </row>
    <row r="35" spans="2:8" x14ac:dyDescent="0.4">
      <c r="B35" s="79" t="s">
        <v>249</v>
      </c>
      <c r="C35" s="122" t="s">
        <v>255</v>
      </c>
      <c r="D35" s="122">
        <v>2018</v>
      </c>
      <c r="E35" s="122"/>
      <c r="F35" s="122"/>
      <c r="G35" s="122" t="s">
        <v>256</v>
      </c>
      <c r="H35" s="123">
        <v>2018</v>
      </c>
    </row>
    <row r="36" spans="2:8" x14ac:dyDescent="0.4">
      <c r="B36" s="79"/>
      <c r="C36" s="122"/>
      <c r="D36" s="122"/>
      <c r="E36" s="122"/>
      <c r="F36" s="122"/>
      <c r="G36" s="122"/>
      <c r="H36" s="123"/>
    </row>
    <row r="37" spans="2:8" ht="12.6" thickBot="1" x14ac:dyDescent="0.45">
      <c r="B37" s="80"/>
      <c r="C37" s="124"/>
      <c r="D37" s="124"/>
      <c r="E37" s="124"/>
      <c r="F37" s="124"/>
      <c r="G37" s="124"/>
      <c r="H37" s="125"/>
    </row>
    <row r="38" spans="2:8" ht="6" customHeight="1" x14ac:dyDescent="0.4">
      <c r="B38" s="152"/>
      <c r="C38" s="153"/>
      <c r="D38" s="153"/>
      <c r="E38" s="154"/>
      <c r="F38" s="154"/>
      <c r="G38" s="155"/>
      <c r="H38" s="155"/>
    </row>
    <row r="39" spans="2:8" ht="28.5" customHeight="1" x14ac:dyDescent="0.4">
      <c r="B39" s="371" t="s">
        <v>145</v>
      </c>
      <c r="C39" s="354"/>
      <c r="D39" s="354"/>
      <c r="E39" s="354"/>
      <c r="F39" s="354"/>
      <c r="G39" s="354"/>
      <c r="H39" s="354"/>
    </row>
    <row r="40" spans="2:8" ht="3" customHeight="1" thickBot="1" x14ac:dyDescent="0.45">
      <c r="B40" s="152"/>
      <c r="C40" s="153"/>
      <c r="D40" s="153"/>
      <c r="E40" s="154"/>
      <c r="F40" s="154"/>
      <c r="G40" s="155"/>
      <c r="H40" s="155"/>
    </row>
    <row r="41" spans="2:8" ht="25.5" customHeight="1" thickBot="1" x14ac:dyDescent="0.45">
      <c r="B41" s="137" t="s">
        <v>136</v>
      </c>
      <c r="C41" s="181" t="s">
        <v>146</v>
      </c>
      <c r="D41" s="181" t="s">
        <v>147</v>
      </c>
      <c r="E41" s="181" t="s">
        <v>148</v>
      </c>
      <c r="F41" s="307" t="s">
        <v>149</v>
      </c>
      <c r="G41" s="308"/>
      <c r="H41" s="182" t="s">
        <v>150</v>
      </c>
    </row>
    <row r="42" spans="2:8" ht="12.75" customHeight="1" x14ac:dyDescent="0.4">
      <c r="B42" s="186" t="s">
        <v>257</v>
      </c>
      <c r="C42" s="188" t="s">
        <v>258</v>
      </c>
      <c r="D42" s="187">
        <v>788459</v>
      </c>
      <c r="E42" s="187">
        <v>2365377</v>
      </c>
      <c r="F42" s="309" t="s">
        <v>259</v>
      </c>
      <c r="G42" s="310"/>
      <c r="H42" s="189" t="s">
        <v>101</v>
      </c>
    </row>
    <row r="43" spans="2:8" ht="12.75" customHeight="1" x14ac:dyDescent="0.4">
      <c r="B43" s="79"/>
      <c r="C43" s="158"/>
      <c r="D43" s="156"/>
      <c r="E43" s="156"/>
      <c r="F43" s="305"/>
      <c r="G43" s="306"/>
      <c r="H43" s="160"/>
    </row>
    <row r="44" spans="2:8" ht="12.75" customHeight="1" x14ac:dyDescent="0.4">
      <c r="B44" s="79"/>
      <c r="C44" s="158"/>
      <c r="D44" s="156"/>
      <c r="E44" s="156"/>
      <c r="F44" s="305"/>
      <c r="G44" s="306"/>
      <c r="H44" s="160"/>
    </row>
    <row r="45" spans="2:8" ht="12.75" customHeight="1" x14ac:dyDescent="0.4">
      <c r="B45" s="79"/>
      <c r="C45" s="158"/>
      <c r="D45" s="156"/>
      <c r="E45" s="156"/>
      <c r="F45" s="305"/>
      <c r="G45" s="306"/>
      <c r="H45" s="160"/>
    </row>
    <row r="46" spans="2:8" ht="12.75" customHeight="1" x14ac:dyDescent="0.4">
      <c r="B46" s="79"/>
      <c r="C46" s="158"/>
      <c r="D46" s="156"/>
      <c r="E46" s="156"/>
      <c r="F46" s="305"/>
      <c r="G46" s="306"/>
      <c r="H46" s="160"/>
    </row>
    <row r="47" spans="2:8" ht="12.75" customHeight="1" x14ac:dyDescent="0.4">
      <c r="B47" s="79"/>
      <c r="C47" s="158"/>
      <c r="D47" s="156"/>
      <c r="E47" s="156"/>
      <c r="F47" s="305"/>
      <c r="G47" s="306"/>
      <c r="H47" s="160"/>
    </row>
    <row r="48" spans="2:8" ht="12.75" customHeight="1" x14ac:dyDescent="0.4">
      <c r="B48" s="79"/>
      <c r="C48" s="158"/>
      <c r="D48" s="156"/>
      <c r="E48" s="156"/>
      <c r="F48" s="305"/>
      <c r="G48" s="306"/>
      <c r="H48" s="160"/>
    </row>
    <row r="49" spans="2:9" ht="12.75" customHeight="1" x14ac:dyDescent="0.4">
      <c r="B49" s="79"/>
      <c r="C49" s="158"/>
      <c r="D49" s="156"/>
      <c r="E49" s="156"/>
      <c r="F49" s="305"/>
      <c r="G49" s="306"/>
      <c r="H49" s="160"/>
    </row>
    <row r="50" spans="2:9" ht="12.75" customHeight="1" x14ac:dyDescent="0.4">
      <c r="B50" s="79"/>
      <c r="C50" s="158"/>
      <c r="D50" s="156"/>
      <c r="E50" s="156"/>
      <c r="F50" s="305"/>
      <c r="G50" s="306"/>
      <c r="H50" s="160"/>
    </row>
    <row r="51" spans="2:9" ht="12.75" customHeight="1" thickBot="1" x14ac:dyDescent="0.45">
      <c r="B51" s="80"/>
      <c r="C51" s="159"/>
      <c r="D51" s="157"/>
      <c r="E51" s="157"/>
      <c r="F51" s="361"/>
      <c r="G51" s="362"/>
      <c r="H51" s="161"/>
    </row>
    <row r="52" spans="2:9" ht="12.75" customHeight="1" x14ac:dyDescent="0.4">
      <c r="B52" s="58"/>
      <c r="C52" s="59"/>
      <c r="D52" s="59"/>
      <c r="E52" s="59"/>
      <c r="F52" s="59"/>
      <c r="G52" s="59"/>
      <c r="H52" s="59"/>
    </row>
    <row r="53" spans="2:9" s="68" customFormat="1" ht="16" customHeight="1" x14ac:dyDescent="0.4">
      <c r="B53" s="75" t="s">
        <v>113</v>
      </c>
      <c r="C53" s="75"/>
      <c r="D53" s="75"/>
      <c r="E53" s="75"/>
      <c r="F53" s="75"/>
      <c r="G53" s="75"/>
      <c r="H53" s="75"/>
    </row>
    <row r="54" spans="2:9" ht="3" customHeight="1" x14ac:dyDescent="0.4">
      <c r="B54" s="347" t="s">
        <v>14</v>
      </c>
      <c r="C54" s="347"/>
      <c r="D54" s="347"/>
      <c r="E54" s="347"/>
      <c r="F54" s="347"/>
      <c r="G54" s="347"/>
      <c r="H54" s="347"/>
      <c r="I54" s="54"/>
    </row>
    <row r="55" spans="2:9" x14ac:dyDescent="0.4">
      <c r="B55" s="351" t="s">
        <v>114</v>
      </c>
      <c r="C55" s="195"/>
      <c r="D55" s="195"/>
      <c r="E55" s="195"/>
      <c r="F55" s="195"/>
      <c r="G55" s="195"/>
      <c r="H55" s="195"/>
      <c r="I55" s="54"/>
    </row>
    <row r="56" spans="2:9" ht="53.25" customHeight="1" x14ac:dyDescent="0.4">
      <c r="B56" s="372" t="s">
        <v>137</v>
      </c>
      <c r="C56" s="373"/>
      <c r="D56" s="373"/>
      <c r="E56" s="373"/>
      <c r="F56" s="373"/>
      <c r="G56" s="373"/>
      <c r="H56" s="373"/>
      <c r="I56" s="54"/>
    </row>
    <row r="57" spans="2:9" x14ac:dyDescent="0.4">
      <c r="B57" s="348" t="s">
        <v>115</v>
      </c>
      <c r="C57" s="368"/>
      <c r="D57" s="368"/>
      <c r="E57" s="368"/>
      <c r="F57" s="368"/>
      <c r="G57" s="368"/>
      <c r="H57" s="369"/>
      <c r="I57" s="54"/>
    </row>
    <row r="58" spans="2:9" x14ac:dyDescent="0.4">
      <c r="B58" s="348" t="s">
        <v>116</v>
      </c>
      <c r="C58" s="368"/>
      <c r="D58" s="368"/>
      <c r="E58" s="368"/>
      <c r="F58" s="368"/>
      <c r="G58" s="368"/>
      <c r="H58" s="369"/>
      <c r="I58" s="54"/>
    </row>
    <row r="59" spans="2:9" ht="12.75" customHeight="1" x14ac:dyDescent="0.4">
      <c r="B59" s="348" t="s">
        <v>138</v>
      </c>
      <c r="C59" s="349"/>
      <c r="D59" s="349"/>
      <c r="E59" s="349"/>
      <c r="F59" s="349"/>
      <c r="G59" s="349"/>
      <c r="H59" s="350"/>
      <c r="I59" s="62"/>
    </row>
    <row r="60" spans="2:9" ht="6" customHeight="1" x14ac:dyDescent="0.4">
      <c r="B60" s="60"/>
      <c r="C60" s="60"/>
      <c r="D60" s="60"/>
      <c r="E60" s="60"/>
      <c r="F60" s="60"/>
      <c r="G60" s="60"/>
      <c r="H60" s="61"/>
      <c r="I60" s="62"/>
    </row>
    <row r="61" spans="2:9" ht="15.75" customHeight="1" x14ac:dyDescent="0.4">
      <c r="B61" s="164" t="s">
        <v>151</v>
      </c>
      <c r="C61" s="165"/>
      <c r="D61" s="165"/>
      <c r="E61" s="165"/>
      <c r="F61" s="165"/>
      <c r="G61" s="165"/>
      <c r="H61" s="165"/>
      <c r="I61" s="54"/>
    </row>
    <row r="62" spans="2:9" ht="3" customHeight="1" thickBot="1" x14ac:dyDescent="0.45">
      <c r="B62" s="163"/>
      <c r="C62" s="162"/>
      <c r="D62" s="162"/>
      <c r="E62" s="162"/>
      <c r="F62" s="162"/>
      <c r="G62" s="162"/>
      <c r="H62" s="162"/>
      <c r="I62" s="54"/>
    </row>
    <row r="63" spans="2:9" ht="16" customHeight="1" thickBot="1" x14ac:dyDescent="0.45">
      <c r="B63" s="314" t="s">
        <v>117</v>
      </c>
      <c r="C63" s="315"/>
      <c r="D63" s="315"/>
      <c r="E63" s="315"/>
      <c r="F63" s="315"/>
      <c r="G63" s="315"/>
      <c r="H63" s="316"/>
      <c r="I63" s="54"/>
    </row>
    <row r="64" spans="2:9" ht="16" customHeight="1" x14ac:dyDescent="0.4">
      <c r="B64" s="341" t="s">
        <v>260</v>
      </c>
      <c r="C64" s="342"/>
      <c r="D64" s="342"/>
      <c r="E64" s="342"/>
      <c r="F64" s="342"/>
      <c r="G64" s="342"/>
      <c r="H64" s="343"/>
      <c r="I64" s="62"/>
    </row>
    <row r="65" spans="2:9" ht="16" customHeight="1" x14ac:dyDescent="0.4">
      <c r="B65" s="344"/>
      <c r="C65" s="345"/>
      <c r="D65" s="345"/>
      <c r="E65" s="345"/>
      <c r="F65" s="345"/>
      <c r="G65" s="345"/>
      <c r="H65" s="346"/>
      <c r="I65" s="54"/>
    </row>
    <row r="66" spans="2:9" ht="16" customHeight="1" thickBot="1" x14ac:dyDescent="0.45">
      <c r="B66" s="317"/>
      <c r="C66" s="318"/>
      <c r="D66" s="318"/>
      <c r="E66" s="318"/>
      <c r="F66" s="318"/>
      <c r="G66" s="318"/>
      <c r="H66" s="319"/>
      <c r="I66" s="54"/>
    </row>
    <row r="67" spans="2:9" ht="6" customHeight="1" x14ac:dyDescent="0.4">
      <c r="I67" s="54"/>
    </row>
    <row r="68" spans="2:9" ht="12.75" customHeight="1" x14ac:dyDescent="0.4">
      <c r="B68" s="360" t="s">
        <v>139</v>
      </c>
      <c r="C68" s="360"/>
      <c r="D68" s="360"/>
      <c r="E68" s="360"/>
      <c r="F68" s="360"/>
      <c r="G68" s="360"/>
      <c r="H68" s="360"/>
      <c r="I68" s="54"/>
    </row>
    <row r="69" spans="2:9" ht="41.25" customHeight="1" x14ac:dyDescent="0.4">
      <c r="B69" s="320" t="s">
        <v>111</v>
      </c>
      <c r="C69" s="320"/>
      <c r="D69" s="320"/>
      <c r="E69" s="320"/>
      <c r="F69" s="320"/>
      <c r="G69" s="320"/>
      <c r="H69" s="321"/>
      <c r="I69" s="62"/>
    </row>
    <row r="70" spans="2:9" ht="6" customHeight="1" x14ac:dyDescent="0.4">
      <c r="B70" s="146"/>
      <c r="C70" s="146"/>
      <c r="D70" s="146"/>
      <c r="E70" s="146"/>
      <c r="F70" s="146"/>
      <c r="G70" s="146"/>
      <c r="H70" s="147"/>
      <c r="I70" s="62"/>
    </row>
    <row r="71" spans="2:9" s="68" customFormat="1" ht="16" customHeight="1" x14ac:dyDescent="0.4">
      <c r="B71" s="77" t="s">
        <v>140</v>
      </c>
      <c r="C71" s="78"/>
      <c r="D71" s="78"/>
      <c r="E71" s="78"/>
      <c r="F71" s="78"/>
      <c r="G71" s="78"/>
      <c r="H71" s="78"/>
    </row>
    <row r="72" spans="2:9" s="57" customFormat="1" ht="3" customHeight="1" thickBot="1" x14ac:dyDescent="0.45">
      <c r="B72" s="56"/>
    </row>
    <row r="73" spans="2:9" ht="12.6" thickBot="1" x14ac:dyDescent="0.45">
      <c r="B73" s="166" t="s">
        <v>108</v>
      </c>
      <c r="C73" s="324" t="s">
        <v>109</v>
      </c>
      <c r="D73" s="325"/>
      <c r="E73" s="326" t="s">
        <v>110</v>
      </c>
      <c r="F73" s="327"/>
      <c r="G73" s="167" t="s">
        <v>8</v>
      </c>
      <c r="H73" s="168" t="s">
        <v>16</v>
      </c>
      <c r="I73" s="54"/>
    </row>
    <row r="74" spans="2:9" x14ac:dyDescent="0.4">
      <c r="B74" s="186" t="s">
        <v>261</v>
      </c>
      <c r="C74" s="312" t="s">
        <v>262</v>
      </c>
      <c r="D74" s="331"/>
      <c r="E74" s="311" t="s">
        <v>263</v>
      </c>
      <c r="F74" s="312"/>
      <c r="G74" s="190" t="s">
        <v>264</v>
      </c>
      <c r="H74" s="191">
        <v>42804</v>
      </c>
      <c r="I74" s="54"/>
    </row>
    <row r="75" spans="2:9" x14ac:dyDescent="0.4">
      <c r="B75" s="79" t="s">
        <v>265</v>
      </c>
      <c r="C75" s="302" t="s">
        <v>266</v>
      </c>
      <c r="D75" s="303"/>
      <c r="E75" s="304" t="s">
        <v>267</v>
      </c>
      <c r="F75" s="302"/>
      <c r="G75" s="192" t="s">
        <v>268</v>
      </c>
      <c r="H75" s="193">
        <v>42804</v>
      </c>
    </row>
    <row r="76" spans="2:9" x14ac:dyDescent="0.4">
      <c r="B76" s="79" t="s">
        <v>269</v>
      </c>
      <c r="C76" s="302" t="s">
        <v>270</v>
      </c>
      <c r="D76" s="303"/>
      <c r="E76" s="304" t="s">
        <v>271</v>
      </c>
      <c r="F76" s="302"/>
      <c r="G76" s="192" t="s">
        <v>272</v>
      </c>
      <c r="H76" s="193">
        <v>42804</v>
      </c>
    </row>
    <row r="77" spans="2:9" ht="12.6" thickBot="1" x14ac:dyDescent="0.45">
      <c r="B77" s="80" t="s">
        <v>273</v>
      </c>
      <c r="C77" s="328" t="s">
        <v>274</v>
      </c>
      <c r="D77" s="329"/>
      <c r="E77" s="330" t="s">
        <v>275</v>
      </c>
      <c r="F77" s="328"/>
      <c r="G77" s="194" t="s">
        <v>276</v>
      </c>
      <c r="H77" s="193">
        <v>42804</v>
      </c>
    </row>
    <row r="78" spans="2:9" ht="6" customHeight="1" x14ac:dyDescent="0.4">
      <c r="B78" s="146"/>
      <c r="C78" s="146"/>
      <c r="D78" s="146"/>
      <c r="E78" s="146"/>
      <c r="F78" s="146"/>
      <c r="G78" s="146"/>
      <c r="H78" s="147"/>
      <c r="I78" s="62"/>
    </row>
    <row r="79" spans="2:9" ht="51" customHeight="1" x14ac:dyDescent="0.4">
      <c r="B79" s="320" t="s">
        <v>152</v>
      </c>
      <c r="C79" s="357"/>
      <c r="D79" s="357"/>
      <c r="E79" s="357"/>
      <c r="F79" s="357"/>
      <c r="G79" s="357"/>
      <c r="H79" s="357"/>
      <c r="I79" s="62"/>
    </row>
    <row r="80" spans="2:9" ht="41.25" customHeight="1" x14ac:dyDescent="0.4">
      <c r="B80" s="320" t="s">
        <v>153</v>
      </c>
      <c r="C80" s="357"/>
      <c r="D80" s="357"/>
      <c r="E80" s="357"/>
      <c r="F80" s="357"/>
      <c r="G80" s="357"/>
      <c r="H80" s="357"/>
      <c r="I80" s="62"/>
    </row>
    <row r="81" spans="2:9" ht="67.5" customHeight="1" x14ac:dyDescent="0.4">
      <c r="B81" s="320" t="s">
        <v>154</v>
      </c>
      <c r="C81" s="357"/>
      <c r="D81" s="357"/>
      <c r="E81" s="357"/>
      <c r="F81" s="357"/>
      <c r="G81" s="357"/>
      <c r="H81" s="357"/>
      <c r="I81" s="62"/>
    </row>
    <row r="82" spans="2:9" ht="45" customHeight="1" x14ac:dyDescent="0.4">
      <c r="B82" s="322" t="s">
        <v>112</v>
      </c>
      <c r="C82" s="323"/>
      <c r="D82" s="358" t="s">
        <v>277</v>
      </c>
      <c r="E82" s="359"/>
      <c r="F82" s="359"/>
      <c r="G82" s="359"/>
      <c r="H82" s="359"/>
      <c r="I82" s="62"/>
    </row>
    <row r="83" spans="2:9" ht="28.5" customHeight="1" x14ac:dyDescent="0.4">
      <c r="B83" s="322" t="s">
        <v>19</v>
      </c>
      <c r="C83" s="354"/>
      <c r="D83" s="352">
        <v>42907</v>
      </c>
      <c r="E83" s="353"/>
      <c r="F83" s="353"/>
      <c r="G83" s="353"/>
      <c r="H83" s="353"/>
      <c r="I83" s="62"/>
    </row>
    <row r="84" spans="2:9" ht="12.75" customHeight="1" x14ac:dyDescent="0.4">
      <c r="B84" s="146"/>
      <c r="C84" s="146"/>
      <c r="D84" s="146"/>
      <c r="E84" s="146"/>
      <c r="F84" s="146"/>
      <c r="G84" s="146"/>
      <c r="H84" s="147"/>
      <c r="I84" s="62"/>
    </row>
    <row r="85" spans="2:9" ht="15.75" customHeight="1" x14ac:dyDescent="0.4">
      <c r="B85" s="169"/>
      <c r="C85" s="169"/>
      <c r="D85" s="169"/>
      <c r="E85" s="169"/>
      <c r="F85" s="169"/>
      <c r="G85" s="169"/>
      <c r="H85" s="169"/>
      <c r="I85" s="54"/>
    </row>
    <row r="86" spans="2:9" ht="25.5" customHeight="1" x14ac:dyDescent="0.4">
      <c r="B86" s="209" t="s">
        <v>122</v>
      </c>
      <c r="C86" s="313"/>
      <c r="D86" s="313"/>
      <c r="E86" s="313"/>
      <c r="F86" s="313"/>
      <c r="G86" s="313"/>
      <c r="H86" s="313"/>
    </row>
    <row r="87" spans="2:9" ht="3" customHeight="1" x14ac:dyDescent="0.4">
      <c r="B87" s="96"/>
      <c r="C87" s="96"/>
      <c r="D87" s="96"/>
      <c r="E87" s="96"/>
      <c r="F87" s="96"/>
      <c r="G87" s="96"/>
      <c r="H87" s="96"/>
    </row>
    <row r="88" spans="2:9" ht="25.5" customHeight="1" x14ac:dyDescent="0.4">
      <c r="B88" s="366" t="s">
        <v>155</v>
      </c>
      <c r="C88" s="367"/>
      <c r="D88" s="367"/>
      <c r="E88" s="367"/>
      <c r="F88" s="367"/>
      <c r="G88" s="367"/>
      <c r="H88" s="367"/>
    </row>
    <row r="89" spans="2:9" ht="3" customHeight="1" x14ac:dyDescent="0.4"/>
    <row r="90" spans="2:9" ht="12.75" customHeight="1" x14ac:dyDescent="0.4">
      <c r="B90" s="143" t="s">
        <v>123</v>
      </c>
      <c r="C90" s="128" t="s">
        <v>23</v>
      </c>
      <c r="D90" s="126"/>
      <c r="E90" s="126"/>
    </row>
    <row r="91" spans="2:9" ht="12.75" customHeight="1" x14ac:dyDescent="0.4">
      <c r="B91" s="143" t="s">
        <v>124</v>
      </c>
      <c r="C91" s="142" t="s">
        <v>126</v>
      </c>
      <c r="D91" s="126"/>
      <c r="E91" s="126"/>
      <c r="F91" s="51"/>
      <c r="G91" s="51"/>
      <c r="H91" s="51"/>
      <c r="I91" s="54"/>
    </row>
    <row r="92" spans="2:9" ht="12.75" customHeight="1" x14ac:dyDescent="0.4">
      <c r="B92" s="141" t="s">
        <v>125</v>
      </c>
      <c r="C92" s="127" t="s">
        <v>22</v>
      </c>
      <c r="D92" s="126"/>
      <c r="E92" s="126"/>
      <c r="F92" s="51"/>
      <c r="G92" s="51"/>
      <c r="H92" s="51"/>
      <c r="I92" s="54"/>
    </row>
    <row r="93" spans="2:9" ht="5.25" customHeight="1" x14ac:dyDescent="0.4">
      <c r="B93" s="351"/>
      <c r="C93" s="195"/>
      <c r="D93" s="195"/>
      <c r="E93" s="195"/>
      <c r="F93" s="195"/>
      <c r="G93" s="195"/>
      <c r="H93" s="195"/>
    </row>
    <row r="94" spans="2:9" ht="77.25" customHeight="1" x14ac:dyDescent="0.4">
      <c r="B94" s="365" t="s">
        <v>141</v>
      </c>
      <c r="C94" s="365"/>
      <c r="D94" s="365"/>
      <c r="E94" s="365"/>
      <c r="F94" s="365"/>
      <c r="G94" s="365"/>
      <c r="H94" s="365"/>
    </row>
  </sheetData>
  <sheetProtection password="CDCA" sheet="1" formatCells="0" formatColumns="0" formatRows="0" insertColumns="0" insertRows="0" insertHyperlinks="0" deleteColumns="0" deleteRows="0" sort="0" autoFilter="0" pivotTables="0"/>
  <mergeCells count="60">
    <mergeCell ref="B1:H1"/>
    <mergeCell ref="B2:H2"/>
    <mergeCell ref="B3:F3"/>
    <mergeCell ref="B4:H4"/>
    <mergeCell ref="B5:H5"/>
    <mergeCell ref="B10:B11"/>
    <mergeCell ref="C10:F10"/>
    <mergeCell ref="G10:H10"/>
    <mergeCell ref="C6:F6"/>
    <mergeCell ref="B7:H7"/>
    <mergeCell ref="B94:H94"/>
    <mergeCell ref="B88:H88"/>
    <mergeCell ref="B93:H93"/>
    <mergeCell ref="B58:H58"/>
    <mergeCell ref="E31:F31"/>
    <mergeCell ref="B57:H57"/>
    <mergeCell ref="B39:H39"/>
    <mergeCell ref="B79:H79"/>
    <mergeCell ref="B80:H80"/>
    <mergeCell ref="B56:H56"/>
    <mergeCell ref="D83:H83"/>
    <mergeCell ref="B83:C83"/>
    <mergeCell ref="C31:D31"/>
    <mergeCell ref="B81:H81"/>
    <mergeCell ref="D82:H82"/>
    <mergeCell ref="B68:H68"/>
    <mergeCell ref="F51:G51"/>
    <mergeCell ref="G31:H31"/>
    <mergeCell ref="F43:G43"/>
    <mergeCell ref="F44:G44"/>
    <mergeCell ref="C77:D77"/>
    <mergeCell ref="E77:F77"/>
    <mergeCell ref="C74:D74"/>
    <mergeCell ref="C22:F25"/>
    <mergeCell ref="B26:H26"/>
    <mergeCell ref="B64:H64"/>
    <mergeCell ref="B65:H65"/>
    <mergeCell ref="B54:H54"/>
    <mergeCell ref="F47:G47"/>
    <mergeCell ref="F48:G48"/>
    <mergeCell ref="F41:G41"/>
    <mergeCell ref="F42:G42"/>
    <mergeCell ref="E74:F74"/>
    <mergeCell ref="E76:F76"/>
    <mergeCell ref="B86:H86"/>
    <mergeCell ref="B63:H63"/>
    <mergeCell ref="B66:H66"/>
    <mergeCell ref="B69:H69"/>
    <mergeCell ref="B82:C82"/>
    <mergeCell ref="C73:D73"/>
    <mergeCell ref="C75:D75"/>
    <mergeCell ref="E75:F75"/>
    <mergeCell ref="C76:D76"/>
    <mergeCell ref="F49:G49"/>
    <mergeCell ref="F45:G45"/>
    <mergeCell ref="F46:G46"/>
    <mergeCell ref="E73:F73"/>
    <mergeCell ref="B59:H59"/>
    <mergeCell ref="B55:H55"/>
    <mergeCell ref="F50:G50"/>
  </mergeCells>
  <phoneticPr fontId="2" type="noConversion"/>
  <dataValidations count="8">
    <dataValidation type="list" allowBlank="1" showInputMessage="1" showErrorMessage="1" sqref="B22:B25">
      <formula1>"Filariose lymphatique,Onchocercose,Schistosomiase,Géohelminthiases"</formula1>
    </dataValidation>
    <dataValidation type="list" allowBlank="1" showInputMessage="1" showErrorMessage="1" sqref="D32:D37 H32:H37 F32:F37">
      <formula1>"2013,2014,2015,2016,2017,2018,2019,2020,2021,2022,2023,2024,2025"</formula1>
    </dataValidation>
    <dataValidation type="list" allowBlank="1" showInputMessage="1" showErrorMessage="1" sqref="C32:C37 E32:E37 G32:G37">
      <formula1>"Janvier,Février,Mars,Avril,Mai,Juin,Juillet,Août,Septembre,Octobre,Novembre,Décembre"</formula1>
    </dataValidation>
    <dataValidation type="list" allowBlank="1" showInputMessage="1" showErrorMessage="1" sqref="B12:B17 B32:B37">
      <formula1>"Diethylcarbamazine,Albendazole pour FL,Albendazole pour STH (EAS),Mebendazole (EAS),Praziquantel (EAS),Ivermectine"</formula1>
    </dataValidation>
    <dataValidation type="list" allowBlank="1" showInputMessage="1" showErrorMessage="1" sqref="C42:C51">
      <formula1>"EAPrés,EAS,Adults,WCBA"</formula1>
    </dataValidation>
    <dataValidation type="list" allowBlank="1" showInputMessage="1" showErrorMessage="1" sqref="B74:B77">
      <formula1>"Coordonnateur MTN/CP,Gestionnaire de Programme FL,Gestionnaire de Programme STH,Gestionnaire de programme SCH,Gestionnaire de programme ONCHO,Gestionnaire de données,autre"</formula1>
    </dataValidation>
    <dataValidation type="list" allowBlank="1" showInputMessage="1" showErrorMessage="1" sqref="H42:H51">
      <formula1>"Requis,Demandés,Reçus"</formula1>
    </dataValidation>
    <dataValidation type="list" allowBlank="1" showInputMessage="1" showErrorMessage="1" sqref="B42:B51">
      <formula1>"Diethylcarbamazine,Albendazole pour FL,Albendazole pour STH,Mebendazole,Praziquantel,Ivermectine"</formula1>
    </dataValidation>
  </dataValidations>
  <hyperlinks>
    <hyperlink ref="G75" r:id="rId1"/>
    <hyperlink ref="G76" r:id="rId2"/>
    <hyperlink ref="G77" r:id="rId3"/>
    <hyperlink ref="G74" r:id="rId4"/>
  </hyperlinks>
  <pageMargins left="0.31496062992125984" right="0.23622047244094491" top="0.51181102362204722" bottom="0.55118110236220474" header="0.51181102362204722" footer="0.51181102362204722"/>
  <pageSetup paperSize="9" scale="95" orientation="portrait" horizontalDpi="300" verticalDpi="300" r:id="rId5"/>
  <headerFooter alignWithMargins="0"/>
  <rowBreaks count="1" manualBreakCount="1">
    <brk id="51" max="8" man="1"/>
  </rowBreaks>
  <drawing r:id="rId6"/>
  <legacyDrawing r:id="rId7"/>
  <mc:AlternateContent xmlns:mc="http://schemas.openxmlformats.org/markup-compatibility/2006">
    <mc:Choice Requires="x14">
      <controls>
        <mc:AlternateContent xmlns:mc="http://schemas.openxmlformats.org/markup-compatibility/2006">
          <mc:Choice Requires="x14">
            <control shapeId="6150" r:id="rId8" name="Button 6">
              <controlPr defaultSize="0" print="0" autoFill="0" autoPict="0" macro="[0]!Sheet7.SUMMARY">
                <anchor moveWithCells="1" sizeWithCells="1">
                  <from>
                    <xdr:col>7</xdr:col>
                    <xdr:colOff>11430</xdr:colOff>
                    <xdr:row>0</xdr:row>
                    <xdr:rowOff>0</xdr:rowOff>
                  </from>
                  <to>
                    <xdr:col>8</xdr:col>
                    <xdr:colOff>11430</xdr:colOff>
                    <xdr:row>0</xdr:row>
                    <xdr:rowOff>0</xdr:rowOff>
                  </to>
                </anchor>
              </controlPr>
            </control>
          </mc:Choice>
        </mc:AlternateContent>
        <mc:AlternateContent xmlns:mc="http://schemas.openxmlformats.org/markup-compatibility/2006">
          <mc:Choice Requires="x14">
            <control shapeId="6167" r:id="rId9" name="Button 23">
              <controlPr defaultSize="0" print="0" autoFill="0" autoPict="0" macro="[0]!Sheet7.DISEASE">
                <anchor moveWithCells="1" sizeWithCells="1">
                  <from>
                    <xdr:col>7</xdr:col>
                    <xdr:colOff>11430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6199" r:id="rId10" name="Button 55">
              <controlPr defaultSize="0" print="0" autoFill="0" autoPict="0" macro="[0]!Sheet7.DISEASE">
                <anchor moveWithCells="1" sizeWithCells="1">
                  <from>
                    <xdr:col>7</xdr:col>
                    <xdr:colOff>0</xdr:colOff>
                    <xdr:row>25</xdr:row>
                    <xdr:rowOff>57150</xdr:rowOff>
                  </from>
                  <to>
                    <xdr:col>8</xdr:col>
                    <xdr:colOff>0</xdr:colOff>
                    <xdr:row>26</xdr:row>
                    <xdr:rowOff>228600</xdr:rowOff>
                  </to>
                </anchor>
              </controlPr>
            </control>
          </mc:Choice>
        </mc:AlternateContent>
        <mc:AlternateContent xmlns:mc="http://schemas.openxmlformats.org/markup-compatibility/2006">
          <mc:Choice Requires="x14">
            <control shapeId="6202" r:id="rId11" name="Check Box 58">
              <controlPr defaultSize="0" autoFill="0" autoLine="0" autoPict="0">
                <anchor moveWithCells="1">
                  <from>
                    <xdr:col>1</xdr:col>
                    <xdr:colOff>87630</xdr:colOff>
                    <xdr:row>55</xdr:row>
                    <xdr:rowOff>640080</xdr:rowOff>
                  </from>
                  <to>
                    <xdr:col>1</xdr:col>
                    <xdr:colOff>400050</xdr:colOff>
                    <xdr:row>57</xdr:row>
                    <xdr:rowOff>19050</xdr:rowOff>
                  </to>
                </anchor>
              </controlPr>
            </control>
          </mc:Choice>
        </mc:AlternateContent>
        <mc:AlternateContent xmlns:mc="http://schemas.openxmlformats.org/markup-compatibility/2006">
          <mc:Choice Requires="x14">
            <control shapeId="6203" r:id="rId12" name="Check Box 59">
              <controlPr defaultSize="0" autoFill="0" autoLine="0" autoPict="0">
                <anchor moveWithCells="1">
                  <from>
                    <xdr:col>1</xdr:col>
                    <xdr:colOff>87630</xdr:colOff>
                    <xdr:row>56</xdr:row>
                    <xdr:rowOff>129540</xdr:rowOff>
                  </from>
                  <to>
                    <xdr:col>1</xdr:col>
                    <xdr:colOff>400050</xdr:colOff>
                    <xdr:row>58</xdr:row>
                    <xdr:rowOff>26670</xdr:rowOff>
                  </to>
                </anchor>
              </controlPr>
            </control>
          </mc:Choice>
        </mc:AlternateContent>
        <mc:AlternateContent xmlns:mc="http://schemas.openxmlformats.org/markup-compatibility/2006">
          <mc:Choice Requires="x14">
            <control shapeId="6204" r:id="rId13" name="Check Box 60">
              <controlPr defaultSize="0" autoFill="0" autoLine="0" autoPict="0">
                <anchor moveWithCells="1">
                  <from>
                    <xdr:col>1</xdr:col>
                    <xdr:colOff>87630</xdr:colOff>
                    <xdr:row>57</xdr:row>
                    <xdr:rowOff>129540</xdr:rowOff>
                  </from>
                  <to>
                    <xdr:col>1</xdr:col>
                    <xdr:colOff>400050</xdr:colOff>
                    <xdr:row>59</xdr:row>
                    <xdr:rowOff>30480</xdr:rowOff>
                  </to>
                </anchor>
              </controlPr>
            </control>
          </mc:Choice>
        </mc:AlternateContent>
        <mc:AlternateContent xmlns:mc="http://schemas.openxmlformats.org/markup-compatibility/2006">
          <mc:Choice Requires="x14">
            <control shapeId="6467" r:id="rId14" name="Button 323">
              <controlPr defaultSize="0" print="0" autoFill="0" autoPict="0" macro="[0]!Sheet7.PrintActiveSheet">
                <anchor moveWithCells="1" sizeWithCells="1">
                  <from>
                    <xdr:col>7</xdr:col>
                    <xdr:colOff>11430</xdr:colOff>
                    <xdr:row>83</xdr:row>
                    <xdr:rowOff>76200</xdr:rowOff>
                  </from>
                  <to>
                    <xdr:col>8</xdr:col>
                    <xdr:colOff>11430</xdr:colOff>
                    <xdr:row>84</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58"/>
  <sheetViews>
    <sheetView showRowColHeaders="0" zoomScaleNormal="100" workbookViewId="0">
      <selection activeCell="K51" sqref="K51"/>
    </sheetView>
  </sheetViews>
  <sheetFormatPr defaultColWidth="9.1640625" defaultRowHeight="12.3" x14ac:dyDescent="0.4"/>
  <cols>
    <col min="1" max="1" width="1.27734375" style="52" customWidth="1"/>
    <col min="2" max="2" width="28.27734375" style="52" customWidth="1"/>
    <col min="3" max="6" width="10.44140625" style="52" customWidth="1"/>
    <col min="7" max="8" width="13.71875" style="52" customWidth="1"/>
    <col min="9" max="9" width="1.44140625" style="52" customWidth="1"/>
    <col min="10" max="16384" width="9.1640625" style="52"/>
  </cols>
  <sheetData>
    <row r="1" spans="1:10" ht="30" customHeight="1" x14ac:dyDescent="0.4">
      <c r="B1" s="195"/>
      <c r="C1" s="196"/>
      <c r="D1" s="196"/>
      <c r="E1" s="196"/>
      <c r="F1" s="196"/>
      <c r="G1" s="196"/>
      <c r="H1" s="196"/>
    </row>
    <row r="2" spans="1:10" ht="25.2" x14ac:dyDescent="0.85">
      <c r="B2" s="203" t="s">
        <v>24</v>
      </c>
      <c r="C2" s="204"/>
      <c r="D2" s="204"/>
      <c r="E2" s="204"/>
      <c r="F2" s="204"/>
      <c r="G2" s="374"/>
      <c r="H2" s="374"/>
      <c r="I2" s="53"/>
    </row>
    <row r="3" spans="1:10" x14ac:dyDescent="0.4">
      <c r="B3" s="195"/>
      <c r="C3" s="196"/>
      <c r="D3" s="196"/>
      <c r="E3" s="196"/>
      <c r="F3" s="196"/>
      <c r="G3" s="54"/>
      <c r="H3" s="54"/>
      <c r="I3" s="54"/>
    </row>
    <row r="4" spans="1:10" ht="17.7" x14ac:dyDescent="0.4">
      <c r="B4" s="50" t="s">
        <v>54</v>
      </c>
      <c r="C4" s="384" t="str">
        <f>IF(INTRO!$E$33&lt;&gt;0,INTRO!$E$33," ")</f>
        <v>Mali</v>
      </c>
      <c r="D4" s="384"/>
      <c r="E4" s="384"/>
      <c r="F4" s="384"/>
      <c r="G4" s="50" t="s">
        <v>96</v>
      </c>
      <c r="H4" s="69">
        <f>IF(INTRO!$E$35&lt;&gt;0,INTRO!$E$35," ")</f>
        <v>2018</v>
      </c>
      <c r="I4" s="54"/>
    </row>
    <row r="5" spans="1:10" ht="15" x14ac:dyDescent="0.5">
      <c r="B5" s="199"/>
      <c r="C5" s="200"/>
      <c r="D5" s="200"/>
      <c r="E5" s="200"/>
      <c r="F5" s="200"/>
      <c r="G5" s="196"/>
      <c r="H5" s="196"/>
      <c r="I5" s="54"/>
    </row>
    <row r="6" spans="1:10" ht="14.2" customHeight="1" x14ac:dyDescent="0.4">
      <c r="A6" s="68"/>
      <c r="B6" s="121" t="s">
        <v>130</v>
      </c>
      <c r="C6" s="31"/>
      <c r="D6" s="31"/>
      <c r="E6" s="31"/>
      <c r="F6" s="31"/>
      <c r="G6" s="31"/>
      <c r="H6" s="31"/>
      <c r="I6" s="68"/>
      <c r="J6" s="68"/>
    </row>
    <row r="7" spans="1:10" ht="3" customHeight="1" thickBot="1" x14ac:dyDescent="0.45">
      <c r="B7" s="195"/>
      <c r="C7" s="195"/>
      <c r="D7" s="195"/>
      <c r="E7" s="195"/>
      <c r="F7" s="195"/>
      <c r="G7" s="195"/>
      <c r="H7" s="195"/>
    </row>
    <row r="8" spans="1:10" ht="27" customHeight="1" thickBot="1" x14ac:dyDescent="0.45">
      <c r="A8" s="68"/>
      <c r="B8" s="148"/>
      <c r="C8" s="422" t="s">
        <v>121</v>
      </c>
      <c r="D8" s="422"/>
      <c r="E8" s="422"/>
      <c r="F8" s="423" t="s">
        <v>131</v>
      </c>
      <c r="G8" s="424"/>
      <c r="H8" s="425"/>
      <c r="I8" s="68"/>
      <c r="J8" s="68"/>
    </row>
    <row r="9" spans="1:10" ht="14.2" customHeight="1" x14ac:dyDescent="0.4">
      <c r="A9" s="68"/>
      <c r="B9" s="140" t="s">
        <v>109</v>
      </c>
      <c r="C9" s="419" t="s">
        <v>278</v>
      </c>
      <c r="D9" s="419"/>
      <c r="E9" s="419"/>
      <c r="F9" s="419" t="s">
        <v>279</v>
      </c>
      <c r="G9" s="419"/>
      <c r="H9" s="426"/>
      <c r="I9" s="68"/>
      <c r="J9" s="68"/>
    </row>
    <row r="10" spans="1:10" ht="14.2" customHeight="1" x14ac:dyDescent="0.4">
      <c r="A10" s="68"/>
      <c r="B10" s="138" t="s">
        <v>118</v>
      </c>
      <c r="C10" s="303" t="s">
        <v>280</v>
      </c>
      <c r="D10" s="303"/>
      <c r="E10" s="303"/>
      <c r="F10" s="303" t="s">
        <v>281</v>
      </c>
      <c r="G10" s="303"/>
      <c r="H10" s="421"/>
      <c r="I10" s="68"/>
      <c r="J10" s="68"/>
    </row>
    <row r="11" spans="1:10" ht="14.2" customHeight="1" x14ac:dyDescent="0.4">
      <c r="A11" s="68"/>
      <c r="B11" s="138" t="s">
        <v>119</v>
      </c>
      <c r="C11" s="303" t="s">
        <v>280</v>
      </c>
      <c r="D11" s="303"/>
      <c r="E11" s="303"/>
      <c r="F11" s="303" t="s">
        <v>282</v>
      </c>
      <c r="G11" s="303"/>
      <c r="H11" s="421"/>
      <c r="I11" s="68"/>
      <c r="J11" s="68"/>
    </row>
    <row r="12" spans="1:10" ht="14.2" customHeight="1" x14ac:dyDescent="0.4">
      <c r="A12" s="68"/>
      <c r="B12" s="138" t="s">
        <v>110</v>
      </c>
      <c r="C12" s="303" t="s">
        <v>283</v>
      </c>
      <c r="D12" s="303"/>
      <c r="E12" s="303"/>
      <c r="F12" s="303" t="s">
        <v>284</v>
      </c>
      <c r="G12" s="303"/>
      <c r="H12" s="421"/>
      <c r="I12" s="68"/>
      <c r="J12" s="68"/>
    </row>
    <row r="13" spans="1:10" ht="14.2" customHeight="1" x14ac:dyDescent="0.4">
      <c r="A13" s="68"/>
      <c r="B13" s="138" t="s">
        <v>21</v>
      </c>
      <c r="C13" s="303" t="s">
        <v>285</v>
      </c>
      <c r="D13" s="303"/>
      <c r="E13" s="303"/>
      <c r="F13" s="303" t="s">
        <v>286</v>
      </c>
      <c r="G13" s="303"/>
      <c r="H13" s="421"/>
      <c r="I13" s="68"/>
      <c r="J13" s="68"/>
    </row>
    <row r="14" spans="1:10" ht="14.2" customHeight="1" x14ac:dyDescent="0.4">
      <c r="A14" s="68"/>
      <c r="B14" s="138" t="s">
        <v>20</v>
      </c>
      <c r="C14" s="303" t="s">
        <v>287</v>
      </c>
      <c r="D14" s="303"/>
      <c r="E14" s="303"/>
      <c r="F14" s="303" t="s">
        <v>288</v>
      </c>
      <c r="G14" s="303"/>
      <c r="H14" s="421"/>
      <c r="I14" s="68"/>
      <c r="J14" s="68"/>
    </row>
    <row r="15" spans="1:10" ht="14.2" customHeight="1" thickBot="1" x14ac:dyDescent="0.45">
      <c r="A15" s="68"/>
      <c r="B15" s="139" t="s">
        <v>120</v>
      </c>
      <c r="C15" s="329">
        <v>99</v>
      </c>
      <c r="D15" s="329"/>
      <c r="E15" s="329"/>
      <c r="F15" s="329">
        <v>233</v>
      </c>
      <c r="G15" s="329"/>
      <c r="H15" s="420"/>
      <c r="I15" s="68"/>
      <c r="J15" s="68"/>
    </row>
    <row r="16" spans="1:10" ht="3" customHeight="1" thickBot="1" x14ac:dyDescent="0.45">
      <c r="B16" s="351"/>
      <c r="C16" s="195"/>
      <c r="D16" s="195"/>
      <c r="E16" s="195"/>
      <c r="F16" s="195"/>
      <c r="G16" s="195"/>
      <c r="H16" s="195"/>
    </row>
    <row r="17" spans="1:10" ht="27" customHeight="1" thickBot="1" x14ac:dyDescent="0.45">
      <c r="A17" s="68"/>
      <c r="B17" s="148"/>
      <c r="C17" s="422" t="s">
        <v>121</v>
      </c>
      <c r="D17" s="422"/>
      <c r="E17" s="422"/>
      <c r="F17" s="423" t="s">
        <v>131</v>
      </c>
      <c r="G17" s="424"/>
      <c r="H17" s="425"/>
      <c r="I17" s="68"/>
      <c r="J17" s="68"/>
    </row>
    <row r="18" spans="1:10" ht="14.2" customHeight="1" x14ac:dyDescent="0.4">
      <c r="A18" s="68"/>
      <c r="B18" s="140" t="s">
        <v>109</v>
      </c>
      <c r="C18" s="417"/>
      <c r="D18" s="417"/>
      <c r="E18" s="417"/>
      <c r="F18" s="417"/>
      <c r="G18" s="417"/>
      <c r="H18" s="418"/>
      <c r="I18" s="68"/>
      <c r="J18" s="68"/>
    </row>
    <row r="19" spans="1:10" ht="14.2" customHeight="1" x14ac:dyDescent="0.4">
      <c r="A19" s="68"/>
      <c r="B19" s="138" t="s">
        <v>118</v>
      </c>
      <c r="C19" s="395"/>
      <c r="D19" s="395"/>
      <c r="E19" s="395"/>
      <c r="F19" s="395"/>
      <c r="G19" s="395"/>
      <c r="H19" s="396"/>
      <c r="I19" s="68"/>
      <c r="J19" s="68"/>
    </row>
    <row r="20" spans="1:10" ht="14.2" customHeight="1" x14ac:dyDescent="0.4">
      <c r="A20" s="68"/>
      <c r="B20" s="138" t="s">
        <v>119</v>
      </c>
      <c r="C20" s="395"/>
      <c r="D20" s="395"/>
      <c r="E20" s="395"/>
      <c r="F20" s="395"/>
      <c r="G20" s="395"/>
      <c r="H20" s="396"/>
      <c r="I20" s="68"/>
      <c r="J20" s="68"/>
    </row>
    <row r="21" spans="1:10" ht="14.2" customHeight="1" x14ac:dyDescent="0.4">
      <c r="A21" s="68"/>
      <c r="B21" s="138" t="s">
        <v>110</v>
      </c>
      <c r="C21" s="395"/>
      <c r="D21" s="395"/>
      <c r="E21" s="395"/>
      <c r="F21" s="395"/>
      <c r="G21" s="395"/>
      <c r="H21" s="396"/>
      <c r="I21" s="68"/>
      <c r="J21" s="68"/>
    </row>
    <row r="22" spans="1:10" ht="14.2" customHeight="1" x14ac:dyDescent="0.4">
      <c r="A22" s="68"/>
      <c r="B22" s="138" t="s">
        <v>21</v>
      </c>
      <c r="C22" s="395"/>
      <c r="D22" s="395"/>
      <c r="E22" s="395"/>
      <c r="F22" s="395"/>
      <c r="G22" s="395"/>
      <c r="H22" s="396"/>
      <c r="I22" s="68"/>
      <c r="J22" s="68"/>
    </row>
    <row r="23" spans="1:10" ht="14.2" customHeight="1" x14ac:dyDescent="0.4">
      <c r="A23" s="68"/>
      <c r="B23" s="138" t="s">
        <v>20</v>
      </c>
      <c r="C23" s="395"/>
      <c r="D23" s="395"/>
      <c r="E23" s="395"/>
      <c r="F23" s="395"/>
      <c r="G23" s="395"/>
      <c r="H23" s="396"/>
      <c r="I23" s="68"/>
      <c r="J23" s="68"/>
    </row>
    <row r="24" spans="1:10" ht="14.2" customHeight="1" thickBot="1" x14ac:dyDescent="0.45">
      <c r="A24" s="68"/>
      <c r="B24" s="139" t="s">
        <v>120</v>
      </c>
      <c r="C24" s="397"/>
      <c r="D24" s="397"/>
      <c r="E24" s="397"/>
      <c r="F24" s="397"/>
      <c r="G24" s="397"/>
      <c r="H24" s="398"/>
      <c r="I24" s="68"/>
      <c r="J24" s="68"/>
    </row>
    <row r="25" spans="1:10" ht="3" customHeight="1" thickBot="1" x14ac:dyDescent="0.45"/>
    <row r="26" spans="1:10" ht="27" customHeight="1" thickBot="1" x14ac:dyDescent="0.45">
      <c r="A26" s="68"/>
      <c r="B26" s="148"/>
      <c r="C26" s="422" t="s">
        <v>121</v>
      </c>
      <c r="D26" s="422"/>
      <c r="E26" s="422"/>
      <c r="F26" s="423" t="s">
        <v>131</v>
      </c>
      <c r="G26" s="424"/>
      <c r="H26" s="425"/>
      <c r="I26" s="68"/>
      <c r="J26" s="68"/>
    </row>
    <row r="27" spans="1:10" ht="14.2" customHeight="1" x14ac:dyDescent="0.4">
      <c r="A27" s="68"/>
      <c r="B27" s="140" t="s">
        <v>109</v>
      </c>
      <c r="C27" s="419"/>
      <c r="D27" s="417"/>
      <c r="E27" s="417"/>
      <c r="F27" s="417"/>
      <c r="G27" s="417"/>
      <c r="H27" s="418"/>
      <c r="I27" s="68"/>
      <c r="J27" s="68"/>
    </row>
    <row r="28" spans="1:10" ht="14.2" customHeight="1" x14ac:dyDescent="0.4">
      <c r="A28" s="68"/>
      <c r="B28" s="138" t="s">
        <v>118</v>
      </c>
      <c r="C28" s="395"/>
      <c r="D28" s="395"/>
      <c r="E28" s="395"/>
      <c r="F28" s="395"/>
      <c r="G28" s="395"/>
      <c r="H28" s="396"/>
      <c r="I28" s="68"/>
      <c r="J28" s="68"/>
    </row>
    <row r="29" spans="1:10" ht="14.2" customHeight="1" x14ac:dyDescent="0.4">
      <c r="A29" s="68"/>
      <c r="B29" s="138" t="s">
        <v>119</v>
      </c>
      <c r="C29" s="303"/>
      <c r="D29" s="395"/>
      <c r="E29" s="395"/>
      <c r="F29" s="395"/>
      <c r="G29" s="395"/>
      <c r="H29" s="396"/>
      <c r="I29" s="68"/>
      <c r="J29" s="68"/>
    </row>
    <row r="30" spans="1:10" ht="14.2" customHeight="1" x14ac:dyDescent="0.4">
      <c r="A30" s="68"/>
      <c r="B30" s="138" t="s">
        <v>110</v>
      </c>
      <c r="C30" s="395"/>
      <c r="D30" s="395"/>
      <c r="E30" s="395"/>
      <c r="F30" s="303"/>
      <c r="G30" s="395"/>
      <c r="H30" s="396"/>
      <c r="I30" s="68"/>
      <c r="J30" s="68"/>
    </row>
    <row r="31" spans="1:10" ht="14.2" customHeight="1" x14ac:dyDescent="0.4">
      <c r="A31" s="68"/>
      <c r="B31" s="138" t="s">
        <v>21</v>
      </c>
      <c r="C31" s="395"/>
      <c r="D31" s="395"/>
      <c r="E31" s="395"/>
      <c r="F31" s="395"/>
      <c r="G31" s="395"/>
      <c r="H31" s="396"/>
      <c r="I31" s="68"/>
      <c r="J31" s="68"/>
    </row>
    <row r="32" spans="1:10" ht="14.2" customHeight="1" x14ac:dyDescent="0.4">
      <c r="A32" s="68"/>
      <c r="B32" s="138" t="s">
        <v>20</v>
      </c>
      <c r="C32" s="395"/>
      <c r="D32" s="395"/>
      <c r="E32" s="395"/>
      <c r="F32" s="303"/>
      <c r="G32" s="395"/>
      <c r="H32" s="396"/>
      <c r="I32" s="68"/>
      <c r="J32" s="68"/>
    </row>
    <row r="33" spans="1:10" ht="14.2" customHeight="1" thickBot="1" x14ac:dyDescent="0.45">
      <c r="A33" s="68"/>
      <c r="B33" s="139" t="s">
        <v>120</v>
      </c>
      <c r="C33" s="397"/>
      <c r="D33" s="397"/>
      <c r="E33" s="397"/>
      <c r="F33" s="397"/>
      <c r="G33" s="397"/>
      <c r="H33" s="398"/>
      <c r="I33" s="68"/>
      <c r="J33" s="68"/>
    </row>
    <row r="34" spans="1:10" ht="3" customHeight="1" x14ac:dyDescent="0.4"/>
    <row r="35" spans="1:10" ht="12.75" customHeight="1" x14ac:dyDescent="0.4">
      <c r="B35" s="121" t="s">
        <v>156</v>
      </c>
      <c r="C35" s="31"/>
      <c r="D35" s="31"/>
      <c r="E35" s="31"/>
      <c r="F35" s="31"/>
      <c r="G35" s="31"/>
      <c r="H35" s="31"/>
    </row>
    <row r="36" spans="1:10" ht="3" customHeight="1" x14ac:dyDescent="0.4">
      <c r="B36" s="415"/>
      <c r="C36" s="416"/>
      <c r="D36" s="416"/>
      <c r="E36" s="416"/>
      <c r="F36" s="416"/>
      <c r="G36" s="416"/>
      <c r="H36" s="416"/>
    </row>
    <row r="37" spans="1:10" ht="12.75" customHeight="1" x14ac:dyDescent="0.4">
      <c r="B37" s="275" t="s">
        <v>162</v>
      </c>
      <c r="C37" s="399"/>
      <c r="D37" s="399"/>
      <c r="E37" s="399"/>
      <c r="F37" s="399"/>
      <c r="G37" s="400"/>
      <c r="H37" s="122" t="s">
        <v>243</v>
      </c>
    </row>
    <row r="38" spans="1:10" ht="12.75" customHeight="1" x14ac:dyDescent="0.4">
      <c r="B38" s="401" t="s">
        <v>157</v>
      </c>
      <c r="C38" s="402"/>
      <c r="D38" s="402"/>
      <c r="E38" s="402"/>
      <c r="F38" s="400"/>
      <c r="G38" s="149">
        <v>1</v>
      </c>
      <c r="H38" s="122" t="s">
        <v>289</v>
      </c>
    </row>
    <row r="39" spans="1:10" ht="25.5" customHeight="1" x14ac:dyDescent="0.4">
      <c r="B39" s="406" t="s">
        <v>158</v>
      </c>
      <c r="C39" s="407"/>
      <c r="D39" s="407"/>
      <c r="E39" s="407"/>
      <c r="F39" s="407"/>
      <c r="G39" s="408"/>
      <c r="H39" s="122" t="s">
        <v>290</v>
      </c>
    </row>
    <row r="40" spans="1:10" ht="25.5" customHeight="1" x14ac:dyDescent="0.4">
      <c r="B40" s="403" t="s">
        <v>159</v>
      </c>
      <c r="C40" s="404"/>
      <c r="D40" s="404"/>
      <c r="E40" s="404"/>
      <c r="F40" s="404"/>
      <c r="G40" s="404"/>
      <c r="H40" s="405"/>
    </row>
    <row r="41" spans="1:10" ht="12.75" customHeight="1" x14ac:dyDescent="0.4">
      <c r="B41" s="275" t="s">
        <v>160</v>
      </c>
      <c r="C41" s="399"/>
      <c r="D41" s="399"/>
      <c r="E41" s="399"/>
      <c r="F41" s="399"/>
      <c r="G41" s="400"/>
      <c r="H41" s="122" t="s">
        <v>290</v>
      </c>
    </row>
    <row r="42" spans="1:10" ht="25.5" customHeight="1" x14ac:dyDescent="0.4">
      <c r="B42" s="409" t="s">
        <v>161</v>
      </c>
      <c r="C42" s="410"/>
      <c r="D42" s="410"/>
      <c r="E42" s="410"/>
      <c r="F42" s="410"/>
      <c r="G42" s="411"/>
      <c r="H42" s="122" t="s">
        <v>243</v>
      </c>
    </row>
    <row r="43" spans="1:10" ht="25.5" customHeight="1" x14ac:dyDescent="0.4">
      <c r="B43" s="412" t="s">
        <v>291</v>
      </c>
      <c r="C43" s="413"/>
      <c r="D43" s="413"/>
      <c r="E43" s="413"/>
      <c r="F43" s="413"/>
      <c r="G43" s="413"/>
      <c r="H43" s="414"/>
    </row>
    <row r="44" spans="1:10" ht="3" customHeight="1" x14ac:dyDescent="0.4"/>
    <row r="45" spans="1:10" ht="3" customHeight="1" x14ac:dyDescent="0.4"/>
    <row r="46" spans="1:10" x14ac:dyDescent="0.4">
      <c r="B46" s="394" t="s">
        <v>132</v>
      </c>
      <c r="C46" s="354"/>
      <c r="D46" s="354"/>
      <c r="E46" s="354"/>
      <c r="F46" s="354"/>
      <c r="G46" s="354"/>
      <c r="H46" s="354"/>
    </row>
    <row r="47" spans="1:10" ht="3" customHeight="1" x14ac:dyDescent="0.4"/>
    <row r="48" spans="1:10" x14ac:dyDescent="0.4">
      <c r="B48" s="385" t="s">
        <v>292</v>
      </c>
      <c r="C48" s="386"/>
      <c r="D48" s="386"/>
      <c r="E48" s="386"/>
      <c r="F48" s="386"/>
      <c r="G48" s="386"/>
      <c r="H48" s="387"/>
    </row>
    <row r="49" spans="2:8" x14ac:dyDescent="0.4">
      <c r="B49" s="388"/>
      <c r="C49" s="389"/>
      <c r="D49" s="389"/>
      <c r="E49" s="389"/>
      <c r="F49" s="389"/>
      <c r="G49" s="389"/>
      <c r="H49" s="390"/>
    </row>
    <row r="50" spans="2:8" x14ac:dyDescent="0.4">
      <c r="B50" s="388"/>
      <c r="C50" s="389"/>
      <c r="D50" s="389"/>
      <c r="E50" s="389"/>
      <c r="F50" s="389"/>
      <c r="G50" s="389"/>
      <c r="H50" s="390"/>
    </row>
    <row r="51" spans="2:8" x14ac:dyDescent="0.4">
      <c r="B51" s="388"/>
      <c r="C51" s="389"/>
      <c r="D51" s="389"/>
      <c r="E51" s="389"/>
      <c r="F51" s="389"/>
      <c r="G51" s="389"/>
      <c r="H51" s="390"/>
    </row>
    <row r="52" spans="2:8" x14ac:dyDescent="0.4">
      <c r="B52" s="388"/>
      <c r="C52" s="389"/>
      <c r="D52" s="389"/>
      <c r="E52" s="389"/>
      <c r="F52" s="389"/>
      <c r="G52" s="389"/>
      <c r="H52" s="390"/>
    </row>
    <row r="53" spans="2:8" x14ac:dyDescent="0.4">
      <c r="B53" s="388"/>
      <c r="C53" s="389"/>
      <c r="D53" s="389"/>
      <c r="E53" s="389"/>
      <c r="F53" s="389"/>
      <c r="G53" s="389"/>
      <c r="H53" s="390"/>
    </row>
    <row r="54" spans="2:8" x14ac:dyDescent="0.4">
      <c r="B54" s="388"/>
      <c r="C54" s="389"/>
      <c r="D54" s="389"/>
      <c r="E54" s="389"/>
      <c r="F54" s="389"/>
      <c r="G54" s="389"/>
      <c r="H54" s="390"/>
    </row>
    <row r="55" spans="2:8" x14ac:dyDescent="0.4">
      <c r="B55" s="388"/>
      <c r="C55" s="389"/>
      <c r="D55" s="389"/>
      <c r="E55" s="389"/>
      <c r="F55" s="389"/>
      <c r="G55" s="389"/>
      <c r="H55" s="390"/>
    </row>
    <row r="56" spans="2:8" x14ac:dyDescent="0.4">
      <c r="B56" s="388"/>
      <c r="C56" s="389"/>
      <c r="D56" s="389"/>
      <c r="E56" s="389"/>
      <c r="F56" s="389"/>
      <c r="G56" s="389"/>
      <c r="H56" s="390"/>
    </row>
    <row r="57" spans="2:8" x14ac:dyDescent="0.4">
      <c r="B57" s="388"/>
      <c r="C57" s="389"/>
      <c r="D57" s="389"/>
      <c r="E57" s="389"/>
      <c r="F57" s="389"/>
      <c r="G57" s="389"/>
      <c r="H57" s="390"/>
    </row>
    <row r="58" spans="2:8" x14ac:dyDescent="0.4">
      <c r="B58" s="391"/>
      <c r="C58" s="392"/>
      <c r="D58" s="392"/>
      <c r="E58" s="392"/>
      <c r="F58" s="392"/>
      <c r="G58" s="392"/>
      <c r="H58" s="393"/>
    </row>
  </sheetData>
  <sheetProtection password="CDCA" sheet="1"/>
  <mergeCells count="65">
    <mergeCell ref="C26:E26"/>
    <mergeCell ref="F26:H26"/>
    <mergeCell ref="C4:F4"/>
    <mergeCell ref="B5:H5"/>
    <mergeCell ref="B1:H1"/>
    <mergeCell ref="B2:H2"/>
    <mergeCell ref="B3:F3"/>
    <mergeCell ref="C19:E19"/>
    <mergeCell ref="C17:E17"/>
    <mergeCell ref="F17:H17"/>
    <mergeCell ref="C23:E23"/>
    <mergeCell ref="F23:H23"/>
    <mergeCell ref="F24:H24"/>
    <mergeCell ref="C22:E22"/>
    <mergeCell ref="C18:E18"/>
    <mergeCell ref="C11:E11"/>
    <mergeCell ref="F11:H11"/>
    <mergeCell ref="F12:H12"/>
    <mergeCell ref="C12:E12"/>
    <mergeCell ref="B16:H16"/>
    <mergeCell ref="B7:H7"/>
    <mergeCell ref="C8:E8"/>
    <mergeCell ref="F8:H8"/>
    <mergeCell ref="C10:E10"/>
    <mergeCell ref="C9:E9"/>
    <mergeCell ref="F9:H9"/>
    <mergeCell ref="F10:H10"/>
    <mergeCell ref="C13:E13"/>
    <mergeCell ref="C15:E15"/>
    <mergeCell ref="F15:H15"/>
    <mergeCell ref="F13:H13"/>
    <mergeCell ref="C14:E14"/>
    <mergeCell ref="F14:H14"/>
    <mergeCell ref="F18:H18"/>
    <mergeCell ref="C27:E27"/>
    <mergeCell ref="C21:E21"/>
    <mergeCell ref="F21:H21"/>
    <mergeCell ref="F27:H27"/>
    <mergeCell ref="F22:H22"/>
    <mergeCell ref="F19:H19"/>
    <mergeCell ref="C20:E20"/>
    <mergeCell ref="F20:H20"/>
    <mergeCell ref="C24:E24"/>
    <mergeCell ref="C29:E29"/>
    <mergeCell ref="F29:H29"/>
    <mergeCell ref="C30:E30"/>
    <mergeCell ref="F30:H30"/>
    <mergeCell ref="C28:E28"/>
    <mergeCell ref="F28:H28"/>
    <mergeCell ref="B40:H40"/>
    <mergeCell ref="B41:G41"/>
    <mergeCell ref="B39:G39"/>
    <mergeCell ref="B42:G42"/>
    <mergeCell ref="B43:H43"/>
    <mergeCell ref="B36:H36"/>
    <mergeCell ref="B48:H58"/>
    <mergeCell ref="B46:H46"/>
    <mergeCell ref="C31:E31"/>
    <mergeCell ref="F31:H31"/>
    <mergeCell ref="C32:E32"/>
    <mergeCell ref="F32:H32"/>
    <mergeCell ref="C33:E33"/>
    <mergeCell ref="F33:H33"/>
    <mergeCell ref="B37:G37"/>
    <mergeCell ref="B38:F38"/>
  </mergeCells>
  <phoneticPr fontId="2" type="noConversion"/>
  <dataValidations count="3">
    <dataValidation type="list" allowBlank="1" showInputMessage="1" showErrorMessage="1" sqref="H38">
      <formula1>"Journées,Semaines,Mois"</formula1>
    </dataValidation>
    <dataValidation type="list" allowBlank="1" showInputMessage="1" showErrorMessage="1" sqref="H37 H39 H41:H42">
      <formula1>"Oui,No"</formula1>
    </dataValidation>
    <dataValidation type="list" allowBlank="1" showInputMessage="1" showErrorMessage="1" sqref="B8 B17 B26">
      <formula1>"Diethylcarbamazine,Albendazole pour FL,Albendazole pour STH,Mebendazole,Praziquantel,Ivermectine"</formula1>
    </dataValidation>
  </dataValidations>
  <pageMargins left="0.35433070866141736" right="0.19685039370078741" top="0.51181102362204722" bottom="0.55118110236220474" header="0.51181102362204722" footer="0.51181102362204722"/>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Sheet7.SUMMARY">
                <anchor moveWithCells="1" sizeWithCells="1">
                  <from>
                    <xdr:col>7</xdr:col>
                    <xdr:colOff>11430</xdr:colOff>
                    <xdr:row>0</xdr:row>
                    <xdr:rowOff>0</xdr:rowOff>
                  </from>
                  <to>
                    <xdr:col>8</xdr:col>
                    <xdr:colOff>11430</xdr:colOff>
                    <xdr:row>0</xdr:row>
                    <xdr:rowOff>0</xdr:rowOff>
                  </to>
                </anchor>
              </controlPr>
            </control>
          </mc:Choice>
        </mc:AlternateContent>
        <mc:AlternateContent xmlns:mc="http://schemas.openxmlformats.org/markup-compatibility/2006">
          <mc:Choice Requires="x14">
            <control shapeId="3080" r:id="rId5" name="Button 8">
              <controlPr defaultSize="0" print="0" autoFill="0" autoPict="0" macro="[0]!Sheet7.DISEASE">
                <anchor moveWithCells="1" sizeWithCells="1">
                  <from>
                    <xdr:col>7</xdr:col>
                    <xdr:colOff>11430</xdr:colOff>
                    <xdr:row>0</xdr:row>
                    <xdr:rowOff>0</xdr:rowOff>
                  </from>
                  <to>
                    <xdr:col>8</xdr:col>
                    <xdr:colOff>0</xdr:colOff>
                    <xdr:row>0</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C42B23C76AC0C49947AA1E2E26149CD" ma:contentTypeVersion="0" ma:contentTypeDescription="Create a new document." ma:contentTypeScope="" ma:versionID="64b241cad9ee9cf4598dd29ea585e5d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CE9B06B-7A75-47A3-9AEC-C9DBB07562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289A42B-252F-4775-90B0-5D49BA6FF789}">
  <ds:schemaRefs>
    <ds:schemaRef ds:uri="http://schemas.microsoft.com/sharepoint/v3/contenttype/forms"/>
  </ds:schemaRefs>
</ds:datastoreItem>
</file>

<file path=customXml/itemProps3.xml><?xml version="1.0" encoding="utf-8"?>
<ds:datastoreItem xmlns:ds="http://schemas.openxmlformats.org/officeDocument/2006/customXml" ds:itemID="{381FD385-3191-4689-B4F9-4FF886D1421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INTRO</vt:lpstr>
      <vt:lpstr>COUNTRY_INFO</vt:lpstr>
      <vt:lpstr>DEC</vt:lpstr>
      <vt:lpstr>ALB_MBD</vt:lpstr>
      <vt:lpstr>PZQ</vt:lpstr>
      <vt:lpstr>IVM</vt:lpstr>
      <vt:lpstr>SUMMARY</vt:lpstr>
      <vt:lpstr>SHIPMENT</vt:lpstr>
      <vt:lpstr>INTRO!Print_Area</vt:lpstr>
      <vt:lpstr>SHIPMENT!Print_Area</vt:lpstr>
      <vt:lpstr>SUMMARY!Print_Area</vt:lpstr>
    </vt:vector>
  </TitlesOfParts>
  <Company>World Health Organization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mikhailova</dc:creator>
  <cp:lastModifiedBy>Adi</cp:lastModifiedBy>
  <cp:lastPrinted>2017-06-29T14:47:01Z</cp:lastPrinted>
  <dcterms:created xsi:type="dcterms:W3CDTF">2011-03-02T13:45:07Z</dcterms:created>
  <dcterms:modified xsi:type="dcterms:W3CDTF">2020-04-15T22:51:15Z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-1396198303</vt:i4>
  </property>
  <property fmtid="{D5CDD505-2E9C-101B-9397-08002B2CF9AE}" pid="3" name="_NewReviewCycle">
    <vt:lpwstr/>
  </property>
  <property fmtid="{D5CDD505-2E9C-101B-9397-08002B2CF9AE}" pid="4" name="_EmailSubject">
    <vt:lpwstr>Joint Request Proposal discussion with some partners </vt:lpwstr>
  </property>
  <property fmtid="{D5CDD505-2E9C-101B-9397-08002B2CF9AE}" pid="5" name="_AuthorEmail">
    <vt:lpwstr>daumeried@who.int</vt:lpwstr>
  </property>
  <property fmtid="{D5CDD505-2E9C-101B-9397-08002B2CF9AE}" pid="6" name="_AuthorEmailDisplayName">
    <vt:lpwstr>Daumerie, Denis Paul Jacques</vt:lpwstr>
  </property>
  <property fmtid="{D5CDD505-2E9C-101B-9397-08002B2CF9AE}" pid="7" name="_PreviousAdHocReviewCycleID">
    <vt:i4>12859779</vt:i4>
  </property>
  <property fmtid="{D5CDD505-2E9C-101B-9397-08002B2CF9AE}" pid="8" name="_ReviewingToolsShownOnce">
    <vt:lpwstr/>
  </property>
</Properties>
</file>